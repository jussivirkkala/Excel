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0ADE4608-FD65-43AE-B8FE-F42528F37A33}"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K1" i="1"/>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H1" i="1" l="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s="1"/>
  <c r="F50" i="2" l="1"/>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<sst xmlns="http://schemas.openxmlformats.org/spreadsheetml/2006/main" count="599" uniqueCount="313">
  <si>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</si>
  <si>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</si>
  <si>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</si>
  <si>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</si>
  <si>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</si>
  <si>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</si>
  <si>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</si>
  <si>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</si>
  <si>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</si>
  <si>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</si>
  <si>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</si>
  <si>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</si>
  <si>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</si>
  <si>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</si>
  <si>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</si>
  <si>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</si>
  <si>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</si>
  <si>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</si>
  <si>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</si>
  <si>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</si>
  <si>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</si>
  <si>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</si>
  <si>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</si>
  <si>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</si>
  <si>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</si>
  <si>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</si>
  <si>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</si>
  <si>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</si>
  <si>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</si>
  <si>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</si>
  <si>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</si>
  <si>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</si>
  <si>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</si>
  <si>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</si>
  <si>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</si>
  <si>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</si>
  <si>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</si>
  <si>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</si>
  <si>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</si>
  <si>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</si>
  <si>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</si>
  <si>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</si>
  <si>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</si>
  <si>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</si>
  <si>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</si>
  <si>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</si>
  <si>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</si>
  <si>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</si>
  <si>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</si>
  <si>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</si>
  <si>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</si>
  <si>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</si>
  <si>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</si>
  <si>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</si>
  <si>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</si>
  <si>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</si>
  <si>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</si>
  <si>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</si>
  <si>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</si>
  <si>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</si>
  <si>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</si>
  <si>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</si>
  <si>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</si>
  <si>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</si>
  <si>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</si>
  <si>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</si>
  <si>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</si>
  <si>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</si>
  <si>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</si>
  <si>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</si>
  <si>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</si>
  <si>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</si>
  <si>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</si>
  <si>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</si>
  <si>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</si>
  <si>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</si>
  <si>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</si>
  <si>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</si>
  <si>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</si>
  <si>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</si>
  <si>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</si>
  <si>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</si>
  <si>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</si>
  <si>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</si>
  <si>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</si>
  <si>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</si>
  <si>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</si>
  <si>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</si>
  <si>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</si>
  <si>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</si>
  <si>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</si>
  <si>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</si>
  <si>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</si>
  <si>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</si>
  <si>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</si>
  <si>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</si>
  <si>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</si>
  <si>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</si>
  <si>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</si>
  <si>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</si>
  <si>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</si>
  <si>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</si>
  <si>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</si>
  <si>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</si>
  <si>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</si>
  <si>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</si>
  <si>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</si>
  <si>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</si>
  <si>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</si>
  <si>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</si>
  <si>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</si>
  <si>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</si>
  <si>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</si>
  <si>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</si>
  <si>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</si>
  <si>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</si>
  <si>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</si>
  <si>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</si>
  <si>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</si>
  <si>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</si>
  <si>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</si>
  <si>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</si>
  <si>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</si>
  <si>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</si>
  <si>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</si>
  <si>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</si>
  <si>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</si>
  <si>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</si>
  <si>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</si>
  <si>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</si>
  <si>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</si>
  <si>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</si>
  <si>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</si>
  <si>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</si>
  <si>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</si>
  <si>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</si>
  <si>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</si>
  <si>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</si>
  <si>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</si>
  <si>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</si>
  <si>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</si>
  <si>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</si>
  <si>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</si>
  <si>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</si>
  <si>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</si>
  <si>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</si>
  <si>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</si>
  <si>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</si>
  <si>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</si>
  <si>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</si>
  <si>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</si>
  <si>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</si>
  <si>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</si>
  <si>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</si>
  <si>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</si>
  <si>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</si>
  <si>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</si>
  <si>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</si>
  <si>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</si>
  <si>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</si>
  <si>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</si>
  <si>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</si>
  <si>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</si>
  <si>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</si>
  <si>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</si>
  <si>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</si>
  <si>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</si>
  <si>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</si>
  <si>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</si>
  <si>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</si>
  <si>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</si>
  <si>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</si>
  <si>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</si>
  <si>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</si>
  <si>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</si>
  <si>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</si>
  <si>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</si>
  <si>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</si>
  <si>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</si>
  <si>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</si>
  <si>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</si>
  <si>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</si>
  <si>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</si>
  <si>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</si>
  <si>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</si>
  <si>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</si>
  <si>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</si>
  <si>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</si>
  <si>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</si>
  <si>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</si>
  <si>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</si>
  <si>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</si>
  <si>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</si>
  <si>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</si>
  <si>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</si>
  <si>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</si>
  <si>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</si>
  <si>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</si>
  <si>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</si>
  <si>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</si>
  <si>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</si>
  <si>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</si>
  <si>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</si>
  <si>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</si>
  <si>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</si>
  <si>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</si>
  <si>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</si>
  <si>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</si>
  <si>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</si>
  <si>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</si>
  <si>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</si>
  <si>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</si>
  <si>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</si>
  <si>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</si>
  <si>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</si>
  <si>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</si>
  <si>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</si>
  <si>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</si>
  <si>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</si>
  <si>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</si>
  <si>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</si>
  <si>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</si>
  <si>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</si>
  <si>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</si>
  <si>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</si>
  <si>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</si>
  <si>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</si>
  <si>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</si>
  <si>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</si>
  <si>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</si>
  <si>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</si>
  <si>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</si>
  <si>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</si>
  <si>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</si>
  <si>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</si>
  <si>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</si>
  <si>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</si>
  <si>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</si>
  <si>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</si>
  <si>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</si>
  <si>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</si>
  <si>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</si>
  <si>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</si>
  <si>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</si>
  <si>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</si>
  <si>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</si>
  <si>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</si>
  <si>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</si>
  <si>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</si>
  <si>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</si>
  <si>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</si>
  <si>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</si>
  <si>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</si>
  <si>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</si>
  <si>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</si>
  <si>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</si>
  <si>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</si>
  <si>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</si>
  <si>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</si>
  <si>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</si>
  <si>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</si>
  <si>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</si>
  <si>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</si>
  <si>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</si>
  <si>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</si>
  <si>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</si>
  <si>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</si>
  <si>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</si>
  <si>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</si>
  <si>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</si>
  <si>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</si>
  <si>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</si>
  <si>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</si>
  <si>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</si>
  <si>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</si>
  <si>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</si>
  <si>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</si>
  <si>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</si>
  <si>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</si>
  <si>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</si>
  <si>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</si>
  <si>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</si>
  <si>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</si>
  <si>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</si>
  <si>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</si>
  <si>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</si>
  <si>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</si>
  <si>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</si>
  <si>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</si>
  <si>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</si>
  <si>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</si>
  <si>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</si>
  <si>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</si>
  <si>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</si>
  <si>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</si>
  <si>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</si>
  <si>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</si>
  <si>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</si>
  <si>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</si>
  <si>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</si>
  <si>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</si>
  <si>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</si>
  <si>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</si>
  <si>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</si>
  <si>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</si>
  <si>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</si>
  <si>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</si>
  <si>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</si>
  <si>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</si>
  <si>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</si>
  <si>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</si>
  <si>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</si>
  <si>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2020-10-12T08:50:49.460Z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</si>
</sst>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12.10 saakka. Suurin arvo 277, joka 5.10.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98</c:v>
                </c:pt>
                <c:pt idx="268">
                  <c:v>127</c:v>
                </c:pt>
                <c:pt idx="269">
                  <c:v>73</c:v>
                </c:pt>
                <c:pt idx="270">
                  <c:v>70</c:v>
                </c:pt>
                <c:pt idx="271">
                  <c:v>124</c:v>
                </c:pt>
                <c:pt idx="272">
                  <c:v>135</c:v>
                </c:pt>
                <c:pt idx="273">
                  <c:v>167</c:v>
                </c:pt>
                <c:pt idx="274">
                  <c:v>192</c:v>
                </c:pt>
                <c:pt idx="275">
                  <c:v>190</c:v>
                </c:pt>
                <c:pt idx="276">
                  <c:v>172</c:v>
                </c:pt>
                <c:pt idx="277">
                  <c:v>147</c:v>
                </c:pt>
                <c:pt idx="278">
                  <c:v>277</c:v>
                </c:pt>
                <c:pt idx="279">
                  <c:v>262</c:v>
                </c:pt>
                <c:pt idx="280">
                  <c:v>245</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2060</c:v>
                </c:pt>
                <c:pt idx="1">
                  <c:v>2037</c:v>
                </c:pt>
                <c:pt idx="2">
                  <c:v>2029</c:v>
                </c:pt>
                <c:pt idx="3">
                  <c:v>1949</c:v>
                </c:pt>
                <c:pt idx="4">
                  <c:v>1735</c:v>
                </c:pt>
                <c:pt idx="5">
                  <c:v>1160</c:v>
                </c:pt>
                <c:pt idx="6">
                  <c:v>1233</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44088</c:v>
                </c:pt>
                <c:pt idx="1">
                  <c:v>44089</c:v>
                </c:pt>
                <c:pt idx="2">
                  <c:v>44090</c:v>
                </c:pt>
                <c:pt idx="3">
                  <c:v>44091</c:v>
                </c:pt>
                <c:pt idx="4">
                  <c:v>44092</c:v>
                </c:pt>
                <c:pt idx="5">
                  <c:v>44093</c:v>
                </c:pt>
                <c:pt idx="6">
                  <c:v>44094</c:v>
                </c:pt>
                <c:pt idx="7">
                  <c:v>44095</c:v>
                </c:pt>
                <c:pt idx="8">
                  <c:v>44096</c:v>
                </c:pt>
                <c:pt idx="9">
                  <c:v>44097</c:v>
                </c:pt>
                <c:pt idx="10">
                  <c:v>44098</c:v>
                </c:pt>
                <c:pt idx="11">
                  <c:v>44099</c:v>
                </c:pt>
                <c:pt idx="12">
                  <c:v>44100</c:v>
                </c:pt>
                <c:pt idx="13">
                  <c:v>44101</c:v>
                </c:pt>
                <c:pt idx="14">
                  <c:v>44102</c:v>
                </c:pt>
                <c:pt idx="15">
                  <c:v>44103</c:v>
                </c:pt>
                <c:pt idx="16">
                  <c:v>44104</c:v>
                </c:pt>
                <c:pt idx="17">
                  <c:v>44105</c:v>
                </c:pt>
                <c:pt idx="18">
                  <c:v>44106</c:v>
                </c:pt>
                <c:pt idx="19">
                  <c:v>44107</c:v>
                </c:pt>
                <c:pt idx="20">
                  <c:v>44108</c:v>
                </c:pt>
                <c:pt idx="21">
                  <c:v>44109</c:v>
                </c:pt>
                <c:pt idx="22">
                  <c:v>44110</c:v>
                </c:pt>
                <c:pt idx="23">
                  <c:v>44111</c:v>
                </c:pt>
                <c:pt idx="24">
                  <c:v>44112</c:v>
                </c:pt>
                <c:pt idx="25">
                  <c:v>44113</c:v>
                </c:pt>
                <c:pt idx="26">
                  <c:v>44114</c:v>
                </c:pt>
                <c:pt idx="27">
                  <c:v>44115</c:v>
                </c:pt>
              </c:numCache>
            </c:numRef>
          </c:cat>
          <c:val>
            <c:numRef>
              <c:f>Kuvaajat!$D$37:$D$64</c:f>
              <c:numCache>
                <c:formatCode>General</c:formatCode>
                <c:ptCount val="28"/>
                <c:pt idx="0">
                  <c:v>59</c:v>
                </c:pt>
                <c:pt idx="1">
                  <c:v>53</c:v>
                </c:pt>
                <c:pt idx="2">
                  <c:v>57</c:v>
                </c:pt>
                <c:pt idx="3">
                  <c:v>85</c:v>
                </c:pt>
                <c:pt idx="4">
                  <c:v>76</c:v>
                </c:pt>
                <c:pt idx="5">
                  <c:v>61</c:v>
                </c:pt>
                <c:pt idx="6">
                  <c:v>73</c:v>
                </c:pt>
                <c:pt idx="7">
                  <c:v>119</c:v>
                </c:pt>
                <c:pt idx="8">
                  <c:v>105</c:v>
                </c:pt>
                <c:pt idx="9">
                  <c:v>118</c:v>
                </c:pt>
                <c:pt idx="10">
                  <c:v>98</c:v>
                </c:pt>
                <c:pt idx="11">
                  <c:v>127</c:v>
                </c:pt>
                <c:pt idx="12">
                  <c:v>73</c:v>
                </c:pt>
                <c:pt idx="13">
                  <c:v>70</c:v>
                </c:pt>
                <c:pt idx="14">
                  <c:v>124</c:v>
                </c:pt>
                <c:pt idx="15">
                  <c:v>135</c:v>
                </c:pt>
                <c:pt idx="16">
                  <c:v>167</c:v>
                </c:pt>
                <c:pt idx="17">
                  <c:v>192</c:v>
                </c:pt>
                <c:pt idx="18">
                  <c:v>190</c:v>
                </c:pt>
                <c:pt idx="19">
                  <c:v>172</c:v>
                </c:pt>
                <c:pt idx="20">
                  <c:v>147</c:v>
                </c:pt>
                <c:pt idx="21">
                  <c:v>277</c:v>
                </c:pt>
                <c:pt idx="22">
                  <c:v>262</c:v>
                </c:pt>
                <c:pt idx="23">
                  <c:v>245</c:v>
                </c:pt>
                <c:pt idx="24">
                  <c:v>178</c:v>
                </c:pt>
                <c:pt idx="25">
                  <c:v>121</c:v>
                </c:pt>
                <c:pt idx="26">
                  <c:v>43</c:v>
                </c:pt>
                <c:pt idx="27">
                  <c:v>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N=12212. Uusimmat lisäykset punaisella n=214.</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44088</c:v>
                </c:pt>
                <c:pt idx="1">
                  <c:v>44089</c:v>
                </c:pt>
                <c:pt idx="2">
                  <c:v>44090</c:v>
                </c:pt>
                <c:pt idx="3">
                  <c:v>44091</c:v>
                </c:pt>
                <c:pt idx="4">
                  <c:v>44092</c:v>
                </c:pt>
                <c:pt idx="5">
                  <c:v>44093</c:v>
                </c:pt>
                <c:pt idx="6">
                  <c:v>44094</c:v>
                </c:pt>
                <c:pt idx="7">
                  <c:v>44095</c:v>
                </c:pt>
                <c:pt idx="8">
                  <c:v>44096</c:v>
                </c:pt>
                <c:pt idx="9">
                  <c:v>44097</c:v>
                </c:pt>
                <c:pt idx="10">
                  <c:v>44098</c:v>
                </c:pt>
                <c:pt idx="11">
                  <c:v>44099</c:v>
                </c:pt>
                <c:pt idx="12">
                  <c:v>44100</c:v>
                </c:pt>
                <c:pt idx="13">
                  <c:v>44101</c:v>
                </c:pt>
                <c:pt idx="14">
                  <c:v>44102</c:v>
                </c:pt>
                <c:pt idx="15">
                  <c:v>44103</c:v>
                </c:pt>
                <c:pt idx="16">
                  <c:v>44104</c:v>
                </c:pt>
                <c:pt idx="17">
                  <c:v>44105</c:v>
                </c:pt>
                <c:pt idx="18">
                  <c:v>44106</c:v>
                </c:pt>
                <c:pt idx="19">
                  <c:v>44107</c:v>
                </c:pt>
                <c:pt idx="20">
                  <c:v>44108</c:v>
                </c:pt>
                <c:pt idx="21">
                  <c:v>44109</c:v>
                </c:pt>
                <c:pt idx="22">
                  <c:v>44110</c:v>
                </c:pt>
                <c:pt idx="23">
                  <c:v>44111</c:v>
                </c:pt>
                <c:pt idx="24">
                  <c:v>44112</c:v>
                </c:pt>
                <c:pt idx="25">
                  <c:v>44113</c:v>
                </c:pt>
                <c:pt idx="26">
                  <c:v>44114</c:v>
                </c:pt>
                <c:pt idx="27">
                  <c:v>44115</c:v>
                </c:pt>
              </c:numCache>
            </c:numRef>
          </c:cat>
          <c:val>
            <c:numRef>
              <c:f>Kuvaajat!$D$37:$D$64</c:f>
              <c:numCache>
                <c:formatCode>General</c:formatCode>
                <c:ptCount val="28"/>
                <c:pt idx="0">
                  <c:v>59</c:v>
                </c:pt>
                <c:pt idx="1">
                  <c:v>53</c:v>
                </c:pt>
                <c:pt idx="2">
                  <c:v>57</c:v>
                </c:pt>
                <c:pt idx="3">
                  <c:v>85</c:v>
                </c:pt>
                <c:pt idx="4">
                  <c:v>76</c:v>
                </c:pt>
                <c:pt idx="5">
                  <c:v>61</c:v>
                </c:pt>
                <c:pt idx="6">
                  <c:v>73</c:v>
                </c:pt>
                <c:pt idx="7">
                  <c:v>119</c:v>
                </c:pt>
                <c:pt idx="8">
                  <c:v>105</c:v>
                </c:pt>
                <c:pt idx="9">
                  <c:v>118</c:v>
                </c:pt>
                <c:pt idx="10">
                  <c:v>98</c:v>
                </c:pt>
                <c:pt idx="11">
                  <c:v>127</c:v>
                </c:pt>
                <c:pt idx="12">
                  <c:v>73</c:v>
                </c:pt>
                <c:pt idx="13">
                  <c:v>70</c:v>
                </c:pt>
                <c:pt idx="14">
                  <c:v>124</c:v>
                </c:pt>
                <c:pt idx="15">
                  <c:v>135</c:v>
                </c:pt>
                <c:pt idx="16">
                  <c:v>167</c:v>
                </c:pt>
                <c:pt idx="17">
                  <c:v>192</c:v>
                </c:pt>
                <c:pt idx="18">
                  <c:v>190</c:v>
                </c:pt>
                <c:pt idx="19">
                  <c:v>172</c:v>
                </c:pt>
                <c:pt idx="20">
                  <c:v>147</c:v>
                </c:pt>
                <c:pt idx="21">
                  <c:v>277</c:v>
                </c:pt>
                <c:pt idx="22">
                  <c:v>262</c:v>
                </c:pt>
                <c:pt idx="23">
                  <c:v>245</c:v>
                </c:pt>
                <c:pt idx="24">
                  <c:v>178</c:v>
                </c:pt>
                <c:pt idx="25">
                  <c:v>121</c:v>
                </c:pt>
                <c:pt idx="26">
                  <c:v>43</c:v>
                </c:pt>
                <c:pt idx="27">
                  <c:v>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44088</c:v>
                </c:pt>
                <c:pt idx="1">
                  <c:v>44089</c:v>
                </c:pt>
                <c:pt idx="2">
                  <c:v>44090</c:v>
                </c:pt>
                <c:pt idx="3">
                  <c:v>44091</c:v>
                </c:pt>
                <c:pt idx="4">
                  <c:v>44092</c:v>
                </c:pt>
                <c:pt idx="5">
                  <c:v>44093</c:v>
                </c:pt>
                <c:pt idx="6">
                  <c:v>44094</c:v>
                </c:pt>
                <c:pt idx="7">
                  <c:v>44095</c:v>
                </c:pt>
                <c:pt idx="8">
                  <c:v>44096</c:v>
                </c:pt>
                <c:pt idx="9">
                  <c:v>44097</c:v>
                </c:pt>
                <c:pt idx="10">
                  <c:v>44098</c:v>
                </c:pt>
                <c:pt idx="11">
                  <c:v>44099</c:v>
                </c:pt>
                <c:pt idx="12">
                  <c:v>44100</c:v>
                </c:pt>
                <c:pt idx="13">
                  <c:v>44101</c:v>
                </c:pt>
                <c:pt idx="14">
                  <c:v>44102</c:v>
                </c:pt>
                <c:pt idx="15">
                  <c:v>44103</c:v>
                </c:pt>
                <c:pt idx="16">
                  <c:v>44104</c:v>
                </c:pt>
                <c:pt idx="17">
                  <c:v>44105</c:v>
                </c:pt>
                <c:pt idx="18">
                  <c:v>44106</c:v>
                </c:pt>
                <c:pt idx="19">
                  <c:v>44107</c:v>
                </c:pt>
                <c:pt idx="20">
                  <c:v>44108</c:v>
                </c:pt>
                <c:pt idx="21">
                  <c:v>44109</c:v>
                </c:pt>
                <c:pt idx="22">
                  <c:v>44110</c:v>
                </c:pt>
                <c:pt idx="23">
                  <c:v>44111</c:v>
                </c:pt>
                <c:pt idx="24">
                  <c:v>44112</c:v>
                </c:pt>
                <c:pt idx="25">
                  <c:v>44113</c:v>
                </c:pt>
                <c:pt idx="26">
                  <c:v>44114</c:v>
                </c:pt>
                <c:pt idx="27">
                  <c:v>44115</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-5</c:v>
                </c:pt>
                <c:pt idx="20">
                  <c:v>-1</c:v>
                </c:pt>
                <c:pt idx="21">
                  <c:v>5</c:v>
                </c:pt>
                <c:pt idx="22">
                  <c:v>4</c:v>
                </c:pt>
                <c:pt idx="23">
                  <c:v>50</c:v>
                </c:pt>
                <c:pt idx="24">
                  <c:v>32</c:v>
                </c:pt>
                <c:pt idx="25">
                  <c:v>82</c:v>
                </c:pt>
                <c:pt idx="26">
                  <c:v>38</c:v>
                </c:pt>
                <c:pt idx="27">
                  <c:v>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7"/>
  <sheetViews>
    <sheetView topLeftCell="B1" workbookViewId="0">
      <pane ySplit="1" topLeftCell="A2" activePane="bottomLeft" state="frozen"/>
      <selection pane="bottomLeft" activeCell="I5" sqref="I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12212</v>
      </c>
      <c r="I1" s="8">
        <v>44116.49422453704</v>
      </c>
      <c r="J1" s="7">
        <f>MAX(Id)</f>
        <v>277</v>
      </c>
      <c r="K1" s="16">
        <f>VLOOKUP(J1,A:F,6,FALSE)</f>
        <v>44109.625</v>
      </c>
      <c r="L1" s="7" t="str">
        <f ca="1">"Päivittäisiä Korona tapauksia vuoden 2020 alusta lähtien "&amp;TEXT(NOW(),"p.kk")&amp;" saakka. Suurin arvo "&amp;J1&amp;", joka "&amp;TEXT(K1,"p.kk")&amp;". Uusimpien 4-5 päivien arvot tulevat viiveellä."</f>
        <v>Päivittäisiä Korona tapauksia vuoden 2020 alusta lähtien 12.10 saakka. Suurin arvo 277, joka 5.10.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2060</v>
      </c>
    </row>
    <row r="31" spans="1:11">
      <c r="A31">
        <v>0</v>
      </c>
      <c r="B31" t="s">
        <v>263</v>
      </c>
      <c r="C31" t="s">
        <v>8</v>
      </c>
      <c r="E31" s="3">
        <f t="shared" si="0"/>
        <v>4</v>
      </c>
      <c r="F31" s="5">
        <v>43860.625</v>
      </c>
      <c r="I31">
        <v>2</v>
      </c>
      <c r="J31" t="s">
        <v>303</v>
      </c>
      <c r="K31">
        <f t="shared" si="1"/>
        <v>2037</v>
      </c>
    </row>
    <row r="32" spans="1:11">
      <c r="A32">
        <v>0</v>
      </c>
      <c r="B32" t="s">
        <v>264</v>
      </c>
      <c r="C32" t="s">
        <v>8</v>
      </c>
      <c r="E32" s="3">
        <f t="shared" si="0"/>
        <v>5</v>
      </c>
      <c r="F32" s="5">
        <v>43861.625</v>
      </c>
      <c r="I32">
        <v>3</v>
      </c>
      <c r="J32" t="s">
        <v>304</v>
      </c>
      <c r="K32">
        <f t="shared" si="1"/>
        <v>2029</v>
      </c>
    </row>
    <row r="33" spans="1:11">
      <c r="A33">
        <v>0</v>
      </c>
      <c r="B33" t="s">
        <v>265</v>
      </c>
      <c r="C33" t="s">
        <v>8</v>
      </c>
      <c r="E33" s="3">
        <f t="shared" si="0"/>
        <v>6</v>
      </c>
      <c r="F33" s="5">
        <v>43862.625</v>
      </c>
      <c r="I33">
        <v>4</v>
      </c>
      <c r="J33" t="s">
        <v>305</v>
      </c>
      <c r="K33">
        <f t="shared" si="1"/>
        <v>1949</v>
      </c>
    </row>
    <row r="34" spans="1:11">
      <c r="A34">
        <v>0</v>
      </c>
      <c r="B34" t="s">
        <v>266</v>
      </c>
      <c r="C34" t="s">
        <v>8</v>
      </c>
      <c r="E34" s="3">
        <f t="shared" si="0"/>
        <v>7</v>
      </c>
      <c r="F34" s="5">
        <v>43863.625</v>
      </c>
      <c r="I34">
        <v>5</v>
      </c>
      <c r="J34" t="s">
        <v>306</v>
      </c>
      <c r="K34">
        <f t="shared" si="1"/>
        <v>1735</v>
      </c>
    </row>
    <row r="35" spans="1:11">
      <c r="A35">
        <v>0</v>
      </c>
      <c r="B35" t="s">
        <v>267</v>
      </c>
      <c r="C35" t="s">
        <v>8</v>
      </c>
      <c r="E35" s="3">
        <f t="shared" si="0"/>
        <v>1</v>
      </c>
      <c r="F35" s="5">
        <v>43864.625</v>
      </c>
      <c r="I35">
        <v>6</v>
      </c>
      <c r="J35" t="s">
        <v>307</v>
      </c>
      <c r="K35">
        <f t="shared" si="1"/>
        <v>1160</v>
      </c>
    </row>
    <row r="36" spans="1:11">
      <c r="A36">
        <v>0</v>
      </c>
      <c r="B36" t="s">
        <v>268</v>
      </c>
      <c r="C36" t="s">
        <v>8</v>
      </c>
      <c r="E36" s="3">
        <f t="shared" si="0"/>
        <v>2</v>
      </c>
      <c r="F36" s="5">
        <v>43865.625</v>
      </c>
      <c r="I36">
        <v>7</v>
      </c>
      <c r="J36" t="s">
        <v>308</v>
      </c>
      <c r="K36">
        <f t="shared" si="1"/>
        <v>1233</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98</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70</v>
      </c>
      <c r="B272" t="s">
        <v>225</v>
      </c>
      <c r="C272" t="s">
        <v>8</v>
      </c>
      <c r="E272" s="3">
        <f t="shared" si="5"/>
        <v>7</v>
      </c>
      <c r="F272" s="5">
        <v>44101.625</v>
      </c>
    </row>
    <row r="273" spans="1:6">
      <c r="A273">
        <v>124</v>
      </c>
      <c r="B273" t="s">
        <v>226</v>
      </c>
      <c r="C273" t="s">
        <v>8</v>
      </c>
      <c r="E273" s="3">
        <f t="shared" si="5"/>
        <v>1</v>
      </c>
      <c r="F273" s="5">
        <v>44102.625</v>
      </c>
    </row>
    <row r="274" spans="1:6">
      <c r="A274">
        <v>135</v>
      </c>
      <c r="B274" t="s">
        <v>227</v>
      </c>
      <c r="C274" t="s">
        <v>8</v>
      </c>
      <c r="E274" s="3">
        <f t="shared" si="5"/>
        <v>2</v>
      </c>
      <c r="F274" s="5">
        <v>44103.625</v>
      </c>
    </row>
    <row r="275" spans="1:6">
      <c r="A275">
        <v>167</v>
      </c>
      <c r="B275" t="s">
        <v>229</v>
      </c>
      <c r="C275" t="s">
        <v>8</v>
      </c>
      <c r="E275" s="3">
        <f t="shared" si="5"/>
        <v>3</v>
      </c>
      <c r="F275" s="5">
        <v>44104.625</v>
      </c>
    </row>
    <row r="276" spans="1:6">
      <c r="A276">
        <v>192</v>
      </c>
      <c r="B276" t="s">
        <v>231</v>
      </c>
      <c r="C276" t="s">
        <v>8</v>
      </c>
      <c r="E276" s="3">
        <f t="shared" si="5"/>
        <v>4</v>
      </c>
      <c r="F276" s="5">
        <v>44105.625</v>
      </c>
    </row>
    <row r="277" spans="1:6">
      <c r="A277">
        <v>190</v>
      </c>
      <c r="B277" t="s">
        <v>232</v>
      </c>
      <c r="C277" t="s">
        <v>8</v>
      </c>
      <c r="E277" s="3">
        <f t="shared" si="5"/>
        <v>5</v>
      </c>
      <c r="F277" s="5">
        <v>44106.625</v>
      </c>
    </row>
    <row r="278" spans="1:6">
      <c r="A278">
        <v>172</v>
      </c>
      <c r="B278" t="s">
        <v>234</v>
      </c>
      <c r="C278" t="s">
        <v>8</v>
      </c>
      <c r="E278" s="3">
        <f t="shared" si="5"/>
        <v>6</v>
      </c>
      <c r="F278" s="5">
        <v>44107.625</v>
      </c>
    </row>
    <row r="279" spans="1:6">
      <c r="A279">
        <v>147</v>
      </c>
      <c r="B279" t="s">
        <v>293</v>
      </c>
      <c r="C279" t="s">
        <v>8</v>
      </c>
      <c r="E279" s="3">
        <f t="shared" si="5"/>
        <v>7</v>
      </c>
      <c r="F279" s="5">
        <v>44108.625</v>
      </c>
    </row>
    <row r="280" spans="1:6">
      <c r="A280">
        <v>277</v>
      </c>
      <c r="B280" t="s">
        <v>294</v>
      </c>
      <c r="C280" t="s">
        <v>8</v>
      </c>
      <c r="E280" s="3">
        <f t="shared" si="5"/>
        <v>1</v>
      </c>
      <c r="F280" s="5">
        <v>44109.625</v>
      </c>
    </row>
    <row r="281" spans="1:6">
      <c r="A281">
        <v>262</v>
      </c>
      <c r="B281" t="s">
        <v>295</v>
      </c>
      <c r="C281" t="s">
        <v>8</v>
      </c>
      <c r="E281" s="3">
        <f t="shared" si="5"/>
        <v>2</v>
      </c>
      <c r="F281" s="5">
        <v>44110.625</v>
      </c>
    </row>
    <row r="282" spans="1:6">
      <c r="A282">
        <v>245</v>
      </c>
      <c r="B282" t="s">
        <v>296</v>
      </c>
      <c r="C282" t="s">
        <v>8</v>
      </c>
      <c r="E282" s="3">
        <f t="shared" si="5"/>
        <v>3</v>
      </c>
      <c r="F282" s="5">
        <v>44111.625</v>
      </c>
    </row>
    <row r="283" spans="1:6">
      <c r="A283">
        <v>178</v>
      </c>
      <c r="B283" t="s">
        <v>297</v>
      </c>
      <c r="C283" t="s">
        <v>8</v>
      </c>
      <c r="E283" s="3">
        <f t="shared" si="5"/>
        <v>4</v>
      </c>
      <c r="F283" s="5">
        <v>44112.625</v>
      </c>
    </row>
    <row r="284" spans="1:6">
      <c r="A284">
        <v>121</v>
      </c>
      <c r="B284" t="s">
        <v>298</v>
      </c>
      <c r="C284" t="s">
        <v>8</v>
      </c>
      <c r="E284" s="3">
        <f t="shared" si="5"/>
        <v>5</v>
      </c>
      <c r="F284" s="5">
        <v>44113.625</v>
      </c>
    </row>
    <row r="285" spans="1:6">
      <c r="A285">
        <v>43</v>
      </c>
      <c r="B285" t="s">
        <v>310</v>
      </c>
      <c r="C285" t="s">
        <v>8</v>
      </c>
      <c r="E285" s="3">
        <f t="shared" si="5"/>
        <v>6</v>
      </c>
      <c r="F285" s="5">
        <v>44114.625</v>
      </c>
    </row>
    <row r="286" spans="1:6">
      <c r="A286">
        <v>9</v>
      </c>
      <c r="B286" t="s">
        <v>311</v>
      </c>
      <c r="C286" t="s">
        <v>8</v>
      </c>
      <c r="F286" s="5">
        <v>44115.625</v>
      </c>
    </row>
    <row r="287" spans="1:6">
      <c r="A287">
        <v>0</v>
      </c>
      <c r="B287" t="s">
        <v>312</v>
      </c>
      <c r="C287" t="s">
        <v>8</v>
      </c>
      <c r="F287" s="5">
        <v>44116.368622685186</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D67"/>
  <sheetViews>
    <sheetView tabSelected="1" topLeftCell="A6" zoomScale="85" zoomScaleNormal="85" workbookViewId="0">
      <selection activeCell="K7" sqref="K7"/>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"&amp;(C65-N65)&amp;" (joista vanhoja yli 28 päivän takaisia kirjauksia "&amp;(C65-N65-E35)&amp;"). Yhteensä "&amp;C64&amp;". Edelliset 7 päivää "&amp;G58&amp;" (päivittyy), "&amp;G51&amp;" (muutos "&amp;H51&amp;"), "&amp;G44&amp;" ("&amp;H44&amp;") ja "&amp;G37&amp;" https://github.com/jussivirkkala/excel/tree/master/hs-koronavirus-avoindata"</f>
        <v>Uusia COVID-19 tapauksia 214 (joista vanhoja yli 28 päivän takaisia kirjauksia 0). Yhteensä 12212. Edelliset 7 päivää 1135 (päivittyy), 1127 (muutos 59 %), 710 (53 %) ja 464 https://github.com/jussivirkkala/excel/tree/master/hs-koronavirus-avoindata</v>
      </c>
      <c r="B31" s="4"/>
    </row>
    <row r="32" spans="1:2">
      <c r="B32" s="4"/>
    </row>
    <row r="33" spans="1:30">
      <c r="A33" t="str">
        <f ca="1">"Kirjattuja COVID-19 tapauksia N="&amp;C65&amp;"."&amp;CHAR(32)&amp;"Uusimmat lisäykset punaisella n="&amp;L65&amp;"."</f>
        <v>Kirjattuja COVID-19 tapauksia N=12212. Uusimmat lisäykset punaisella n=214.</v>
      </c>
      <c r="B33" s="4"/>
    </row>
    <row r="34" spans="1:30">
      <c r="B34" s="4"/>
    </row>
    <row r="35" spans="1:30">
      <c r="B35" s="4" t="s">
        <v>5</v>
      </c>
      <c r="C35" t="s">
        <v>0</v>
      </c>
      <c r="D35" t="s">
        <v>6</v>
      </c>
      <c r="E35">
        <f ca="1">SUM(E37:E65)</f>
        <v>214</v>
      </c>
      <c r="F35" t="s">
        <v>228</v>
      </c>
    </row>
    <row r="36" spans="1:30">
      <c r="A36" t="str">
        <f ca="1">IF(WEEKDAY(B36,2)=1,"Ma","")</f>
        <v/>
      </c>
      <c r="B36" s="4">
        <f ca="1">B37-1</f>
        <v>44087</v>
      </c>
      <c r="C36" s="11">
        <f t="shared" ref="C36:C65" ca="1" si="0">SUMIF(aika,"&lt;"&amp;(B36+1),Id)</f>
        <v>8776</v>
      </c>
    </row>
    <row r="37" spans="1:30" s="10" customFormat="1">
      <c r="A37" t="str">
        <f t="shared" ref="A37:A60" ca="1" si="1">IF(WEEKDAY(B37,2)=1,"Ma","")</f>
        <v>Ma</v>
      </c>
      <c r="B37" s="9">
        <f t="shared" ref="B37:B62" ca="1" si="2">B38-1</f>
        <v>44088</v>
      </c>
      <c r="C37" s="10">
        <f t="shared" ca="1" si="0"/>
        <v>8835</v>
      </c>
      <c r="D37" s="10">
        <f t="shared" ref="D37" ca="1" si="3">C37-C36</f>
        <v>59</v>
      </c>
      <c r="E37" s="10">
        <f t="shared" ref="E37:E64" ca="1" si="4">_xlfn.IFNA(D37-F37,"")</f>
        <v>0</v>
      </c>
      <c r="F37" s="10">
        <f ca="1">VLOOKUP(B37,Previous,3,FALSE)</f>
        <v>59</v>
      </c>
      <c r="G37" s="10">
        <f ca="1">SUM(D37:D43)</f>
        <v>464</v>
      </c>
      <c r="I37" s="10">
        <f ca="1">SUM(D37:D50)</f>
        <v>1174</v>
      </c>
      <c r="K37" s="14"/>
      <c r="M37" s="9">
        <v>44088</v>
      </c>
      <c r="N37" s="10">
        <v>8835</v>
      </c>
      <c r="O37" s="10">
        <v>59</v>
      </c>
      <c r="P37" s="15">
        <v>44088</v>
      </c>
      <c r="Q37" s="10">
        <v>8835</v>
      </c>
      <c r="R37" s="10">
        <v>59</v>
      </c>
      <c r="S37" s="15">
        <v>44085</v>
      </c>
      <c r="T37" s="10">
        <v>8688</v>
      </c>
      <c r="U37" s="10">
        <v>57</v>
      </c>
      <c r="V37" s="9">
        <v>44086</v>
      </c>
      <c r="W37" s="10">
        <v>8730</v>
      </c>
      <c r="X37" s="10">
        <v>41</v>
      </c>
      <c r="Y37" s="9">
        <v>44087</v>
      </c>
      <c r="Z37" s="10">
        <v>8776</v>
      </c>
      <c r="AA37" s="10">
        <v>46</v>
      </c>
      <c r="AB37" s="10">
        <v>44088</v>
      </c>
      <c r="AC37" s="10">
        <v>8835</v>
      </c>
      <c r="AD37" s="10">
        <v>59</v>
      </c>
    </row>
    <row r="38" spans="1:30">
      <c r="A38" t="str">
        <f t="shared" ca="1" si="1"/>
        <v/>
      </c>
      <c r="B38" s="4">
        <f t="shared" ca="1" si="2"/>
        <v>44089</v>
      </c>
      <c r="C38" s="11">
        <f t="shared" ca="1" si="0"/>
        <v>8888</v>
      </c>
      <c r="D38">
        <f t="shared" ref="D38" ca="1" si="5">C38-C37</f>
        <v>53</v>
      </c>
      <c r="E38" s="11">
        <f t="shared" ca="1" si="4"/>
        <v>0</v>
      </c>
      <c r="F38" s="11">
        <f t="shared" ref="F38:F65" ca="1" si="6">VLOOKUP(B38,Previous,3,FALSE)</f>
        <v>53</v>
      </c>
      <c r="K38" s="3"/>
      <c r="M38" s="4">
        <v>44089</v>
      </c>
      <c r="N38">
        <v>8888</v>
      </c>
      <c r="O38">
        <v>53</v>
      </c>
      <c r="P38" s="13">
        <v>44089</v>
      </c>
      <c r="Q38">
        <v>8888</v>
      </c>
      <c r="R38">
        <v>53</v>
      </c>
      <c r="S38" s="13">
        <v>44086</v>
      </c>
      <c r="T38">
        <v>8729</v>
      </c>
      <c r="U38">
        <v>41</v>
      </c>
      <c r="V38" s="4">
        <v>44087</v>
      </c>
      <c r="W38">
        <v>8776</v>
      </c>
      <c r="X38">
        <v>46</v>
      </c>
      <c r="Y38" s="4">
        <v>44088</v>
      </c>
      <c r="Z38">
        <v>8836</v>
      </c>
      <c r="AA38">
        <v>59</v>
      </c>
      <c r="AB38">
        <v>44089</v>
      </c>
      <c r="AC38">
        <v>8888</v>
      </c>
      <c r="AD38">
        <v>53</v>
      </c>
    </row>
    <row r="39" spans="1:30">
      <c r="A39" t="str">
        <f t="shared" ca="1" si="1"/>
        <v/>
      </c>
      <c r="B39" s="4">
        <f t="shared" ca="1" si="2"/>
        <v>44090</v>
      </c>
      <c r="C39" s="11">
        <f t="shared" ca="1" si="0"/>
        <v>8945</v>
      </c>
      <c r="D39">
        <f t="shared" ref="D39" ca="1" si="7">C39-C38</f>
        <v>57</v>
      </c>
      <c r="E39" s="11">
        <f t="shared" ca="1" si="4"/>
        <v>0</v>
      </c>
      <c r="F39" s="11">
        <f t="shared" ca="1" si="6"/>
        <v>57</v>
      </c>
      <c r="K39" s="3"/>
      <c r="M39" s="13">
        <v>44090</v>
      </c>
      <c r="N39">
        <v>8945</v>
      </c>
      <c r="O39">
        <v>57</v>
      </c>
      <c r="P39" s="13">
        <v>44090</v>
      </c>
      <c r="Q39">
        <v>8945</v>
      </c>
      <c r="R39">
        <v>57</v>
      </c>
      <c r="S39" s="13">
        <v>44087</v>
      </c>
      <c r="T39">
        <v>8775</v>
      </c>
      <c r="U39">
        <v>46</v>
      </c>
      <c r="V39" s="13">
        <v>44088</v>
      </c>
      <c r="W39">
        <v>8835</v>
      </c>
      <c r="X39">
        <v>59</v>
      </c>
      <c r="Y39" s="13">
        <v>44089</v>
      </c>
      <c r="Z39">
        <v>8889</v>
      </c>
      <c r="AA39">
        <v>53</v>
      </c>
      <c r="AB39">
        <v>44090</v>
      </c>
      <c r="AC39">
        <v>8945</v>
      </c>
      <c r="AD39">
        <v>57</v>
      </c>
    </row>
    <row r="40" spans="1:30">
      <c r="A40" t="str">
        <f t="shared" ca="1" si="1"/>
        <v/>
      </c>
      <c r="B40" s="4">
        <f t="shared" ca="1" si="2"/>
        <v>44091</v>
      </c>
      <c r="C40" s="11">
        <f t="shared" ca="1" si="0"/>
        <v>9030</v>
      </c>
      <c r="D40">
        <f t="shared" ref="D40" ca="1" si="8">C40-C39</f>
        <v>85</v>
      </c>
      <c r="E40" s="11">
        <f t="shared" ca="1" si="4"/>
        <v>0</v>
      </c>
      <c r="F40" s="11">
        <f t="shared" ca="1" si="6"/>
        <v>85</v>
      </c>
      <c r="K40" s="3"/>
      <c r="M40" s="13">
        <v>44091</v>
      </c>
      <c r="N40">
        <v>9030</v>
      </c>
      <c r="O40">
        <v>85</v>
      </c>
      <c r="P40" s="13">
        <v>44091</v>
      </c>
      <c r="Q40">
        <v>9030</v>
      </c>
      <c r="R40">
        <v>85</v>
      </c>
      <c r="S40" s="13">
        <v>44088</v>
      </c>
      <c r="T40">
        <v>8834</v>
      </c>
      <c r="U40">
        <v>59</v>
      </c>
      <c r="V40" s="13">
        <v>44089</v>
      </c>
      <c r="W40">
        <v>8888</v>
      </c>
      <c r="X40">
        <v>53</v>
      </c>
      <c r="Y40" s="13">
        <v>44090</v>
      </c>
      <c r="Z40">
        <v>8946</v>
      </c>
      <c r="AA40">
        <v>57</v>
      </c>
      <c r="AB40">
        <v>44091</v>
      </c>
      <c r="AC40">
        <v>9030</v>
      </c>
      <c r="AD40">
        <v>85</v>
      </c>
    </row>
    <row r="41" spans="1:30">
      <c r="A41" t="str">
        <f t="shared" ca="1" si="1"/>
        <v/>
      </c>
      <c r="B41" s="4">
        <f t="shared" ca="1" si="2"/>
        <v>44092</v>
      </c>
      <c r="C41" s="11">
        <f t="shared" ca="1" si="0"/>
        <v>9106</v>
      </c>
      <c r="D41">
        <f t="shared" ref="D41" ca="1" si="9">C41-C40</f>
        <v>76</v>
      </c>
      <c r="E41" s="11">
        <f t="shared" ca="1" si="4"/>
        <v>0</v>
      </c>
      <c r="F41" s="11">
        <f t="shared" ca="1" si="6"/>
        <v>76</v>
      </c>
      <c r="K41" s="3"/>
      <c r="M41" s="13">
        <v>44092</v>
      </c>
      <c r="N41">
        <v>9106</v>
      </c>
      <c r="O41">
        <v>76</v>
      </c>
      <c r="P41" s="13">
        <v>44092</v>
      </c>
      <c r="Q41">
        <v>9106</v>
      </c>
      <c r="R41">
        <v>76</v>
      </c>
      <c r="S41" s="13">
        <v>44089</v>
      </c>
      <c r="T41">
        <v>8887</v>
      </c>
      <c r="U41">
        <v>53</v>
      </c>
      <c r="V41" s="13">
        <v>44090</v>
      </c>
      <c r="W41">
        <v>8945</v>
      </c>
      <c r="X41">
        <v>57</v>
      </c>
      <c r="Y41" s="13">
        <v>44091</v>
      </c>
      <c r="Z41">
        <v>9031</v>
      </c>
      <c r="AA41">
        <v>85</v>
      </c>
      <c r="AB41">
        <v>44092</v>
      </c>
      <c r="AC41">
        <v>9106</v>
      </c>
      <c r="AD41">
        <v>76</v>
      </c>
    </row>
    <row r="42" spans="1:30">
      <c r="A42" t="str">
        <f t="shared" ca="1" si="1"/>
        <v/>
      </c>
      <c r="B42" s="4">
        <f t="shared" ca="1" si="2"/>
        <v>44093</v>
      </c>
      <c r="C42" s="11">
        <f t="shared" ca="1" si="0"/>
        <v>9167</v>
      </c>
      <c r="D42">
        <f t="shared" ref="D42" ca="1" si="10">C42-C41</f>
        <v>61</v>
      </c>
      <c r="E42" s="11">
        <f t="shared" ca="1" si="4"/>
        <v>0</v>
      </c>
      <c r="F42" s="11">
        <f t="shared" ca="1" si="6"/>
        <v>61</v>
      </c>
      <c r="K42" s="3"/>
      <c r="M42" s="13">
        <v>44093</v>
      </c>
      <c r="N42">
        <v>9167</v>
      </c>
      <c r="O42">
        <v>61</v>
      </c>
      <c r="P42" s="13">
        <v>44093</v>
      </c>
      <c r="Q42">
        <v>9167</v>
      </c>
      <c r="R42">
        <v>61</v>
      </c>
      <c r="S42" s="13">
        <v>44090</v>
      </c>
      <c r="T42">
        <v>8944</v>
      </c>
      <c r="U42">
        <v>57</v>
      </c>
      <c r="V42" s="13">
        <v>44091</v>
      </c>
      <c r="W42">
        <v>9030</v>
      </c>
      <c r="X42">
        <v>85</v>
      </c>
      <c r="Y42" s="13">
        <v>44092</v>
      </c>
      <c r="Z42">
        <v>9107</v>
      </c>
      <c r="AA42">
        <v>76</v>
      </c>
      <c r="AB42">
        <v>44093</v>
      </c>
      <c r="AC42">
        <v>9167</v>
      </c>
      <c r="AD42">
        <v>61</v>
      </c>
    </row>
    <row r="43" spans="1:30">
      <c r="A43" t="str">
        <f t="shared" ca="1" si="1"/>
        <v/>
      </c>
      <c r="B43" s="4">
        <f t="shared" ca="1" si="2"/>
        <v>44094</v>
      </c>
      <c r="C43" s="11">
        <f t="shared" ca="1" si="0"/>
        <v>9240</v>
      </c>
      <c r="D43">
        <f t="shared" ref="D43" ca="1" si="11">C43-C42</f>
        <v>73</v>
      </c>
      <c r="E43" s="11">
        <f t="shared" ca="1" si="4"/>
        <v>0</v>
      </c>
      <c r="F43" s="11">
        <f t="shared" ca="1" si="6"/>
        <v>73</v>
      </c>
      <c r="G43" s="10"/>
      <c r="K43" s="3"/>
      <c r="M43" s="13">
        <v>44094</v>
      </c>
      <c r="N43">
        <v>9240</v>
      </c>
      <c r="O43">
        <v>73</v>
      </c>
      <c r="P43" s="13">
        <v>44094</v>
      </c>
      <c r="Q43">
        <v>9240</v>
      </c>
      <c r="R43">
        <v>73</v>
      </c>
      <c r="S43" s="13">
        <v>44091</v>
      </c>
      <c r="T43">
        <v>9029</v>
      </c>
      <c r="U43">
        <v>85</v>
      </c>
      <c r="V43" s="13">
        <v>44092</v>
      </c>
      <c r="W43">
        <v>9106</v>
      </c>
      <c r="X43">
        <v>76</v>
      </c>
      <c r="Y43" s="13">
        <v>44093</v>
      </c>
      <c r="Z43">
        <v>9168</v>
      </c>
      <c r="AA43">
        <v>61</v>
      </c>
      <c r="AB43">
        <v>44094</v>
      </c>
      <c r="AC43">
        <v>9240</v>
      </c>
      <c r="AD43">
        <v>73</v>
      </c>
    </row>
    <row r="44" spans="1:30" s="10" customFormat="1">
      <c r="A44" t="str">
        <f t="shared" ca="1" si="1"/>
        <v>Ma</v>
      </c>
      <c r="B44" s="9">
        <f t="shared" ca="1" si="2"/>
        <v>44095</v>
      </c>
      <c r="C44" s="10">
        <f t="shared" ca="1" si="0"/>
        <v>9359</v>
      </c>
      <c r="D44" s="10">
        <f t="shared" ref="D44" ca="1" si="12">C44-C43</f>
        <v>119</v>
      </c>
      <c r="E44" s="10">
        <f t="shared" ca="1" si="4"/>
        <v>0</v>
      </c>
      <c r="F44" s="10">
        <f t="shared" ca="1" si="6"/>
        <v>119</v>
      </c>
      <c r="G44" s="10">
        <f ca="1">SUM(D44:D50)</f>
        <v>710</v>
      </c>
      <c r="H44" s="10" t="str">
        <f ca="1">TEXT(G44/G37-1,"0 %")</f>
        <v>53 %</v>
      </c>
      <c r="I44" s="10">
        <f ca="1">SUM(D44:D57)</f>
        <v>1837</v>
      </c>
      <c r="K44" s="14"/>
      <c r="L44"/>
      <c r="M44" s="15">
        <v>44095</v>
      </c>
      <c r="N44" s="10">
        <v>9359</v>
      </c>
      <c r="O44" s="10">
        <v>119</v>
      </c>
      <c r="P44" s="15">
        <v>44095</v>
      </c>
      <c r="Q44" s="10">
        <v>9359</v>
      </c>
      <c r="R44" s="10">
        <v>119</v>
      </c>
      <c r="S44" s="15">
        <v>44092</v>
      </c>
      <c r="T44" s="10">
        <v>9105</v>
      </c>
      <c r="U44" s="10">
        <v>76</v>
      </c>
      <c r="V44" s="15">
        <v>44093</v>
      </c>
      <c r="W44" s="10">
        <v>9167</v>
      </c>
      <c r="X44" s="10">
        <v>61</v>
      </c>
      <c r="Y44" s="15">
        <v>44094</v>
      </c>
      <c r="Z44" s="10">
        <v>9241</v>
      </c>
      <c r="AA44" s="10">
        <v>73</v>
      </c>
      <c r="AB44" s="10">
        <v>44095</v>
      </c>
      <c r="AC44" s="10">
        <v>9359</v>
      </c>
      <c r="AD44" s="10">
        <v>119</v>
      </c>
    </row>
    <row r="45" spans="1:30">
      <c r="A45" t="str">
        <f t="shared" ca="1" si="1"/>
        <v/>
      </c>
      <c r="B45" s="4">
        <f t="shared" ca="1" si="2"/>
        <v>44096</v>
      </c>
      <c r="C45" s="11">
        <f t="shared" ca="1" si="0"/>
        <v>9464</v>
      </c>
      <c r="D45">
        <f t="shared" ref="D45" ca="1" si="13">C45-C44</f>
        <v>105</v>
      </c>
      <c r="E45" s="11">
        <f t="shared" ca="1" si="4"/>
        <v>0</v>
      </c>
      <c r="F45" s="11">
        <f t="shared" ca="1" si="6"/>
        <v>105</v>
      </c>
      <c r="K45" s="3"/>
      <c r="M45" s="13">
        <v>44096</v>
      </c>
      <c r="N45">
        <v>9464</v>
      </c>
      <c r="O45">
        <v>105</v>
      </c>
      <c r="P45" s="13">
        <v>44096</v>
      </c>
      <c r="Q45">
        <v>9464</v>
      </c>
      <c r="R45">
        <v>105</v>
      </c>
      <c r="S45" s="13">
        <v>44093</v>
      </c>
      <c r="T45">
        <v>9166</v>
      </c>
      <c r="U45">
        <v>61</v>
      </c>
      <c r="V45" s="13">
        <v>44094</v>
      </c>
      <c r="W45">
        <v>9240</v>
      </c>
      <c r="X45">
        <v>73</v>
      </c>
      <c r="Y45" s="13">
        <v>44095</v>
      </c>
      <c r="Z45">
        <v>9360</v>
      </c>
      <c r="AA45">
        <v>119</v>
      </c>
      <c r="AB45">
        <v>44096</v>
      </c>
      <c r="AC45">
        <v>9464</v>
      </c>
      <c r="AD45">
        <v>105</v>
      </c>
    </row>
    <row r="46" spans="1:30">
      <c r="A46" t="str">
        <f t="shared" ca="1" si="1"/>
        <v/>
      </c>
      <c r="B46" s="4">
        <f t="shared" ca="1" si="2"/>
        <v>44097</v>
      </c>
      <c r="C46" s="11">
        <f t="shared" ca="1" si="0"/>
        <v>9582</v>
      </c>
      <c r="D46">
        <f t="shared" ref="D46" ca="1" si="14">C46-C45</f>
        <v>118</v>
      </c>
      <c r="E46" s="11">
        <f t="shared" ca="1" si="4"/>
        <v>0</v>
      </c>
      <c r="F46" s="11">
        <f t="shared" ca="1" si="6"/>
        <v>118</v>
      </c>
      <c r="K46" s="3"/>
      <c r="M46" s="13">
        <v>44097</v>
      </c>
      <c r="N46">
        <v>9582</v>
      </c>
      <c r="O46">
        <v>118</v>
      </c>
      <c r="P46" s="13">
        <v>44097</v>
      </c>
      <c r="Q46">
        <v>9582</v>
      </c>
      <c r="R46">
        <v>118</v>
      </c>
      <c r="S46" s="13">
        <v>44094</v>
      </c>
      <c r="T46">
        <v>9239</v>
      </c>
      <c r="U46">
        <v>73</v>
      </c>
      <c r="V46" s="13">
        <v>44095</v>
      </c>
      <c r="W46">
        <v>9359</v>
      </c>
      <c r="X46">
        <v>119</v>
      </c>
      <c r="Y46" s="13">
        <v>44096</v>
      </c>
      <c r="Z46">
        <v>9465</v>
      </c>
      <c r="AA46">
        <v>105</v>
      </c>
      <c r="AB46">
        <v>44097</v>
      </c>
      <c r="AC46">
        <v>9582</v>
      </c>
      <c r="AD46">
        <v>118</v>
      </c>
    </row>
    <row r="47" spans="1:30">
      <c r="A47" t="str">
        <f t="shared" ca="1" si="1"/>
        <v/>
      </c>
      <c r="B47" s="4">
        <f t="shared" ca="1" si="2"/>
        <v>44098</v>
      </c>
      <c r="C47" s="11">
        <f t="shared" ca="1" si="0"/>
        <v>9680</v>
      </c>
      <c r="D47">
        <f t="shared" ref="D47" ca="1" si="15">C47-C46</f>
        <v>98</v>
      </c>
      <c r="E47" s="11">
        <f t="shared" ca="1" si="4"/>
        <v>0</v>
      </c>
      <c r="F47" s="11">
        <f t="shared" ca="1" si="6"/>
        <v>98</v>
      </c>
      <c r="K47" s="3"/>
      <c r="M47" s="13">
        <v>44098</v>
      </c>
      <c r="N47">
        <v>9680</v>
      </c>
      <c r="O47">
        <v>98</v>
      </c>
      <c r="P47" s="13">
        <v>44098</v>
      </c>
      <c r="Q47">
        <v>9680</v>
      </c>
      <c r="R47">
        <v>98</v>
      </c>
      <c r="S47" s="13">
        <v>44095</v>
      </c>
      <c r="T47">
        <v>9358</v>
      </c>
      <c r="U47">
        <v>119</v>
      </c>
      <c r="V47" s="13">
        <v>44096</v>
      </c>
      <c r="W47">
        <v>9464</v>
      </c>
      <c r="X47">
        <v>105</v>
      </c>
      <c r="Y47" s="13">
        <v>44097</v>
      </c>
      <c r="Z47">
        <v>9583</v>
      </c>
      <c r="AA47">
        <v>118</v>
      </c>
      <c r="AB47">
        <v>44098</v>
      </c>
      <c r="AC47">
        <v>9680</v>
      </c>
      <c r="AD47">
        <v>98</v>
      </c>
    </row>
    <row r="48" spans="1:30">
      <c r="A48" t="str">
        <f t="shared" ca="1" si="1"/>
        <v/>
      </c>
      <c r="B48" s="4">
        <f t="shared" ca="1" si="2"/>
        <v>44099</v>
      </c>
      <c r="C48" s="11">
        <f t="shared" ca="1" si="0"/>
        <v>9807</v>
      </c>
      <c r="D48">
        <f t="shared" ref="D48" ca="1" si="16">C48-C47</f>
        <v>127</v>
      </c>
      <c r="E48" s="11">
        <f t="shared" ca="1" si="4"/>
        <v>0</v>
      </c>
      <c r="F48" s="11">
        <f t="shared" ca="1" si="6"/>
        <v>127</v>
      </c>
      <c r="K48" s="3"/>
      <c r="M48" s="13">
        <v>44099</v>
      </c>
      <c r="N48">
        <v>9807</v>
      </c>
      <c r="O48">
        <v>127</v>
      </c>
      <c r="P48" s="13">
        <v>44099</v>
      </c>
      <c r="Q48">
        <v>9807</v>
      </c>
      <c r="R48">
        <v>127</v>
      </c>
      <c r="S48" s="13">
        <v>44096</v>
      </c>
      <c r="T48">
        <v>9463</v>
      </c>
      <c r="U48">
        <v>105</v>
      </c>
      <c r="V48" s="13">
        <v>44097</v>
      </c>
      <c r="W48">
        <v>9582</v>
      </c>
      <c r="X48">
        <v>118</v>
      </c>
      <c r="Y48" s="13">
        <v>44098</v>
      </c>
      <c r="Z48">
        <v>9681</v>
      </c>
      <c r="AA48">
        <v>98</v>
      </c>
      <c r="AB48">
        <v>44099</v>
      </c>
      <c r="AC48">
        <v>9807</v>
      </c>
      <c r="AD48">
        <v>127</v>
      </c>
    </row>
    <row r="49" spans="1:30">
      <c r="A49" t="str">
        <f t="shared" ca="1" si="1"/>
        <v/>
      </c>
      <c r="B49" s="4">
        <f t="shared" ca="1" si="2"/>
        <v>44100</v>
      </c>
      <c r="C49" s="11">
        <f t="shared" ca="1" si="0"/>
        <v>9880</v>
      </c>
      <c r="D49">
        <f t="shared" ref="D49" ca="1" si="17">C49-C48</f>
        <v>73</v>
      </c>
      <c r="E49" s="11">
        <f t="shared" ca="1" si="4"/>
        <v>0</v>
      </c>
      <c r="F49" s="11">
        <f t="shared" ca="1" si="6"/>
        <v>73</v>
      </c>
      <c r="K49" s="3"/>
      <c r="M49" s="13">
        <v>44100</v>
      </c>
      <c r="N49">
        <v>9880</v>
      </c>
      <c r="O49">
        <v>73</v>
      </c>
      <c r="P49" s="13">
        <v>44100</v>
      </c>
      <c r="Q49">
        <v>9880</v>
      </c>
      <c r="R49">
        <v>73</v>
      </c>
      <c r="S49" s="13">
        <v>44097</v>
      </c>
      <c r="T49">
        <v>9581</v>
      </c>
      <c r="U49">
        <v>118</v>
      </c>
      <c r="V49" s="13">
        <v>44098</v>
      </c>
      <c r="W49">
        <v>9680</v>
      </c>
      <c r="X49">
        <v>98</v>
      </c>
      <c r="Y49" s="13">
        <v>44099</v>
      </c>
      <c r="Z49">
        <v>9808</v>
      </c>
      <c r="AA49">
        <v>127</v>
      </c>
      <c r="AB49">
        <v>44100</v>
      </c>
      <c r="AC49">
        <v>9880</v>
      </c>
      <c r="AD49">
        <v>73</v>
      </c>
    </row>
    <row r="50" spans="1:30">
      <c r="A50" t="str">
        <f t="shared" ca="1" si="1"/>
        <v/>
      </c>
      <c r="B50" s="4">
        <f t="shared" ca="1" si="2"/>
        <v>44101</v>
      </c>
      <c r="C50" s="11">
        <f t="shared" ca="1" si="0"/>
        <v>9950</v>
      </c>
      <c r="D50">
        <f t="shared" ref="D50" ca="1" si="18">C50-C49</f>
        <v>70</v>
      </c>
      <c r="E50" s="11">
        <f t="shared" ca="1" si="4"/>
        <v>0</v>
      </c>
      <c r="F50" s="11">
        <f t="shared" ca="1" si="6"/>
        <v>70</v>
      </c>
      <c r="K50" s="3"/>
      <c r="M50" s="13">
        <v>44101</v>
      </c>
      <c r="N50">
        <v>9950</v>
      </c>
      <c r="O50">
        <v>70</v>
      </c>
      <c r="P50" s="13">
        <v>44101</v>
      </c>
      <c r="Q50">
        <v>9950</v>
      </c>
      <c r="R50">
        <v>70</v>
      </c>
      <c r="S50" s="13">
        <v>44098</v>
      </c>
      <c r="T50">
        <v>9679</v>
      </c>
      <c r="U50">
        <v>98</v>
      </c>
      <c r="V50" s="13">
        <v>44099</v>
      </c>
      <c r="W50">
        <v>9805</v>
      </c>
      <c r="X50">
        <v>125</v>
      </c>
      <c r="Y50" s="13">
        <v>44100</v>
      </c>
      <c r="Z50">
        <v>9881</v>
      </c>
      <c r="AA50">
        <v>73</v>
      </c>
      <c r="AB50">
        <v>44101</v>
      </c>
      <c r="AC50">
        <v>9950</v>
      </c>
      <c r="AD50">
        <v>70</v>
      </c>
    </row>
    <row r="51" spans="1:30" s="10" customFormat="1">
      <c r="A51" t="str">
        <f t="shared" ca="1" si="1"/>
        <v>Ma</v>
      </c>
      <c r="B51" s="9">
        <f t="shared" ca="1" si="2"/>
        <v>44102</v>
      </c>
      <c r="C51" s="10">
        <f t="shared" ca="1" si="0"/>
        <v>10074</v>
      </c>
      <c r="D51" s="10">
        <f t="shared" ref="D51" ca="1" si="19">C51-C50</f>
        <v>124</v>
      </c>
      <c r="E51" s="10">
        <f t="shared" ca="1" si="4"/>
        <v>0</v>
      </c>
      <c r="F51" s="10">
        <f t="shared" ca="1" si="6"/>
        <v>124</v>
      </c>
      <c r="G51" s="10">
        <f ca="1">SUM(D51:D57)</f>
        <v>1127</v>
      </c>
      <c r="H51" s="10" t="str">
        <f ca="1">TEXT(G51/G44-1,"0 %")</f>
        <v>59 %</v>
      </c>
      <c r="I51" s="10">
        <f ca="1">SUM(D51:D64)</f>
        <v>2262</v>
      </c>
      <c r="K51" s="14"/>
      <c r="L51"/>
      <c r="M51" s="15">
        <v>44102</v>
      </c>
      <c r="N51" s="10">
        <v>10074</v>
      </c>
      <c r="O51" s="10">
        <v>124</v>
      </c>
      <c r="P51" s="15">
        <v>44102</v>
      </c>
      <c r="Q51" s="10">
        <v>10074</v>
      </c>
      <c r="R51" s="10">
        <v>124</v>
      </c>
      <c r="S51" s="15">
        <v>44099</v>
      </c>
      <c r="T51" s="10">
        <v>9804</v>
      </c>
      <c r="U51" s="10">
        <v>125</v>
      </c>
      <c r="V51" s="15">
        <v>44100</v>
      </c>
      <c r="W51" s="10">
        <v>9878</v>
      </c>
      <c r="X51" s="10">
        <v>73</v>
      </c>
      <c r="Y51" s="15">
        <v>44101</v>
      </c>
      <c r="Z51" s="10">
        <v>9951</v>
      </c>
      <c r="AA51" s="10">
        <v>70</v>
      </c>
      <c r="AB51" s="10">
        <v>44102</v>
      </c>
      <c r="AC51" s="10">
        <v>10074</v>
      </c>
      <c r="AD51" s="10">
        <v>124</v>
      </c>
    </row>
    <row r="52" spans="1:30">
      <c r="A52" t="str">
        <f t="shared" ca="1" si="1"/>
        <v/>
      </c>
      <c r="B52" s="4">
        <f t="shared" ca="1" si="2"/>
        <v>44103</v>
      </c>
      <c r="C52" s="11">
        <f t="shared" ca="1" si="0"/>
        <v>10209</v>
      </c>
      <c r="D52">
        <f t="shared" ref="D52:D63" ca="1" si="20">C52-C51</f>
        <v>135</v>
      </c>
      <c r="E52" s="11">
        <f t="shared" ca="1" si="4"/>
        <v>0</v>
      </c>
      <c r="F52" s="11">
        <f t="shared" ca="1" si="6"/>
        <v>135</v>
      </c>
      <c r="G52" s="10"/>
      <c r="K52" s="3"/>
      <c r="M52" s="13">
        <v>44103</v>
      </c>
      <c r="N52">
        <v>10209</v>
      </c>
      <c r="O52">
        <v>135</v>
      </c>
      <c r="P52" s="13">
        <v>44103</v>
      </c>
      <c r="Q52">
        <v>10209</v>
      </c>
      <c r="R52">
        <v>135</v>
      </c>
      <c r="S52" s="13">
        <v>44100</v>
      </c>
      <c r="T52">
        <v>9877</v>
      </c>
      <c r="U52">
        <v>73</v>
      </c>
      <c r="V52" s="13">
        <v>44101</v>
      </c>
      <c r="W52">
        <v>9947</v>
      </c>
      <c r="X52">
        <v>69</v>
      </c>
      <c r="Y52" s="13">
        <v>44102</v>
      </c>
      <c r="Z52">
        <v>10075</v>
      </c>
      <c r="AA52">
        <v>124</v>
      </c>
      <c r="AB52">
        <v>44103</v>
      </c>
      <c r="AC52">
        <v>10209</v>
      </c>
      <c r="AD52">
        <v>135</v>
      </c>
    </row>
    <row r="53" spans="1:30">
      <c r="A53" t="str">
        <f t="shared" ca="1" si="1"/>
        <v/>
      </c>
      <c r="B53" s="4">
        <f t="shared" ca="1" si="2"/>
        <v>44104</v>
      </c>
      <c r="C53" s="11">
        <f t="shared" ca="1" si="0"/>
        <v>10376</v>
      </c>
      <c r="D53">
        <f t="shared" ca="1" si="20"/>
        <v>167</v>
      </c>
      <c r="E53" s="11">
        <f t="shared" ca="1" si="4"/>
        <v>0</v>
      </c>
      <c r="F53" s="11">
        <f t="shared" ca="1" si="6"/>
        <v>167</v>
      </c>
      <c r="J53" s="13"/>
      <c r="K53" s="3"/>
      <c r="M53" s="13">
        <v>44104</v>
      </c>
      <c r="N53">
        <v>10376</v>
      </c>
      <c r="O53">
        <v>167</v>
      </c>
      <c r="P53" s="13">
        <v>44104</v>
      </c>
      <c r="Q53">
        <v>10376</v>
      </c>
      <c r="R53">
        <v>167</v>
      </c>
      <c r="S53" s="13">
        <v>44101</v>
      </c>
      <c r="T53">
        <v>9946</v>
      </c>
      <c r="U53">
        <v>69</v>
      </c>
      <c r="V53" s="13">
        <v>44102</v>
      </c>
      <c r="W53">
        <v>10070</v>
      </c>
      <c r="X53">
        <v>123</v>
      </c>
      <c r="Y53" s="13">
        <v>44103</v>
      </c>
      <c r="Z53">
        <v>10210</v>
      </c>
      <c r="AA53">
        <v>135</v>
      </c>
      <c r="AB53">
        <v>44104</v>
      </c>
      <c r="AC53">
        <v>10376</v>
      </c>
      <c r="AD53">
        <v>167</v>
      </c>
    </row>
    <row r="54" spans="1:30">
      <c r="A54" t="str">
        <f t="shared" ca="1" si="1"/>
        <v/>
      </c>
      <c r="B54" s="4">
        <f t="shared" ca="1" si="2"/>
        <v>44105</v>
      </c>
      <c r="C54" s="11">
        <f t="shared" ca="1" si="0"/>
        <v>10568</v>
      </c>
      <c r="D54">
        <f t="shared" ca="1" si="20"/>
        <v>192</v>
      </c>
      <c r="E54" s="11">
        <f t="shared" ca="1" si="4"/>
        <v>1</v>
      </c>
      <c r="F54" s="11">
        <f t="shared" ca="1" si="6"/>
        <v>191</v>
      </c>
      <c r="J54" s="13"/>
      <c r="K54" s="3"/>
      <c r="M54" s="13">
        <v>44105</v>
      </c>
      <c r="N54">
        <v>10567</v>
      </c>
      <c r="O54">
        <v>191</v>
      </c>
      <c r="P54" s="13">
        <v>44105</v>
      </c>
      <c r="Q54">
        <v>10567</v>
      </c>
      <c r="R54">
        <v>191</v>
      </c>
      <c r="S54" s="13">
        <v>44102</v>
      </c>
      <c r="T54">
        <v>10069</v>
      </c>
      <c r="U54">
        <v>123</v>
      </c>
      <c r="V54" s="13">
        <v>44103</v>
      </c>
      <c r="W54">
        <v>10205</v>
      </c>
      <c r="X54">
        <v>135</v>
      </c>
      <c r="Y54" s="13">
        <v>44104</v>
      </c>
      <c r="Z54">
        <v>10378</v>
      </c>
      <c r="AA54">
        <v>168</v>
      </c>
      <c r="AB54">
        <v>44105</v>
      </c>
      <c r="AC54">
        <v>10567</v>
      </c>
      <c r="AD54">
        <v>191</v>
      </c>
    </row>
    <row r="55" spans="1:30">
      <c r="A55" t="str">
        <f t="shared" ca="1" si="1"/>
        <v/>
      </c>
      <c r="B55" s="4">
        <f t="shared" ca="1" si="2"/>
        <v>44106</v>
      </c>
      <c r="C55" s="11">
        <f t="shared" ca="1" si="0"/>
        <v>10758</v>
      </c>
      <c r="D55">
        <f t="shared" ca="1" si="20"/>
        <v>190</v>
      </c>
      <c r="E55" s="11">
        <f t="shared" ca="1" si="4"/>
        <v>-1</v>
      </c>
      <c r="F55" s="11">
        <f t="shared" ca="1" si="6"/>
        <v>191</v>
      </c>
      <c r="J55" s="13"/>
      <c r="K55" s="3"/>
      <c r="M55" s="13">
        <v>44106</v>
      </c>
      <c r="N55">
        <v>10758</v>
      </c>
      <c r="O55">
        <v>191</v>
      </c>
      <c r="P55" s="13">
        <v>44106</v>
      </c>
      <c r="Q55">
        <v>10758</v>
      </c>
      <c r="R55">
        <v>191</v>
      </c>
      <c r="S55" s="13">
        <v>44103</v>
      </c>
      <c r="T55">
        <v>10205</v>
      </c>
      <c r="U55">
        <v>136</v>
      </c>
      <c r="V55" s="13">
        <v>44104</v>
      </c>
      <c r="W55">
        <v>10372</v>
      </c>
      <c r="X55">
        <v>167</v>
      </c>
      <c r="Y55" s="13">
        <v>44105</v>
      </c>
      <c r="Z55">
        <v>10569</v>
      </c>
      <c r="AA55">
        <v>191</v>
      </c>
      <c r="AB55">
        <v>44106</v>
      </c>
      <c r="AC55">
        <v>10758</v>
      </c>
      <c r="AD55">
        <v>191</v>
      </c>
    </row>
    <row r="56" spans="1:30">
      <c r="A56" t="str">
        <f t="shared" ca="1" si="1"/>
        <v/>
      </c>
      <c r="B56" s="4">
        <f t="shared" ca="1" si="2"/>
        <v>44107</v>
      </c>
      <c r="C56" s="11">
        <f t="shared" ca="1" si="0"/>
        <v>10930</v>
      </c>
      <c r="D56">
        <f t="shared" ca="1" si="20"/>
        <v>172</v>
      </c>
      <c r="E56" s="11">
        <f t="shared" ca="1" si="4"/>
        <v>-5</v>
      </c>
      <c r="F56" s="11">
        <f t="shared" ca="1" si="6"/>
        <v>177</v>
      </c>
      <c r="J56" s="13"/>
      <c r="K56" s="3"/>
      <c r="M56" s="13">
        <v>44107</v>
      </c>
      <c r="N56">
        <v>10935</v>
      </c>
      <c r="O56">
        <v>177</v>
      </c>
      <c r="P56" s="13">
        <v>44107</v>
      </c>
      <c r="Q56">
        <v>10935</v>
      </c>
      <c r="R56">
        <v>177</v>
      </c>
      <c r="S56" s="13">
        <v>44104</v>
      </c>
      <c r="T56">
        <v>10371</v>
      </c>
      <c r="U56">
        <v>166</v>
      </c>
      <c r="V56" s="13">
        <v>44105</v>
      </c>
      <c r="W56">
        <v>10560</v>
      </c>
      <c r="X56">
        <v>188</v>
      </c>
      <c r="Y56" s="13">
        <v>44106</v>
      </c>
      <c r="Z56">
        <v>10761</v>
      </c>
      <c r="AA56">
        <v>192</v>
      </c>
      <c r="AB56">
        <v>44107</v>
      </c>
      <c r="AC56">
        <v>10935</v>
      </c>
      <c r="AD56">
        <v>177</v>
      </c>
    </row>
    <row r="57" spans="1:30">
      <c r="A57" t="str">
        <f ca="1">IF(WEEKDAY(B57,2)=1,"Ma","")</f>
        <v/>
      </c>
      <c r="B57" s="4">
        <f t="shared" ca="1" si="2"/>
        <v>44108</v>
      </c>
      <c r="C57" s="11">
        <f t="shared" ca="1" si="0"/>
        <v>11077</v>
      </c>
      <c r="D57">
        <f t="shared" ca="1" si="20"/>
        <v>147</v>
      </c>
      <c r="E57" s="11">
        <f t="shared" ca="1" si="4"/>
        <v>-1</v>
      </c>
      <c r="F57" s="11">
        <f t="shared" ca="1" si="6"/>
        <v>148</v>
      </c>
      <c r="J57" s="13"/>
      <c r="K57" s="3"/>
      <c r="M57" s="13">
        <v>44108</v>
      </c>
      <c r="N57">
        <v>11083</v>
      </c>
      <c r="O57">
        <v>148</v>
      </c>
      <c r="P57" s="13">
        <v>44108</v>
      </c>
      <c r="Q57">
        <v>11083</v>
      </c>
      <c r="R57">
        <v>148</v>
      </c>
      <c r="S57" s="13">
        <v>44105</v>
      </c>
      <c r="T57">
        <v>10558</v>
      </c>
      <c r="U57">
        <v>187</v>
      </c>
      <c r="V57" s="13">
        <v>44106</v>
      </c>
      <c r="W57">
        <v>10748</v>
      </c>
      <c r="X57">
        <v>188</v>
      </c>
      <c r="Y57" s="13">
        <v>44107</v>
      </c>
      <c r="Z57">
        <v>10939</v>
      </c>
      <c r="AA57">
        <v>178</v>
      </c>
      <c r="AB57">
        <v>44108</v>
      </c>
      <c r="AC57">
        <v>11083</v>
      </c>
      <c r="AD57">
        <v>148</v>
      </c>
    </row>
    <row r="58" spans="1:30" s="10" customFormat="1">
      <c r="A58" t="str">
        <f t="shared" ca="1" si="1"/>
        <v>Ma</v>
      </c>
      <c r="B58" s="9">
        <f t="shared" ca="1" si="2"/>
        <v>44109</v>
      </c>
      <c r="C58" s="10">
        <f t="shared" ca="1" si="0"/>
        <v>11354</v>
      </c>
      <c r="D58" s="10">
        <f t="shared" ca="1" si="20"/>
        <v>277</v>
      </c>
      <c r="E58" s="10">
        <f t="shared" ca="1" si="4"/>
        <v>5</v>
      </c>
      <c r="F58" s="10">
        <f t="shared" ca="1" si="6"/>
        <v>272</v>
      </c>
      <c r="G58" s="10">
        <f ca="1">SUM(D58:D64)</f>
        <v>1135</v>
      </c>
      <c r="J58" s="15"/>
      <c r="K58" s="14"/>
      <c r="L58"/>
      <c r="M58" s="15">
        <v>44109</v>
      </c>
      <c r="N58" s="10">
        <v>11355</v>
      </c>
      <c r="O58" s="10">
        <v>272</v>
      </c>
      <c r="P58" s="15">
        <v>44109</v>
      </c>
      <c r="Q58" s="10">
        <v>11355</v>
      </c>
      <c r="R58" s="10">
        <v>272</v>
      </c>
      <c r="S58" s="15">
        <v>44106</v>
      </c>
      <c r="T58" s="10">
        <v>10747</v>
      </c>
      <c r="U58" s="10">
        <v>189</v>
      </c>
      <c r="V58" s="15">
        <v>44107</v>
      </c>
      <c r="W58" s="10">
        <v>10920</v>
      </c>
      <c r="X58" s="10">
        <v>172</v>
      </c>
      <c r="Y58" s="15">
        <v>44108</v>
      </c>
      <c r="Z58" s="10">
        <v>11091</v>
      </c>
      <c r="AA58" s="10">
        <v>152</v>
      </c>
      <c r="AB58" s="10">
        <v>44109</v>
      </c>
      <c r="AC58" s="10">
        <v>11355</v>
      </c>
      <c r="AD58" s="10">
        <v>272</v>
      </c>
    </row>
    <row r="59" spans="1:30">
      <c r="A59" t="str">
        <f t="shared" ca="1" si="1"/>
        <v/>
      </c>
      <c r="B59" s="4">
        <f t="shared" ca="1" si="2"/>
        <v>44110</v>
      </c>
      <c r="C59" s="11">
        <f t="shared" ca="1" si="0"/>
        <v>11616</v>
      </c>
      <c r="D59">
        <f t="shared" ca="1" si="20"/>
        <v>262</v>
      </c>
      <c r="E59" s="11">
        <f t="shared" ca="1" si="4"/>
        <v>4</v>
      </c>
      <c r="F59" s="11">
        <f t="shared" ca="1" si="6"/>
        <v>258</v>
      </c>
      <c r="H59" s="10"/>
      <c r="J59" s="13"/>
      <c r="K59" s="3"/>
      <c r="M59" s="13">
        <v>44110</v>
      </c>
      <c r="N59">
        <v>11613</v>
      </c>
      <c r="O59">
        <v>258</v>
      </c>
      <c r="P59" s="13">
        <v>44110</v>
      </c>
      <c r="Q59">
        <v>11613</v>
      </c>
      <c r="R59">
        <v>258</v>
      </c>
      <c r="S59" s="13">
        <v>44107</v>
      </c>
      <c r="T59">
        <v>10917</v>
      </c>
      <c r="U59">
        <v>170</v>
      </c>
      <c r="V59" s="13">
        <v>44108</v>
      </c>
      <c r="W59">
        <v>11067</v>
      </c>
      <c r="X59">
        <v>147</v>
      </c>
      <c r="Y59" s="13">
        <v>44109</v>
      </c>
      <c r="Z59">
        <v>11363</v>
      </c>
      <c r="AA59">
        <v>272</v>
      </c>
      <c r="AB59">
        <v>44110</v>
      </c>
      <c r="AC59">
        <v>11613</v>
      </c>
      <c r="AD59">
        <v>258</v>
      </c>
    </row>
    <row r="60" spans="1:30">
      <c r="A60" t="str">
        <f t="shared" ca="1" si="1"/>
        <v/>
      </c>
      <c r="B60" s="4">
        <f t="shared" ca="1" si="2"/>
        <v>44111</v>
      </c>
      <c r="C60" s="11">
        <f t="shared" ca="1" si="0"/>
        <v>11861</v>
      </c>
      <c r="D60">
        <f t="shared" ca="1" si="20"/>
        <v>245</v>
      </c>
      <c r="E60" s="11">
        <f t="shared" ca="1" si="4"/>
        <v>50</v>
      </c>
      <c r="F60" s="11">
        <f t="shared" ca="1" si="6"/>
        <v>195</v>
      </c>
      <c r="J60" s="4"/>
      <c r="K60" s="3"/>
      <c r="M60" s="13">
        <v>44111</v>
      </c>
      <c r="N60">
        <v>11808</v>
      </c>
      <c r="O60">
        <v>195</v>
      </c>
      <c r="P60" s="13">
        <v>44111</v>
      </c>
      <c r="Q60">
        <v>11808</v>
      </c>
      <c r="R60">
        <v>195</v>
      </c>
      <c r="S60" s="13">
        <v>44108</v>
      </c>
      <c r="T60">
        <v>11061</v>
      </c>
      <c r="U60">
        <v>144</v>
      </c>
      <c r="V60" s="13">
        <v>44109</v>
      </c>
      <c r="W60">
        <v>11308</v>
      </c>
      <c r="X60">
        <v>241</v>
      </c>
      <c r="Y60" s="13">
        <v>44110</v>
      </c>
      <c r="Z60">
        <v>11605</v>
      </c>
      <c r="AA60">
        <v>242</v>
      </c>
      <c r="AB60">
        <v>44111</v>
      </c>
      <c r="AC60">
        <v>11808</v>
      </c>
      <c r="AD60">
        <v>195</v>
      </c>
    </row>
    <row r="61" spans="1:30">
      <c r="A61" t="str">
        <f t="shared" ref="A61:A64" ca="1" si="21">IF(WEEKDAY(B61,2)=1,"Ma","")</f>
        <v/>
      </c>
      <c r="B61" s="4">
        <f t="shared" ca="1" si="2"/>
        <v>44112</v>
      </c>
      <c r="C61" s="11">
        <f t="shared" ca="1" si="0"/>
        <v>12039</v>
      </c>
      <c r="D61">
        <f t="shared" ca="1" si="20"/>
        <v>178</v>
      </c>
      <c r="E61" s="11">
        <f t="shared" ca="1" si="4"/>
        <v>32</v>
      </c>
      <c r="F61" s="11">
        <f t="shared" ca="1" si="6"/>
        <v>146</v>
      </c>
      <c r="J61" s="4"/>
      <c r="K61" s="3"/>
      <c r="M61" s="13">
        <v>44112</v>
      </c>
      <c r="N61">
        <v>11954</v>
      </c>
      <c r="O61">
        <v>146</v>
      </c>
      <c r="P61" s="13">
        <v>44112</v>
      </c>
      <c r="Q61">
        <v>11954</v>
      </c>
      <c r="R61">
        <v>146</v>
      </c>
      <c r="S61" s="13">
        <v>44109</v>
      </c>
      <c r="T61">
        <v>11250</v>
      </c>
      <c r="U61">
        <v>189</v>
      </c>
      <c r="V61" s="13">
        <v>44110</v>
      </c>
      <c r="W61">
        <v>11499</v>
      </c>
      <c r="X61">
        <v>191</v>
      </c>
      <c r="Y61" s="13">
        <v>44111</v>
      </c>
      <c r="Z61">
        <v>11779</v>
      </c>
      <c r="AA61">
        <v>174</v>
      </c>
      <c r="AB61">
        <v>44112</v>
      </c>
      <c r="AC61">
        <v>11954</v>
      </c>
      <c r="AD61">
        <v>146</v>
      </c>
    </row>
    <row r="62" spans="1:30">
      <c r="A62" t="str">
        <f t="shared" ca="1" si="21"/>
        <v/>
      </c>
      <c r="B62" s="4">
        <f t="shared" ca="1" si="2"/>
        <v>44113</v>
      </c>
      <c r="C62" s="11">
        <f t="shared" ca="1" si="0"/>
        <v>12160</v>
      </c>
      <c r="D62">
        <f t="shared" ca="1" si="20"/>
        <v>121</v>
      </c>
      <c r="E62" s="11">
        <f t="shared" ca="1" si="4"/>
        <v>82</v>
      </c>
      <c r="F62" s="11">
        <f t="shared" ca="1" si="6"/>
        <v>39</v>
      </c>
      <c r="J62" s="4"/>
      <c r="K62" s="3"/>
      <c r="M62" s="13">
        <v>44113</v>
      </c>
      <c r="N62">
        <v>11993</v>
      </c>
      <c r="O62">
        <v>39</v>
      </c>
      <c r="P62" s="13">
        <v>44113</v>
      </c>
      <c r="Q62">
        <v>11993</v>
      </c>
      <c r="R62">
        <v>39</v>
      </c>
      <c r="S62" s="13">
        <v>44110</v>
      </c>
      <c r="T62">
        <v>11340</v>
      </c>
      <c r="U62">
        <v>90</v>
      </c>
      <c r="V62" s="13">
        <v>44111</v>
      </c>
      <c r="W62">
        <v>11574</v>
      </c>
      <c r="X62">
        <v>75</v>
      </c>
      <c r="Y62" s="13">
        <v>44112</v>
      </c>
      <c r="Z62">
        <v>11831</v>
      </c>
      <c r="AA62">
        <v>52</v>
      </c>
      <c r="AB62">
        <v>44113</v>
      </c>
      <c r="AC62">
        <v>11993</v>
      </c>
      <c r="AD62">
        <v>39</v>
      </c>
    </row>
    <row r="63" spans="1:30">
      <c r="A63" t="str">
        <f t="shared" ca="1" si="21"/>
        <v/>
      </c>
      <c r="B63" s="4">
        <f ca="1">B64-1</f>
        <v>44114</v>
      </c>
      <c r="C63" s="11">
        <f t="shared" ca="1" si="0"/>
        <v>12203</v>
      </c>
      <c r="D63">
        <f t="shared" ca="1" si="20"/>
        <v>43</v>
      </c>
      <c r="E63" s="11">
        <f t="shared" ca="1" si="4"/>
        <v>38</v>
      </c>
      <c r="F63" s="11">
        <f t="shared" ca="1" si="6"/>
        <v>5</v>
      </c>
      <c r="J63" s="4"/>
      <c r="K63" s="3"/>
      <c r="M63" s="13">
        <v>44114</v>
      </c>
      <c r="N63">
        <v>11998</v>
      </c>
      <c r="O63">
        <v>5</v>
      </c>
      <c r="P63" s="13">
        <v>44114</v>
      </c>
      <c r="Q63">
        <v>11998</v>
      </c>
      <c r="R63">
        <v>5</v>
      </c>
      <c r="S63" s="13">
        <v>44111</v>
      </c>
      <c r="T63">
        <v>11345</v>
      </c>
      <c r="U63">
        <v>5</v>
      </c>
      <c r="V63" s="13">
        <v>44112</v>
      </c>
      <c r="W63">
        <v>11580</v>
      </c>
      <c r="X63">
        <v>6</v>
      </c>
      <c r="Y63" s="13">
        <v>44113</v>
      </c>
      <c r="Z63">
        <v>11849</v>
      </c>
      <c r="AA63">
        <v>18</v>
      </c>
      <c r="AB63">
        <v>44114</v>
      </c>
      <c r="AC63">
        <v>11998</v>
      </c>
      <c r="AD63">
        <v>5</v>
      </c>
    </row>
    <row r="64" spans="1:30" s="10" customFormat="1">
      <c r="A64" t="str">
        <f t="shared" ca="1" si="21"/>
        <v/>
      </c>
      <c r="B64" s="9">
        <f ca="1">B65-1</f>
        <v>44115</v>
      </c>
      <c r="C64" s="10">
        <f t="shared" ca="1" si="0"/>
        <v>12212</v>
      </c>
      <c r="D64" s="10">
        <f ca="1">C64-C63</f>
        <v>9</v>
      </c>
      <c r="E64" s="10">
        <f t="shared" ca="1" si="4"/>
        <v>9</v>
      </c>
      <c r="F64" s="10">
        <f t="shared" ca="1" si="6"/>
        <v>0</v>
      </c>
      <c r="J64" s="9"/>
      <c r="K64" s="14"/>
      <c r="M64" s="9">
        <v>44115</v>
      </c>
      <c r="N64" s="10">
        <v>11998</v>
      </c>
      <c r="O64" s="10">
        <v>0</v>
      </c>
      <c r="P64" s="15">
        <v>44115</v>
      </c>
      <c r="Q64" s="10">
        <v>11998</v>
      </c>
      <c r="R64" s="10">
        <v>0</v>
      </c>
      <c r="S64" s="15">
        <v>44112</v>
      </c>
      <c r="T64" s="10">
        <v>11345</v>
      </c>
      <c r="U64" s="10">
        <v>0</v>
      </c>
      <c r="V64" s="9">
        <v>44113</v>
      </c>
      <c r="W64" s="10">
        <v>11580</v>
      </c>
      <c r="X64" s="10">
        <v>0</v>
      </c>
      <c r="Y64" s="9">
        <v>44114</v>
      </c>
      <c r="Z64" s="10">
        <v>11849</v>
      </c>
      <c r="AA64" s="10">
        <v>0</v>
      </c>
      <c r="AB64" s="10">
        <v>44115</v>
      </c>
      <c r="AC64" s="10">
        <v>11998</v>
      </c>
      <c r="AD64" s="10">
        <v>0</v>
      </c>
    </row>
    <row r="65" spans="1:30">
      <c r="A65" t="str">
        <f ca="1">IF(WEEKDAY(B65,2)=1,"Ma","")</f>
        <v>Ma</v>
      </c>
      <c r="B65" s="12">
        <f ca="1">FLOOR(NOW(),1)</f>
        <v>44116</v>
      </c>
      <c r="C65" s="11">
        <f t="shared" ca="1" si="0"/>
        <v>12212</v>
      </c>
      <c r="D65" s="11">
        <f ca="1">C65-C64</f>
        <v>0</v>
      </c>
      <c r="E65" s="11">
        <f ca="1">_xlfn.IFNA(D65-F65,"")</f>
        <v>0</v>
      </c>
      <c r="F65" s="11">
        <f t="shared" ca="1" si="6"/>
        <v>0</v>
      </c>
      <c r="K65" t="s">
        <v>309</v>
      </c>
      <c r="L65">
        <f ca="1">C65-N65</f>
        <v>214</v>
      </c>
      <c r="M65" s="4">
        <v>44116</v>
      </c>
      <c r="N65">
        <v>11998</v>
      </c>
      <c r="O65">
        <v>0</v>
      </c>
      <c r="P65" s="13">
        <v>44116</v>
      </c>
      <c r="Q65">
        <v>11998</v>
      </c>
      <c r="R65">
        <v>0</v>
      </c>
      <c r="S65" s="13">
        <v>44113</v>
      </c>
      <c r="T65">
        <v>11345</v>
      </c>
      <c r="U65">
        <v>0</v>
      </c>
      <c r="V65" s="4">
        <v>44114</v>
      </c>
      <c r="W65">
        <v>11580</v>
      </c>
      <c r="X65">
        <v>0</v>
      </c>
      <c r="Y65" s="4">
        <v>44115</v>
      </c>
      <c r="Z65">
        <v>11849</v>
      </c>
      <c r="AA65">
        <v>0</v>
      </c>
      <c r="AB65">
        <v>44116</v>
      </c>
      <c r="AC65">
        <v>11998</v>
      </c>
      <c r="AD65">
        <v>0</v>
      </c>
    </row>
    <row r="67" spans="1:30">
      <c r="A67">
        <v>1</v>
      </c>
      <c r="B67">
        <v>2</v>
      </c>
      <c r="C67">
        <v>3</v>
      </c>
      <c r="D67">
        <v>4</v>
      </c>
      <c r="E67">
        <v>5</v>
      </c>
      <c r="F67">
        <v>6</v>
      </c>
      <c r="G67">
        <v>7</v>
      </c>
      <c r="H67">
        <v>8</v>
      </c>
      <c r="I67">
        <v>9</v>
      </c>
      <c r="J67">
        <v>10</v>
      </c>
      <c r="K67">
        <v>11</v>
      </c>
      <c r="L67">
        <v>12</v>
      </c>
      <c r="V67">
        <f>W65-T65</f>
        <v>235</v>
      </c>
      <c r="Y67">
        <f>Z65-W65</f>
        <v>269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2020-10-12T09:09:43Z</dcterms:modified>
</cp:coreProperties>
</file>