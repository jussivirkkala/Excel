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44934" documentId="8_{65163545-F7BC-4094-92C2-CE08C4602696}" xr6:coauthVersionLast="47" xr6:coauthVersionMax="47" xr10:uidLastSave="{4FC044EF-02C7-46A0-892D-1C630C637570}"/>
  <bookViews>
    <workbookView xWindow="888" yWindow="-108" windowWidth="22260" windowHeight="13176"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81" i="1" l="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FM38" i="2"/>
  <c r="AFJ38" i="2"/>
  <c r="AEO38" i="2"/>
  <c r="AEL38" i="2"/>
  <c r="ABR38" i="2"/>
  <c r="ABI38" i="2"/>
  <c r="ABF38" i="2"/>
  <c r="AAT38" i="2"/>
  <c r="AAK38" i="2"/>
  <c r="AAH38" i="2"/>
  <c r="ZY38" i="2"/>
  <c r="ZV38" i="2"/>
  <c r="YX38" i="2"/>
  <c r="YO38" i="2"/>
  <c r="YL38" i="2"/>
  <c r="YC38" i="2"/>
  <c r="XZ38" i="2"/>
  <c r="XE38" i="2"/>
  <c r="XB38" i="2"/>
  <c r="WJ38" i="2"/>
  <c r="WG38" i="2"/>
  <c r="WD38" i="2"/>
  <c r="UT38" i="2"/>
  <c r="UH38" i="2"/>
  <c r="TV38" i="2"/>
  <c r="TJ38" i="2"/>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J38" i="2" s="1"/>
  <c r="ALG36" i="2"/>
  <c r="ALG38" i="2" s="1"/>
  <c r="ALD36" i="2"/>
  <c r="ALD38" i="2" s="1"/>
  <c r="ALA36" i="2"/>
  <c r="ALA38" i="2" s="1"/>
  <c r="AKX36" i="2"/>
  <c r="AKX38" i="2" s="1"/>
  <c r="AKU36" i="2"/>
  <c r="AKU38" i="2" s="1"/>
  <c r="AKR36" i="2"/>
  <c r="AKR38" i="2" s="1"/>
  <c r="AKO36" i="2"/>
  <c r="AKO38" i="2" s="1"/>
  <c r="AKL36" i="2"/>
  <c r="AKL38" i="2" s="1"/>
  <c r="AKI36" i="2"/>
  <c r="AKI38" i="2" s="1"/>
  <c r="AKF36" i="2"/>
  <c r="AKF38" i="2" s="1"/>
  <c r="AKC36" i="2"/>
  <c r="AKC38" i="2" s="1"/>
  <c r="AJZ36" i="2"/>
  <c r="AJZ38" i="2" s="1"/>
  <c r="AJW36" i="2"/>
  <c r="AJW38" i="2" s="1"/>
  <c r="AJT36" i="2"/>
  <c r="AJT38" i="2" s="1"/>
  <c r="AJQ36" i="2"/>
  <c r="AJQ38" i="2" s="1"/>
  <c r="AJN36" i="2"/>
  <c r="AJN38" i="2" s="1"/>
  <c r="AJK36" i="2"/>
  <c r="AJK38" i="2" s="1"/>
  <c r="AJH36" i="2"/>
  <c r="AJH38" i="2" s="1"/>
  <c r="AJE36" i="2"/>
  <c r="AJE38" i="2" s="1"/>
  <c r="AJB36" i="2"/>
  <c r="AJB38" i="2" s="1"/>
  <c r="AIY36" i="2"/>
  <c r="AIY38" i="2" s="1"/>
  <c r="AIV36" i="2"/>
  <c r="AIV38" i="2" s="1"/>
  <c r="AIS36" i="2"/>
  <c r="AIS38" i="2" s="1"/>
  <c r="AIP36" i="2"/>
  <c r="AIP38" i="2" s="1"/>
  <c r="AIM36" i="2"/>
  <c r="AIM38" i="2" s="1"/>
  <c r="AIJ36" i="2"/>
  <c r="AIJ38" i="2" s="1"/>
  <c r="AIG36" i="2"/>
  <c r="AIG38" i="2" s="1"/>
  <c r="AID36" i="2"/>
  <c r="AID38" i="2" s="1"/>
  <c r="AIA36" i="2"/>
  <c r="AIA38" i="2" s="1"/>
  <c r="AHX36" i="2"/>
  <c r="AHX38" i="2" s="1"/>
  <c r="AHU36" i="2"/>
  <c r="AHU38" i="2" s="1"/>
  <c r="AHR36" i="2"/>
  <c r="AHR38" i="2" s="1"/>
  <c r="AHO36" i="2"/>
  <c r="AHO38" i="2" s="1"/>
  <c r="AHL36" i="2"/>
  <c r="AHL38" i="2" s="1"/>
  <c r="AHI36" i="2"/>
  <c r="AHI38" i="2" s="1"/>
  <c r="AHF36" i="2"/>
  <c r="AHF38" i="2" s="1"/>
  <c r="AHC36" i="2"/>
  <c r="AHC38" i="2" s="1"/>
  <c r="AGZ36" i="2"/>
  <c r="AGZ38" i="2" s="1"/>
  <c r="AGW36" i="2"/>
  <c r="AGW38" i="2" s="1"/>
  <c r="AGT36" i="2"/>
  <c r="AGT38" i="2" s="1"/>
  <c r="AGQ36" i="2"/>
  <c r="AGQ38" i="2" s="1"/>
  <c r="AGN36" i="2"/>
  <c r="AGN38" i="2" s="1"/>
  <c r="AGK36" i="2"/>
  <c r="AGK38" i="2" s="1"/>
  <c r="AGH36" i="2"/>
  <c r="AGH38" i="2" s="1"/>
  <c r="AGE36" i="2"/>
  <c r="AGE38" i="2" s="1"/>
  <c r="AGB36" i="2"/>
  <c r="AGB38" i="2" s="1"/>
  <c r="AFY36" i="2"/>
  <c r="AFY38" i="2" s="1"/>
  <c r="AFV36" i="2"/>
  <c r="AFV38" i="2" s="1"/>
  <c r="AFS36" i="2"/>
  <c r="AFS38" i="2" s="1"/>
  <c r="AFP36" i="2"/>
  <c r="AFP38" i="2" s="1"/>
  <c r="AFM36" i="2"/>
  <c r="AFJ36" i="2"/>
  <c r="AFG36" i="2"/>
  <c r="AFG38" i="2" s="1"/>
  <c r="AFD36" i="2"/>
  <c r="AFD38" i="2" s="1"/>
  <c r="AFA36" i="2"/>
  <c r="AFA38" i="2" s="1"/>
  <c r="AEX36" i="2"/>
  <c r="AEX38" i="2" s="1"/>
  <c r="AEU36" i="2"/>
  <c r="AEU38" i="2" s="1"/>
  <c r="AER36" i="2"/>
  <c r="AER38" i="2" s="1"/>
  <c r="AEO36" i="2"/>
  <c r="AEL36" i="2"/>
  <c r="AEI36" i="2"/>
  <c r="AEI38" i="2" s="1"/>
  <c r="AEF36" i="2"/>
  <c r="AEF38" i="2" s="1"/>
  <c r="AEC36" i="2"/>
  <c r="AEC38" i="2" s="1"/>
  <c r="ADZ36" i="2"/>
  <c r="ADZ38" i="2" s="1"/>
  <c r="ADW36" i="2"/>
  <c r="ADW38" i="2" s="1"/>
  <c r="ADT36" i="2"/>
  <c r="ADT38" i="2" s="1"/>
  <c r="ADQ36" i="2"/>
  <c r="ADQ38" i="2" s="1"/>
  <c r="ADN36" i="2"/>
  <c r="ADN38" i="2" s="1"/>
  <c r="ADK36" i="2"/>
  <c r="ADK38" i="2" s="1"/>
  <c r="ADH36" i="2"/>
  <c r="ADH38" i="2" s="1"/>
  <c r="ADE36" i="2"/>
  <c r="ADE38" i="2" s="1"/>
  <c r="ADB36" i="2"/>
  <c r="ADB38" i="2" s="1"/>
  <c r="ACY36" i="2"/>
  <c r="ACY38" i="2" s="1"/>
  <c r="ACV36" i="2"/>
  <c r="ACV38" i="2" s="1"/>
  <c r="ACS36" i="2"/>
  <c r="ACS38" i="2" s="1"/>
  <c r="ACP36" i="2"/>
  <c r="ACP38" i="2" s="1"/>
  <c r="ACM36" i="2"/>
  <c r="ACM38" i="2" s="1"/>
  <c r="ACJ36" i="2"/>
  <c r="ACJ38" i="2" s="1"/>
  <c r="ACG36" i="2"/>
  <c r="ACG38" i="2" s="1"/>
  <c r="ACD36" i="2"/>
  <c r="ACD38" i="2" s="1"/>
  <c r="ACA36" i="2"/>
  <c r="ACA38" i="2" s="1"/>
  <c r="ABX36" i="2"/>
  <c r="ABX38" i="2" s="1"/>
  <c r="ABU36" i="2"/>
  <c r="ABU38" i="2" s="1"/>
  <c r="ABR36" i="2"/>
  <c r="ABO37" i="2"/>
  <c r="ABL37" i="2"/>
  <c r="ABI37" i="2"/>
  <c r="ABF37" i="2"/>
  <c r="ABO36" i="2"/>
  <c r="ABO38" i="2" s="1"/>
  <c r="ABL36" i="2"/>
  <c r="ABL38" i="2" s="1"/>
  <c r="ABI36" i="2"/>
  <c r="ABF36" i="2"/>
  <c r="ABC37" i="2"/>
  <c r="AAZ37" i="2"/>
  <c r="AAW37" i="2"/>
  <c r="AAT37" i="2"/>
  <c r="ABC36" i="2"/>
  <c r="ABC38" i="2" s="1"/>
  <c r="AAZ36" i="2"/>
  <c r="AAZ38" i="2" s="1"/>
  <c r="AAW36" i="2"/>
  <c r="AAW38" i="2" s="1"/>
  <c r="AAT36" i="2"/>
  <c r="AAQ37" i="2"/>
  <c r="AAN37" i="2"/>
  <c r="AAK37" i="2"/>
  <c r="AAH37" i="2"/>
  <c r="AAQ36" i="2"/>
  <c r="AAQ38" i="2" s="1"/>
  <c r="AAN36" i="2"/>
  <c r="AAN38" i="2" s="1"/>
  <c r="AAK36" i="2"/>
  <c r="AAH36" i="2"/>
  <c r="AAE37" i="2"/>
  <c r="AAB37" i="2"/>
  <c r="ZY37" i="2"/>
  <c r="ZV37" i="2"/>
  <c r="AAE36" i="2"/>
  <c r="AAE38" i="2" s="1"/>
  <c r="AAB36" i="2"/>
  <c r="AAB38" i="2" s="1"/>
  <c r="ZY36" i="2"/>
  <c r="ZV36" i="2"/>
  <c r="ZS37" i="2"/>
  <c r="ZP37" i="2"/>
  <c r="ZM37" i="2"/>
  <c r="ZJ37" i="2"/>
  <c r="ZS36" i="2"/>
  <c r="ZS38" i="2" s="1"/>
  <c r="ZP36" i="2"/>
  <c r="ZP38" i="2" s="1"/>
  <c r="ZM36" i="2"/>
  <c r="ZM38" i="2" s="1"/>
  <c r="ZJ36" i="2"/>
  <c r="ZJ38" i="2" s="1"/>
  <c r="ZG37" i="2"/>
  <c r="ZD37" i="2"/>
  <c r="ZA37" i="2"/>
  <c r="YX37" i="2"/>
  <c r="ZG36" i="2"/>
  <c r="ZG38" i="2" s="1"/>
  <c r="ZD36" i="2"/>
  <c r="ZD38" i="2" s="1"/>
  <c r="ZA36" i="2"/>
  <c r="ZA38" i="2" s="1"/>
  <c r="YX36" i="2"/>
  <c r="YU37" i="2"/>
  <c r="YR37" i="2"/>
  <c r="YO37" i="2"/>
  <c r="YL37" i="2"/>
  <c r="YU36" i="2"/>
  <c r="YU38" i="2" s="1"/>
  <c r="YR36" i="2"/>
  <c r="YR38" i="2" s="1"/>
  <c r="YO36" i="2"/>
  <c r="YL36" i="2"/>
  <c r="YI37" i="2"/>
  <c r="YF37" i="2"/>
  <c r="YC37" i="2"/>
  <c r="XZ37" i="2"/>
  <c r="YI36" i="2"/>
  <c r="YI38" i="2" s="1"/>
  <c r="YF36" i="2"/>
  <c r="YF38" i="2" s="1"/>
  <c r="YC36" i="2"/>
  <c r="XZ36" i="2"/>
  <c r="XW37" i="2"/>
  <c r="XT37" i="2"/>
  <c r="XQ37" i="2"/>
  <c r="XN37" i="2"/>
  <c r="XW36" i="2"/>
  <c r="XW38" i="2" s="1"/>
  <c r="XT36" i="2"/>
  <c r="XT38" i="2" s="1"/>
  <c r="XQ36" i="2"/>
  <c r="XQ38" i="2" s="1"/>
  <c r="XN36" i="2"/>
  <c r="XN38" i="2" s="1"/>
  <c r="XK37" i="2"/>
  <c r="XH37" i="2"/>
  <c r="XE37" i="2"/>
  <c r="XB37" i="2"/>
  <c r="WY37" i="2"/>
  <c r="WV37" i="2"/>
  <c r="WS37" i="2"/>
  <c r="WP37" i="2"/>
  <c r="WM37" i="2"/>
  <c r="WJ37" i="2"/>
  <c r="WG37" i="2"/>
  <c r="WD37" i="2"/>
  <c r="WA37" i="2"/>
  <c r="VX37" i="2"/>
  <c r="VU37" i="2"/>
  <c r="VR37" i="2"/>
  <c r="VO37" i="2"/>
  <c r="VL37" i="2"/>
  <c r="VI37" i="2"/>
  <c r="VF37" i="2"/>
  <c r="VC37" i="2"/>
  <c r="UZ37" i="2"/>
  <c r="XK36" i="2"/>
  <c r="XK38" i="2" s="1"/>
  <c r="XH36" i="2"/>
  <c r="XH38" i="2" s="1"/>
  <c r="XE36" i="2"/>
  <c r="XB36" i="2"/>
  <c r="WY36" i="2"/>
  <c r="WY38" i="2" s="1"/>
  <c r="WV36" i="2"/>
  <c r="WV38" i="2" s="1"/>
  <c r="WS36" i="2"/>
  <c r="WS38" i="2" s="1"/>
  <c r="WP36" i="2"/>
  <c r="WP38" i="2" s="1"/>
  <c r="WM36" i="2"/>
  <c r="WM38" i="2" s="1"/>
  <c r="WJ36" i="2"/>
  <c r="WG36" i="2"/>
  <c r="WD36" i="2"/>
  <c r="WA36" i="2"/>
  <c r="WA38" i="2" s="1"/>
  <c r="VX36" i="2"/>
  <c r="VX38" i="2" s="1"/>
  <c r="VU36" i="2"/>
  <c r="VU38" i="2" s="1"/>
  <c r="VR36" i="2"/>
  <c r="VR38" i="2" s="1"/>
  <c r="VO36" i="2"/>
  <c r="VO38" i="2" s="1"/>
  <c r="VL36" i="2"/>
  <c r="VL38" i="2" s="1"/>
  <c r="VI36" i="2"/>
  <c r="VI38" i="2" s="1"/>
  <c r="VF36" i="2"/>
  <c r="VF38" i="2" s="1"/>
  <c r="VC36" i="2"/>
  <c r="VC38" i="2" s="1"/>
  <c r="UZ36" i="2"/>
  <c r="UZ38" i="2" s="1"/>
  <c r="UW37" i="2"/>
  <c r="UW36" i="2"/>
  <c r="UW38" i="2" s="1"/>
  <c r="UT37" i="2"/>
  <c r="UT36" i="2"/>
  <c r="UQ37" i="2"/>
  <c r="UQ36" i="2"/>
  <c r="UQ38" i="2" s="1"/>
  <c r="UN37" i="2"/>
  <c r="UN36" i="2"/>
  <c r="UN38" i="2" s="1"/>
  <c r="UK37" i="2"/>
  <c r="UK36" i="2"/>
  <c r="UK38" i="2" s="1"/>
  <c r="UH37" i="2"/>
  <c r="UH36" i="2"/>
  <c r="UE37" i="2"/>
  <c r="UE36" i="2"/>
  <c r="UE38" i="2" s="1"/>
  <c r="UB37" i="2"/>
  <c r="UB36" i="2"/>
  <c r="UB38" i="2" s="1"/>
  <c r="TY37" i="2"/>
  <c r="TY36" i="2"/>
  <c r="TY38" i="2" s="1"/>
  <c r="TV37" i="2"/>
  <c r="TV36" i="2"/>
  <c r="TS37" i="2"/>
  <c r="TS36" i="2"/>
  <c r="TS38" i="2" s="1"/>
  <c r="TP37" i="2"/>
  <c r="TP36" i="2"/>
  <c r="TP38" i="2" s="1"/>
  <c r="TM37" i="2"/>
  <c r="TM36" i="2"/>
  <c r="TM38" i="2" s="1"/>
  <c r="TJ37" i="2"/>
  <c r="TJ36" i="2"/>
  <c r="TG37" i="2"/>
  <c r="TG36" i="2"/>
  <c r="TG38" i="2" s="1"/>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B59" i="4" s="1"/>
  <c r="J7" i="2"/>
  <c r="H7" i="2"/>
  <c r="I14" i="2" s="1"/>
  <c r="B41" i="4" l="1"/>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<sst xmlns="http://schemas.openxmlformats.org/spreadsheetml/2006/main" count="2961" uniqueCount="636">
  <si>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</si>
  <si>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</si>
  <si>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</si>
  <si>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</si>
  <si>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</si>
  <si>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</si>
  <si>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</si>
  <si>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</si>
  <si>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</si>
  <si>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</si>
  <si>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</si>
  <si>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</si>
  <si>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</si>
  <si>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</si>
  <si>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</si>
  <si>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</si>
  <si>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</si>
  <si>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</si>
  <si>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</si>
  <si>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</si>
  <si>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</si>
  <si>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</si>
  <si>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</si>
  <si>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</si>
  <si>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</si>
  <si>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</si>
  <si>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</si>
  <si>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</si>
  <si>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</si>
  <si>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</si>
  <si>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</si>
  <si>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</si>
  <si>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</si>
  <si>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</si>
  <si>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</si>
  <si>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</si>
  <si>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</si>
  <si>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</si>
  <si>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</si>
  <si>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</si>
  <si>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</si>
  <si>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</si>
  <si>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</si>
  <si>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</si>
  <si>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</si>
  <si>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</si>
  <si>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</si>
  <si>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</si>
  <si>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</si>
  <si>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</si>
  <si>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</si>
  <si>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</si>
  <si>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</si>
  <si>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</si>
  <si>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</si>
  <si>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</si>
  <si>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</si>
  <si>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</si>
  <si>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</si>
  <si>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</si>
  <si>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</si>
  <si>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</si>
  <si>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</si>
  <si>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</si>
  <si>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</si>
  <si>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</si>
  <si>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</si>
  <si>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</si>
  <si>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</si>
  <si>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</si>
  <si>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</si>
  <si>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</si>
  <si>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</si>
  <si>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</si>
  <si>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</si>
  <si>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</si>
  <si>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</si>
  <si>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</si>
  <si>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</si>
  <si>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</si>
  <si>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</si>
  <si>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</si>
  <si>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</si>
  <si>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</si>
  <si>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</si>
  <si>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</si>
  <si>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</si>
  <si>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</si>
  <si>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</si>
  <si>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</si>
  <si>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</si>
  <si>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</si>
  <si>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</si>
  <si>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</si>
  <si>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</si>
  <si>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</si>
  <si>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</si>
  <si>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</si>
  <si>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</si>
  <si>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</si>
  <si>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</si>
  <si>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</si>
  <si>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</si>
  <si>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</si>
  <si>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</si>
  <si>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</si>
  <si>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</si>
  <si>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</si>
  <si>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</si>
  <si>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</si>
  <si>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</si>
  <si>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</si>
  <si>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</si>
  <si>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</si>
  <si>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</si>
  <si>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</si>
  <si>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</si>
  <si>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</si>
  <si>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</si>
  <si>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</si>
  <si>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</si>
  <si>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</si>
  <si>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</si>
  <si>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</si>
  <si>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</si>
  <si>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</si>
  <si>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</si>
  <si>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</si>
  <si>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</si>
  <si>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</si>
  <si>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</si>
  <si>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</si>
  <si>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</si>
  <si>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</si>
  <si>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</si>
  <si>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</si>
  <si>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</si>
  <si>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</si>
  <si>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</si>
  <si>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</si>
  <si>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</si>
  <si>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</si>
  <si>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</si>
  <si>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</si>
  <si>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</si>
  <si>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</si>
  <si>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</si>
  <si>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</si>
  <si>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</si>
  <si>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</si>
  <si>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</si>
  <si>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</si>
  <si>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</si>
  <si>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</si>
  <si>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</si>
  <si>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</si>
  <si>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</si>
  <si>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</si>
  <si>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</si>
  <si>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</si>
  <si>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</si>
  <si>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</si>
  <si>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</si>
  <si>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</si>
  <si>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</si>
  <si>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</si>
  <si>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</si>
  <si>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</si>
  <si>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</si>
  <si>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</si>
  <si>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</si>
  <si>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</si>
  <si>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</si>
  <si>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</si>
  <si>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</si>
  <si>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</si>
  <si>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</si>
  <si>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</si>
  <si>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</si>
  <si>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</si>
  <si>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</si>
  <si>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</si>
  <si>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</si>
  <si>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</si>
  <si>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</si>
  <si>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</si>
  <si>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</si>
  <si>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</si>
  <si>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</si>
  <si>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</si>
  <si>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</si>
  <si>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</si>
  <si>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</si>
  <si>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</si>
  <si>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</si>
  <si>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</si>
  <si>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</si>
  <si>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</si>
  <si>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</si>
  <si>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</si>
  <si>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</si>
  <si>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</si>
  <si>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</si>
  <si>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</si>
  <si>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</si>
  <si>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</si>
  <si>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</si>
  <si>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</si>
  <si>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</si>
  <si>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</si>
  <si>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</si>
  <si>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</si>
  <si>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</si>
  <si>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</si>
  <si>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</si>
  <si>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</si>
  <si>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</si>
  <si>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</si>
  <si>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</si>
  <si>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</si>
  <si>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</si>
  <si>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</si>
  <si>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</si>
  <si>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</si>
  <si>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</si>
  <si>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</si>
  <si>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</si>
  <si>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</si>
  <si>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</si>
  <si>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</si>
  <si>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</si>
  <si>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</si>
  <si>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</si>
  <si>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</si>
  <si>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</si>
  <si>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</si>
  <si>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</si>
  <si>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</si>
  <si>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</si>
  <si>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</si>
  <si>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</si>
  <si>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</si>
  <si>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</si>
  <si>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</si>
  <si>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</si>
  <si>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</si>
  <si>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</si>
  <si>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</si>
  <si>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</si>
  <si>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</si>
  <si>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</si>
  <si>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</si>
  <si>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</si>
  <si>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</si>
  <si>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</si>
  <si>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</si>
  <si>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</si>
  <si>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</si>
  <si>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</si>
  <si>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</si>
  <si>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</si>
  <si>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</si>
  <si>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</si>
  <si>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</si>
  <si>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</si>
  <si>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</si>
  <si>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</si>
  <si>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</si>
  <si>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</si>
  <si>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</si>
  <si>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</si>
  <si>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</si>
  <si>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</si>
  <si>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</si>
  <si>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</si>
  <si>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</si>
  <si>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</si>
  <si>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</si>
  <si>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</si>
  <si>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</si>
  <si>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</si>
  <si>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</si>
  <si>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</si>
  <si>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</si>
  <si>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</si>
  <si>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</si>
  <si>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</si>
  <si>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</si>
  <si>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</si>
  <si>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</si>
  <si>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</si>
  <si>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</si>
  <si>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</si>
  <si>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</si>
  <si>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</si>
  <si>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</si>
  <si>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</si>
  <si>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</si>
  <si>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</si>
  <si>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</si>
  <si>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</si>
  <si>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</si>
  <si>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</si>
  <si>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</si>
  <si>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</si>
  <si>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</si>
  <si>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</si>
  <si>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</si>
  <si>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</si>
  <si>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</si>
  <si>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</si>
  <si>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</si>
  <si>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</si>
  <si>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</si>
  <si>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</si>
  <si>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</si>
  <si>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</si>
  <si>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</si>
  <si>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</si>
  <si>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</si>
  <si>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</si>
  <si>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</si>
  <si>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</si>
  <si>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</si>
  <si>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</si>
  <si>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</si>
  <si>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</si>
  <si>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</si>
  <si>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</si>
  <si>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</si>
  <si>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</si>
  <si>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</si>
  <si>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</si>
  <si>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</si>
  <si>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</si>
  <si>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</si>
  <si>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</si>
  <si>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</si>
  <si>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</si>
  <si>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</si>
  <si>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</si>
  <si>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</si>
  <si>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</si>
  <si>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</si>
  <si>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</si>
  <si>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</si>
  <si>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</si>
  <si>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</si>
  <si>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</si>
  <si>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</si>
  <si>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</si>
  <si>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</si>
  <si>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</si>
  <si>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</si>
  <si>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</si>
  <si>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</si>
  <si>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</si>
  <si>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</si>
  <si>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</si>
  <si>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</si>
  <si>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</si>
  <si>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</si>
  <si>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</si>
  <si>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</si>
  <si>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</si>
  <si>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</si>
  <si>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</si>
  <si>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</si>
  <si>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</si>
  <si>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</si>
  <si>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</si>
  <si>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</si>
  <si>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</si>
  <si>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</si>
  <si>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</si>
  <si>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</si>
  <si>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</si>
  <si>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</si>
  <si>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</si>
  <si>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</si>
  <si>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</si>
  <si>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</si>
  <si>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</si>
  <si>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</si>
  <si>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</si>
  <si>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</si>
  <si>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</si>
  <si>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</si>
  <si>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</si>
  <si>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</si>
  <si>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</si>
  <si>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</si>
  <si>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</si>
  <si>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</si>
  <si>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</si>
  <si>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</si>
  <si>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</si>
  <si>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</si>
  <si>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</si>
  <si>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</si>
  <si>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</si>
  <si>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</si>
  <si>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</si>
  <si>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</si>
  <si>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</si>
  <si>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</si>
  <si>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</si>
  <si>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</si>
  <si>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</si>
  <si>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</si>
  <si>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</si>
  <si>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</si>
  <si>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</si>
  <si>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</si>
  <si>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</si>
  <si>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</si>
  <si>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</si>
  <si>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</si>
  <si>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</si>
  <si>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</si>
  <si>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</si>
  <si>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</si>
  <si>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</si>
  <si>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</si>
  <si>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</si>
  <si>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</si>
  <si>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</si>
  <si>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</si>
  <si>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</si>
  <si>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</si>
  <si>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</si>
  <si>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</si>
  <si>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</si>
  <si>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</si>
  <si>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</si>
  <si>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</si>
  <si>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</si>
  <si>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</si>
  <si>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</si>
  <si>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</si>
  <si>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</si>
  <si>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</si>
  <si>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</si>
  <si>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</si>
  <si>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</si>
  <si>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</si>
  <si>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</si>
  <si>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</si>
  <si>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</si>
  <si>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</si>
  <si>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</si>
  <si>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</si>
  <si>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</si>
  <si>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</si>
  <si>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</si>
  <si>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</si>
  <si>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</si>
  <si>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</si>
  <si>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</si>
  <si>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</si>
  <si>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</si>
  <si>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</si>
  <si>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</si>
  <si>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</si>
  <si>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</si>
  <si>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</si>
  <si>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</si>
  <si>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</si>
  <si>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</si>
  <si>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</si>
  <si>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</si>
  <si>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</si>
  <si>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</si>
  <si>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</si>
  <si>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</si>
  <si>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</si>
  <si>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</si>
  <si>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</si>
  <si>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</si>
  <si>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</si>
  <si>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</si>
  <si>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</si>
  <si>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</si>
  <si>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</si>
  <si>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</si>
  <si>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</si>
  <si>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</si>
  <si>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</si>
  <si>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</si>
  <si>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</si>
  <si>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</si>
  <si>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</si>
  <si>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</si>
  <si>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</si>
  <si>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</si>
  <si>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</si>
  <si>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</si>
  <si>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</si>
  <si>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</si>
  <si>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</si>
  <si>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</si>
  <si>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</si>
  <si>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</si>
  <si>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</si>
  <si>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</si>
  <si>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</si>
  <si>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</si>
  <si>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</si>
  <si>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</si>
  <si>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</si>
  <si>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</si>
  <si>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</si>
  <si>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</si>
  <si>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</si>
  <si>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</si>
  <si>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</si>
  <si>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</si>
  <si>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</si>
  <si>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</si>
  <si>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</si>
  <si>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</si>
  <si>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</si>
  <si>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</si>
  <si>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</si>
  <si>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</si>
  <si>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</si>
  <si>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</si>
  <si>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</si>
  <si>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</si>
  <si>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</si>
  <si>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</si>
  <si>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</si>
  <si>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</si>
  <si>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</si>
  <si>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</si>
  <si>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</si>
  <si>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</si>
  <si>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</si>
  <si>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</si>
  <si>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</si>
  <si>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</si>
  <si>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</si>
  <si>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</si>
  <si>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</si>
  <si>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</si>
  <si>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</si>
  <si>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</si>
  <si>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</si>
  <si>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</si>
  <si>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</si>
  <si>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</si>
  <si>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</si>
  <si>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</si>
  <si>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</si>
  <si>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</si>
  <si>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</si>
  <si>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</si>
  <si>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</si>
  <si>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</si>
  <si>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</si>
  <si>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</si>
  <si>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</si>
  <si>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</si>
  <si>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</si>
  <si>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</si>
  <si>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</si>
  <si>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</si>
  <si>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</si>
  <si>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</si>
  <si>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</si>
  <si>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</si>
  <si>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</si>
  <si>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</si>
  <si>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</si>
  <si>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</si>
  <si>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</si>
  <si>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</si>
  <si>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</si>
  <si>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</si>
  <si>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</si>
  <si>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</si>
  <si>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</si>
  <si>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</si>
  <si>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</si>
  <si>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</si>
  <si>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</si>
  <si>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</si>
  <si>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</si>
  <si>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</si>
  <si>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</si>
  <si>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</si>
  <si>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</si>
  <si>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</si>
  <si>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</si>
  <si>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</si>
  <si>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</si>
  <si>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</si>
  <si>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</si>
  <si>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</si>
  <si>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</si>
  <si>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</si>
  <si>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</si>
  <si>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</si>
  <si>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</si>
  <si>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</si>
  <si>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</si>
  <si>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</si>
  <si>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</si>
  <si>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</si>
  <si>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</si>
  <si>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</si>
  <si>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</si>
  <si>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</si>
  <si>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</si>
  <si>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</si>
  <si>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</si>
  <si>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</si>
  <si>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</si>
  <si>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</si>
  <si>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</si>
  <si>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</si>
  <si>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</si>
  <si>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</si>
  <si>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</si>
  <si>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</si>
  <si>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</si>
  <si>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</si>
  <si>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</si>
  <si>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</si>
  <si>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</si>
  <si>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</si>
  <si>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</si>
  <si>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</si>
  <si>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2021-08-08T15:00:00.000Z</t>
  </si>
  <si>
    <t>2021-08-09T15:00:00.000Z</t>
  </si>
  <si>
    <t>2021-08-10T08:37:41.016Z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</si>
</sst>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194</c:v>
                </c:pt>
                <c:pt idx="291">
                  <c:v>107</c:v>
                </c:pt>
                <c:pt idx="292">
                  <c:v>124</c:v>
                </c:pt>
                <c:pt idx="293">
                  <c:v>255</c:v>
                </c:pt>
                <c:pt idx="294">
                  <c:v>232</c:v>
                </c:pt>
                <c:pt idx="295">
                  <c:v>240</c:v>
                </c:pt>
                <c:pt idx="296">
                  <c:v>237</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352</c:v>
                </c:pt>
                <c:pt idx="345">
                  <c:v>323</c:v>
                </c:pt>
                <c:pt idx="346">
                  <c:v>394</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254</c:v>
                </c:pt>
                <c:pt idx="360">
                  <c:v>128</c:v>
                </c:pt>
                <c:pt idx="361">
                  <c:v>206</c:v>
                </c:pt>
                <c:pt idx="362">
                  <c:v>169</c:v>
                </c:pt>
                <c:pt idx="363">
                  <c:v>397</c:v>
                </c:pt>
                <c:pt idx="364">
                  <c:v>261</c:v>
                </c:pt>
                <c:pt idx="365">
                  <c:v>208</c:v>
                </c:pt>
                <c:pt idx="366">
                  <c:v>332</c:v>
                </c:pt>
                <c:pt idx="367">
                  <c:v>252</c:v>
                </c:pt>
                <c:pt idx="368">
                  <c:v>193</c:v>
                </c:pt>
                <c:pt idx="369">
                  <c:v>187</c:v>
                </c:pt>
                <c:pt idx="370">
                  <c:v>386</c:v>
                </c:pt>
                <c:pt idx="371">
                  <c:v>229</c:v>
                </c:pt>
                <c:pt idx="372">
                  <c:v>259</c:v>
                </c:pt>
                <c:pt idx="373">
                  <c:v>249</c:v>
                </c:pt>
                <c:pt idx="374">
                  <c:v>266</c:v>
                </c:pt>
                <c:pt idx="375">
                  <c:v>171</c:v>
                </c:pt>
                <c:pt idx="376">
                  <c:v>197</c:v>
                </c:pt>
                <c:pt idx="377">
                  <c:v>448</c:v>
                </c:pt>
                <c:pt idx="378">
                  <c:v>342</c:v>
                </c:pt>
                <c:pt idx="379">
                  <c:v>407</c:v>
                </c:pt>
                <c:pt idx="380">
                  <c:v>377</c:v>
                </c:pt>
                <c:pt idx="381">
                  <c:v>361</c:v>
                </c:pt>
                <c:pt idx="382">
                  <c:v>168</c:v>
                </c:pt>
                <c:pt idx="383">
                  <c:v>247</c:v>
                </c:pt>
                <c:pt idx="384">
                  <c:v>605</c:v>
                </c:pt>
                <c:pt idx="385">
                  <c:v>397</c:v>
                </c:pt>
                <c:pt idx="386">
                  <c:v>382</c:v>
                </c:pt>
                <c:pt idx="387">
                  <c:v>435</c:v>
                </c:pt>
                <c:pt idx="388">
                  <c:v>378</c:v>
                </c:pt>
                <c:pt idx="389">
                  <c:v>233</c:v>
                </c:pt>
                <c:pt idx="390">
                  <c:v>274</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599</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1.1849499144881506E-2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1.8953262976523798E-2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2.1212627359278438E-2</c:v>
                </c:pt>
                <c:pt idx="360">
                  <c:v>1.8743593498316006E-2</c:v>
                </c:pt>
                <c:pt idx="361">
                  <c:v>3.6242083040112595E-2</c:v>
                </c:pt>
                <c:pt idx="362">
                  <c:v>2.6020015396458814E-2</c:v>
                </c:pt>
                <c:pt idx="363">
                  <c:v>3.7182729231057414E-2</c:v>
                </c:pt>
                <c:pt idx="364">
                  <c:v>1.7422067952740136E-2</c:v>
                </c:pt>
                <c:pt idx="365">
                  <c:v>1.9151091059755088E-2</c:v>
                </c:pt>
                <c:pt idx="366">
                  <c:v>3.6991643454038999E-2</c:v>
                </c:pt>
                <c:pt idx="367">
                  <c:v>1.8340611353711789E-2</c:v>
                </c:pt>
                <c:pt idx="368">
                  <c:v>2.0597652081109925E-2</c:v>
                </c:pt>
                <c:pt idx="369">
                  <c:v>2.8764805414551606E-2</c:v>
                </c:pt>
                <c:pt idx="370">
                  <c:v>4.1173333333333333E-2</c:v>
                </c:pt>
                <c:pt idx="371">
                  <c:v>1.5869715869715868E-2</c:v>
                </c:pt>
                <c:pt idx="372">
                  <c:v>1.9967620075553156E-2</c:v>
                </c:pt>
                <c:pt idx="373">
                  <c:v>2.3143414815503298E-2</c:v>
                </c:pt>
                <c:pt idx="374">
                  <c:v>2.3773348824738583E-2</c:v>
                </c:pt>
                <c:pt idx="375">
                  <c:v>1.8341735492867103E-2</c:v>
                </c:pt>
                <c:pt idx="376">
                  <c:v>3.8178294573643412E-2</c:v>
                </c:pt>
                <c:pt idx="377">
                  <c:v>4.7827479449129927E-2</c:v>
                </c:pt>
                <c:pt idx="378">
                  <c:v>2.0270270270270271E-2</c:v>
                </c:pt>
                <c:pt idx="379">
                  <c:v>2.5769279473217676E-2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2.0261578044596912E-2</c:v>
                </c:pt>
                <c:pt idx="389">
                  <c:v>1.8840462521225843E-2</c:v>
                </c:pt>
                <c:pt idx="390">
                  <c:v>2.5890579230841915E-2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6.8.2021 saakka. Suurin arvo 894,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421</c:v>
                </c:pt>
                <c:pt idx="567">
                  <c:v>467</c:v>
                </c:pt>
                <c:pt idx="568">
                  <c:v>487</c:v>
                </c:pt>
                <c:pt idx="569">
                  <c:v>479</c:v>
                </c:pt>
                <c:pt idx="570">
                  <c:v>298</c:v>
                </c:pt>
                <c:pt idx="571">
                  <c:v>351</c:v>
                </c:pt>
                <c:pt idx="572">
                  <c:v>766</c:v>
                </c:pt>
                <c:pt idx="573">
                  <c:v>675</c:v>
                </c:pt>
                <c:pt idx="574">
                  <c:v>844</c:v>
                </c:pt>
                <c:pt idx="575">
                  <c:v>765</c:v>
                </c:pt>
                <c:pt idx="576">
                  <c:v>692</c:v>
                </c:pt>
                <c:pt idx="577">
                  <c:v>403</c:v>
                </c:pt>
                <c:pt idx="578">
                  <c:v>474</c:v>
                </c:pt>
                <c:pt idx="579">
                  <c:v>894</c:v>
                </c:pt>
                <c:pt idx="580">
                  <c:v>839</c:v>
                </c:pt>
                <c:pt idx="581">
                  <c:v>780</c:v>
                </c:pt>
                <c:pt idx="582">
                  <c:v>826</c:v>
                </c:pt>
                <c:pt idx="583">
                  <c:v>655</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6.8.2021 saakka. Suurin arvo 518,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HUS!PlotY</c:f>
              <c:numCache>
                <c:formatCode>General</c:formatCode>
                <c:ptCount val="5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269</c:v>
                </c:pt>
                <c:pt idx="425">
                  <c:v>481</c:v>
                </c:pt>
                <c:pt idx="426">
                  <c:v>492</c:v>
                </c:pt>
                <c:pt idx="427">
                  <c:v>475</c:v>
                </c:pt>
                <c:pt idx="428">
                  <c:v>389</c:v>
                </c:pt>
                <c:pt idx="429">
                  <c:v>420</c:v>
                </c:pt>
                <c:pt idx="430">
                  <c:v>277</c:v>
                </c:pt>
                <c:pt idx="431">
                  <c:v>256</c:v>
                </c:pt>
                <c:pt idx="432">
                  <c:v>501</c:v>
                </c:pt>
                <c:pt idx="433">
                  <c:v>506</c:v>
                </c:pt>
                <c:pt idx="434">
                  <c:v>505</c:v>
                </c:pt>
                <c:pt idx="435">
                  <c:v>477</c:v>
                </c:pt>
                <c:pt idx="436">
                  <c:v>518</c:v>
                </c:pt>
                <c:pt idx="437">
                  <c:v>327</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113</c:v>
                </c:pt>
                <c:pt idx="490">
                  <c:v>125</c:v>
                </c:pt>
                <c:pt idx="491">
                  <c:v>113</c:v>
                </c:pt>
                <c:pt idx="492">
                  <c:v>94</c:v>
                </c:pt>
                <c:pt idx="493">
                  <c:v>69</c:v>
                </c:pt>
                <c:pt idx="494">
                  <c:v>69</c:v>
                </c:pt>
                <c:pt idx="495">
                  <c:v>138</c:v>
                </c:pt>
                <c:pt idx="496">
                  <c:v>108</c:v>
                </c:pt>
                <c:pt idx="497">
                  <c:v>146</c:v>
                </c:pt>
                <c:pt idx="498">
                  <c:v>77</c:v>
                </c:pt>
                <c:pt idx="499">
                  <c:v>86</c:v>
                </c:pt>
                <c:pt idx="500">
                  <c:v>80</c:v>
                </c:pt>
                <c:pt idx="501">
                  <c:v>55</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126</c:v>
                </c:pt>
                <c:pt idx="542">
                  <c:v>79</c:v>
                </c:pt>
                <c:pt idx="543">
                  <c:v>58</c:v>
                </c:pt>
                <c:pt idx="544">
                  <c:v>114</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204</c:v>
                </c:pt>
                <c:pt idx="560">
                  <c:v>233</c:v>
                </c:pt>
                <c:pt idx="561">
                  <c:v>214</c:v>
                </c:pt>
                <c:pt idx="562">
                  <c:v>205</c:v>
                </c:pt>
                <c:pt idx="563">
                  <c:v>135</c:v>
                </c:pt>
                <c:pt idx="564">
                  <c:v>135</c:v>
                </c:pt>
                <c:pt idx="565">
                  <c:v>213</c:v>
                </c:pt>
                <c:pt idx="566">
                  <c:v>240</c:v>
                </c:pt>
                <c:pt idx="567">
                  <c:v>226</c:v>
                </c:pt>
                <c:pt idx="568">
                  <c:v>209</c:v>
                </c:pt>
                <c:pt idx="569">
                  <c:v>240</c:v>
                </c:pt>
                <c:pt idx="570">
                  <c:v>170</c:v>
                </c:pt>
                <c:pt idx="571">
                  <c:v>183</c:v>
                </c:pt>
                <c:pt idx="572">
                  <c:v>408</c:v>
                </c:pt>
                <c:pt idx="573">
                  <c:v>317</c:v>
                </c:pt>
                <c:pt idx="574">
                  <c:v>410</c:v>
                </c:pt>
                <c:pt idx="575">
                  <c:v>357</c:v>
                </c:pt>
                <c:pt idx="576">
                  <c:v>314</c:v>
                </c:pt>
                <c:pt idx="577">
                  <c:v>232</c:v>
                </c:pt>
                <c:pt idx="578">
                  <c:v>268</c:v>
                </c:pt>
                <c:pt idx="579">
                  <c:v>443</c:v>
                </c:pt>
                <c:pt idx="580">
                  <c:v>435</c:v>
                </c:pt>
                <c:pt idx="581">
                  <c:v>386</c:v>
                </c:pt>
                <c:pt idx="582">
                  <c:v>341</c:v>
                </c:pt>
                <c:pt idx="583">
                  <c:v>307</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0.53608247422680411</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0.54261363636363635</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0.53543307086614178</c:v>
                </c:pt>
                <c:pt idx="366">
                  <c:v>0.515625</c:v>
                </c:pt>
                <c:pt idx="367">
                  <c:v>0.56796116504854366</c:v>
                </c:pt>
                <c:pt idx="368">
                  <c:v>0.55029585798816572</c:v>
                </c:pt>
                <c:pt idx="369">
                  <c:v>0.49370277078085645</c:v>
                </c:pt>
                <c:pt idx="370">
                  <c:v>0.58620689655172409</c:v>
                </c:pt>
                <c:pt idx="371">
                  <c:v>0.45192307692307693</c:v>
                </c:pt>
                <c:pt idx="372">
                  <c:v>0.48795180722891568</c:v>
                </c:pt>
                <c:pt idx="373">
                  <c:v>0.57936507936507942</c:v>
                </c:pt>
                <c:pt idx="374">
                  <c:v>0.51813471502590669</c:v>
                </c:pt>
                <c:pt idx="375">
                  <c:v>0.63636363636363635</c:v>
                </c:pt>
                <c:pt idx="376">
                  <c:v>0.4844559585492228</c:v>
                </c:pt>
                <c:pt idx="377">
                  <c:v>0.55458515283842791</c:v>
                </c:pt>
                <c:pt idx="378">
                  <c:v>0.45945945945945948</c:v>
                </c:pt>
                <c:pt idx="379">
                  <c:v>0.49397590361445781</c:v>
                </c:pt>
                <c:pt idx="380">
                  <c:v>0.40601503759398494</c:v>
                </c:pt>
                <c:pt idx="381">
                  <c:v>0.56725146198830412</c:v>
                </c:pt>
                <c:pt idx="382">
                  <c:v>0.48730964467005078</c:v>
                </c:pt>
                <c:pt idx="383">
                  <c:v>0.5736607142857143</c:v>
                </c:pt>
                <c:pt idx="384">
                  <c:v>0.55263157894736847</c:v>
                </c:pt>
                <c:pt idx="385">
                  <c:v>0.51842751842751844</c:v>
                </c:pt>
                <c:pt idx="386">
                  <c:v>0.47214854111405835</c:v>
                </c:pt>
                <c:pt idx="387">
                  <c:v>0.54293628808864269</c:v>
                </c:pt>
                <c:pt idx="388">
                  <c:v>0.5535714285714286</c:v>
                </c:pt>
                <c:pt idx="389">
                  <c:v>0.61943319838056676</c:v>
                </c:pt>
                <c:pt idx="390">
                  <c:v>0.42148760330578511</c:v>
                </c:pt>
                <c:pt idx="391">
                  <c:v>0.53400503778337527</c:v>
                </c:pt>
                <c:pt idx="392">
                  <c:v>0.49214659685863876</c:v>
                </c:pt>
                <c:pt idx="393">
                  <c:v>0.52643678160919538</c:v>
                </c:pt>
                <c:pt idx="394">
                  <c:v>0.50529100529100535</c:v>
                </c:pt>
                <c:pt idx="395">
                  <c:v>0.57510729613733902</c:v>
                </c:pt>
                <c:pt idx="396">
                  <c:v>0.60948905109489049</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0.69782971619365608</c:v>
                </c:pt>
                <c:pt idx="421">
                  <c:v>0.57392686804451509</c:v>
                </c:pt>
                <c:pt idx="422">
                  <c:v>0.62645348837209303</c:v>
                </c:pt>
                <c:pt idx="423">
                  <c:v>0.6633663366336634</c:v>
                </c:pt>
                <c:pt idx="424">
                  <c:v>0.63443396226415094</c:v>
                </c:pt>
                <c:pt idx="425">
                  <c:v>0.55097365406643761</c:v>
                </c:pt>
                <c:pt idx="426">
                  <c:v>0.64907651715039583</c:v>
                </c:pt>
                <c:pt idx="427">
                  <c:v>0.64890710382513661</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0.6410891089108911</c:v>
                </c:pt>
                <c:pt idx="437">
                  <c:v>0.66463414634146345</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fi-FI"/>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6.8.2021 saakka. Suurin arvo 894,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421</c:v>
                </c:pt>
                <c:pt idx="567">
                  <c:v>467</c:v>
                </c:pt>
                <c:pt idx="568">
                  <c:v>487</c:v>
                </c:pt>
                <c:pt idx="569">
                  <c:v>479</c:v>
                </c:pt>
                <c:pt idx="570">
                  <c:v>298</c:v>
                </c:pt>
                <c:pt idx="571">
                  <c:v>351</c:v>
                </c:pt>
                <c:pt idx="572">
                  <c:v>766</c:v>
                </c:pt>
                <c:pt idx="573">
                  <c:v>675</c:v>
                </c:pt>
                <c:pt idx="574">
                  <c:v>844</c:v>
                </c:pt>
                <c:pt idx="575">
                  <c:v>765</c:v>
                </c:pt>
                <c:pt idx="576">
                  <c:v>692</c:v>
                </c:pt>
                <c:pt idx="577">
                  <c:v>403</c:v>
                </c:pt>
                <c:pt idx="578">
                  <c:v>474</c:v>
                </c:pt>
                <c:pt idx="579">
                  <c:v>894</c:v>
                </c:pt>
                <c:pt idx="580">
                  <c:v>839</c:v>
                </c:pt>
                <c:pt idx="581">
                  <c:v>780</c:v>
                </c:pt>
                <c:pt idx="582">
                  <c:v>826</c:v>
                </c:pt>
                <c:pt idx="583">
                  <c:v>655</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248.23809523809524</c:v>
                </c:pt>
                <c:pt idx="1">
                  <c:v>214.21428571428572</c:v>
                </c:pt>
                <c:pt idx="2">
                  <c:v>218.9404761904762</c:v>
                </c:pt>
                <c:pt idx="3">
                  <c:v>209.97619047619048</c:v>
                </c:pt>
                <c:pt idx="4">
                  <c:v>200.78571428571428</c:v>
                </c:pt>
                <c:pt idx="5">
                  <c:v>125.11904761904762</c:v>
                </c:pt>
                <c:pt idx="6">
                  <c:v>133.16666666666666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N=113437. Uusimmat 10.8.2021 lisäykset 781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13.7</c:v>
                </c:pt>
                <c:pt idx="1">
                  <c:v>14.7</c:v>
                </c:pt>
                <c:pt idx="2">
                  <c:v>15.7</c:v>
                </c:pt>
                <c:pt idx="3">
                  <c:v>16.7</c:v>
                </c:pt>
                <c:pt idx="4">
                  <c:v>17.7</c:v>
                </c:pt>
                <c:pt idx="5">
                  <c:v>18.7</c:v>
                </c:pt>
                <c:pt idx="6">
                  <c:v>Ma 19</c:v>
                </c:pt>
                <c:pt idx="7">
                  <c:v>20.7</c:v>
                </c:pt>
                <c:pt idx="8">
                  <c:v>21.7</c:v>
                </c:pt>
                <c:pt idx="9">
                  <c:v>22.7</c:v>
                </c:pt>
                <c:pt idx="10">
                  <c:v>23.7</c:v>
                </c:pt>
                <c:pt idx="11">
                  <c:v>24.7</c:v>
                </c:pt>
                <c:pt idx="12">
                  <c:v>25.7</c:v>
                </c:pt>
                <c:pt idx="13">
                  <c:v>Ma 26</c:v>
                </c:pt>
                <c:pt idx="14">
                  <c:v>27.7</c:v>
                </c:pt>
                <c:pt idx="15">
                  <c:v>28.7</c:v>
                </c:pt>
                <c:pt idx="16">
                  <c:v>29.7</c:v>
                </c:pt>
                <c:pt idx="17">
                  <c:v>30.7</c:v>
                </c:pt>
                <c:pt idx="18">
                  <c:v>31.7</c:v>
                </c:pt>
                <c:pt idx="19">
                  <c:v>1.8</c:v>
                </c:pt>
                <c:pt idx="20">
                  <c:v>Ma 2</c:v>
                </c:pt>
                <c:pt idx="21">
                  <c:v>3.8</c:v>
                </c:pt>
                <c:pt idx="22">
                  <c:v>4.8</c:v>
                </c:pt>
                <c:pt idx="23">
                  <c:v>5.8</c:v>
                </c:pt>
                <c:pt idx="24">
                  <c:v>6.8</c:v>
                </c:pt>
                <c:pt idx="25">
                  <c:v>7.8</c:v>
                </c:pt>
                <c:pt idx="26">
                  <c:v>8.8</c:v>
                </c:pt>
                <c:pt idx="27">
                  <c:v>Ma 9</c:v>
                </c:pt>
              </c:strCache>
            </c:strRef>
          </c:cat>
          <c:val>
            <c:numRef>
              <c:f>Lisäys!$E$7:$E$34</c:f>
              <c:numCache>
                <c:formatCode>General</c:formatCode>
                <c:ptCount val="28"/>
                <c:pt idx="0">
                  <c:v>341</c:v>
                </c:pt>
                <c:pt idx="1">
                  <c:v>386</c:v>
                </c:pt>
                <c:pt idx="2">
                  <c:v>379</c:v>
                </c:pt>
                <c:pt idx="3">
                  <c:v>355</c:v>
                </c:pt>
                <c:pt idx="4">
                  <c:v>203</c:v>
                </c:pt>
                <c:pt idx="5">
                  <c:v>247</c:v>
                </c:pt>
                <c:pt idx="6">
                  <c:v>421</c:v>
                </c:pt>
                <c:pt idx="7">
                  <c:v>421</c:v>
                </c:pt>
                <c:pt idx="8">
                  <c:v>467</c:v>
                </c:pt>
                <c:pt idx="9">
                  <c:v>487</c:v>
                </c:pt>
                <c:pt idx="10">
                  <c:v>479</c:v>
                </c:pt>
                <c:pt idx="11">
                  <c:v>298</c:v>
                </c:pt>
                <c:pt idx="12">
                  <c:v>351</c:v>
                </c:pt>
                <c:pt idx="13">
                  <c:v>766</c:v>
                </c:pt>
                <c:pt idx="14">
                  <c:v>675</c:v>
                </c:pt>
                <c:pt idx="15">
                  <c:v>844</c:v>
                </c:pt>
                <c:pt idx="16">
                  <c:v>765</c:v>
                </c:pt>
                <c:pt idx="17">
                  <c:v>692</c:v>
                </c:pt>
                <c:pt idx="18">
                  <c:v>403</c:v>
                </c:pt>
                <c:pt idx="19">
                  <c:v>474</c:v>
                </c:pt>
                <c:pt idx="20">
                  <c:v>894</c:v>
                </c:pt>
                <c:pt idx="21">
                  <c:v>839</c:v>
                </c:pt>
                <c:pt idx="22">
                  <c:v>780</c:v>
                </c:pt>
                <c:pt idx="23">
                  <c:v>826</c:v>
                </c:pt>
                <c:pt idx="24">
                  <c:v>655</c:v>
                </c:pt>
                <c:pt idx="25">
                  <c:v>421</c:v>
                </c:pt>
                <c:pt idx="26">
                  <c:v>448</c:v>
                </c:pt>
                <c:pt idx="27">
                  <c:v>307</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13.7</c:v>
                </c:pt>
                <c:pt idx="1">
                  <c:v>14.7</c:v>
                </c:pt>
                <c:pt idx="2">
                  <c:v>15.7</c:v>
                </c:pt>
                <c:pt idx="3">
                  <c:v>16.7</c:v>
                </c:pt>
                <c:pt idx="4">
                  <c:v>17.7</c:v>
                </c:pt>
                <c:pt idx="5">
                  <c:v>18.7</c:v>
                </c:pt>
                <c:pt idx="6">
                  <c:v>Ma 19</c:v>
                </c:pt>
                <c:pt idx="7">
                  <c:v>20.7</c:v>
                </c:pt>
                <c:pt idx="8">
                  <c:v>21.7</c:v>
                </c:pt>
                <c:pt idx="9">
                  <c:v>22.7</c:v>
                </c:pt>
                <c:pt idx="10">
                  <c:v>23.7</c:v>
                </c:pt>
                <c:pt idx="11">
                  <c:v>24.7</c:v>
                </c:pt>
                <c:pt idx="12">
                  <c:v>25.7</c:v>
                </c:pt>
                <c:pt idx="13">
                  <c:v>Ma 26</c:v>
                </c:pt>
                <c:pt idx="14">
                  <c:v>27.7</c:v>
                </c:pt>
                <c:pt idx="15">
                  <c:v>28.7</c:v>
                </c:pt>
                <c:pt idx="16">
                  <c:v>29.7</c:v>
                </c:pt>
                <c:pt idx="17">
                  <c:v>30.7</c:v>
                </c:pt>
                <c:pt idx="18">
                  <c:v>31.7</c:v>
                </c:pt>
                <c:pt idx="19">
                  <c:v>1.8</c:v>
                </c:pt>
                <c:pt idx="20">
                  <c:v>Ma 2</c:v>
                </c:pt>
                <c:pt idx="21">
                  <c:v>3.8</c:v>
                </c:pt>
                <c:pt idx="22">
                  <c:v>4.8</c:v>
                </c:pt>
                <c:pt idx="23">
                  <c:v>5.8</c:v>
                </c:pt>
                <c:pt idx="24">
                  <c:v>6.8</c:v>
                </c:pt>
                <c:pt idx="25">
                  <c:v>7.8</c:v>
                </c:pt>
                <c:pt idx="26">
                  <c:v>8.8</c:v>
                </c:pt>
                <c:pt idx="27">
                  <c:v>Ma 9</c:v>
                </c:pt>
              </c:strCache>
            </c:strRef>
          </c:cat>
          <c:val>
            <c:numRef>
              <c:f>Lisäys!$F$7:$F$34</c:f>
              <c:numCache>
                <c:formatCode>General</c:formatCode>
                <c:ptCount val="28"/>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0</c:v>
                </c:pt>
                <c:pt idx="16">
                  <c:v>-1</c:v>
                </c:pt>
                <c:pt idx="17">
                  <c:v>-1</c:v>
                </c:pt>
                <c:pt idx="18">
                  <c:v>-2</c:v>
                </c:pt>
                <c:pt idx="19">
                  <c:v>-2</c:v>
                </c:pt>
                <c:pt idx="20">
                  <c:v>-6</c:v>
                </c:pt>
                <c:pt idx="21">
                  <c:v>-2</c:v>
                </c:pt>
                <c:pt idx="22">
                  <c:v>75</c:v>
                </c:pt>
                <c:pt idx="23">
                  <c:v>31</c:v>
                </c:pt>
                <c:pt idx="24">
                  <c:v>28</c:v>
                </c:pt>
                <c:pt idx="25">
                  <c:v>123</c:v>
                </c:pt>
                <c:pt idx="26">
                  <c:v>232</c:v>
                </c:pt>
                <c:pt idx="27">
                  <c:v>307</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6.8.2021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44414.625</c:v>
                </c:pt>
                <c:pt idx="1">
                  <c:v>44407.625</c:v>
                </c:pt>
                <c:pt idx="2">
                  <c:v>44400.625</c:v>
                </c:pt>
                <c:pt idx="3">
                  <c:v>44393.625</c:v>
                </c:pt>
                <c:pt idx="4">
                  <c:v>44386.625</c:v>
                </c:pt>
                <c:pt idx="5">
                  <c:v>44379.625</c:v>
                </c:pt>
                <c:pt idx="6">
                  <c:v>44372.625</c:v>
                </c:pt>
                <c:pt idx="7">
                  <c:v>44365.625</c:v>
                </c:pt>
                <c:pt idx="8">
                  <c:v>44358.625</c:v>
                </c:pt>
                <c:pt idx="9">
                  <c:v>44351.625</c:v>
                </c:pt>
              </c:numCache>
            </c:numRef>
          </c:xVal>
          <c:yVal>
            <c:numRef>
              <c:f>Lisäys!$E$50:$E$59</c:f>
              <c:numCache>
                <c:formatCode>General</c:formatCode>
                <c:ptCount val="10"/>
                <c:pt idx="0">
                  <c:v>655</c:v>
                </c:pt>
                <c:pt idx="1">
                  <c:v>692</c:v>
                </c:pt>
                <c:pt idx="2">
                  <c:v>479</c:v>
                </c:pt>
                <c:pt idx="3">
                  <c:v>355</c:v>
                </c:pt>
                <c:pt idx="4">
                  <c:v>309</c:v>
                </c:pt>
                <c:pt idx="5">
                  <c:v>167</c:v>
                </c:pt>
                <c:pt idx="6">
                  <c:v>195</c:v>
                </c:pt>
                <c:pt idx="7">
                  <c:v>80</c:v>
                </c:pt>
                <c:pt idx="8">
                  <c:v>70</c:v>
                </c:pt>
                <c:pt idx="9">
                  <c:v>102</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44413.625</c:v>
                </c:pt>
                <c:pt idx="1">
                  <c:v>44406.625</c:v>
                </c:pt>
                <c:pt idx="2">
                  <c:v>44399.625</c:v>
                </c:pt>
                <c:pt idx="3">
                  <c:v>44392.625</c:v>
                </c:pt>
                <c:pt idx="4">
                  <c:v>44385.625</c:v>
                </c:pt>
                <c:pt idx="5">
                  <c:v>44378.625</c:v>
                </c:pt>
                <c:pt idx="6">
                  <c:v>44371.625</c:v>
                </c:pt>
                <c:pt idx="7">
                  <c:v>44364.625</c:v>
                </c:pt>
                <c:pt idx="8">
                  <c:v>44357.625</c:v>
                </c:pt>
                <c:pt idx="9">
                  <c:v>44350.625</c:v>
                </c:pt>
              </c:numCache>
            </c:numRef>
          </c:xVal>
          <c:yVal>
            <c:numRef>
              <c:f>Lisäys!$I$50:$I$59</c:f>
              <c:numCache>
                <c:formatCode>General</c:formatCode>
                <c:ptCount val="10"/>
                <c:pt idx="0">
                  <c:v>826</c:v>
                </c:pt>
                <c:pt idx="1">
                  <c:v>765</c:v>
                </c:pt>
                <c:pt idx="2">
                  <c:v>487</c:v>
                </c:pt>
                <c:pt idx="3">
                  <c:v>379</c:v>
                </c:pt>
                <c:pt idx="4">
                  <c:v>285</c:v>
                </c:pt>
                <c:pt idx="5">
                  <c:v>207</c:v>
                </c:pt>
                <c:pt idx="6">
                  <c:v>162</c:v>
                </c:pt>
                <c:pt idx="7">
                  <c:v>91</c:v>
                </c:pt>
                <c:pt idx="8">
                  <c:v>73</c:v>
                </c:pt>
                <c:pt idx="9">
                  <c:v>111</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44412.625</c:v>
                </c:pt>
                <c:pt idx="1">
                  <c:v>44405.625</c:v>
                </c:pt>
                <c:pt idx="2">
                  <c:v>44398.625</c:v>
                </c:pt>
                <c:pt idx="3">
                  <c:v>44391.625</c:v>
                </c:pt>
                <c:pt idx="4">
                  <c:v>44384.625</c:v>
                </c:pt>
                <c:pt idx="5">
                  <c:v>44377.625</c:v>
                </c:pt>
                <c:pt idx="6">
                  <c:v>44370.625</c:v>
                </c:pt>
                <c:pt idx="7">
                  <c:v>44363.625</c:v>
                </c:pt>
                <c:pt idx="8">
                  <c:v>44356.625</c:v>
                </c:pt>
                <c:pt idx="9">
                  <c:v>44349.625</c:v>
                </c:pt>
              </c:numCache>
            </c:numRef>
          </c:xVal>
          <c:yVal>
            <c:numRef>
              <c:f>Lisäys!$M$50:$M$59</c:f>
              <c:numCache>
                <c:formatCode>General</c:formatCode>
                <c:ptCount val="10"/>
                <c:pt idx="0">
                  <c:v>780</c:v>
                </c:pt>
                <c:pt idx="1">
                  <c:v>844</c:v>
                </c:pt>
                <c:pt idx="2">
                  <c:v>467</c:v>
                </c:pt>
                <c:pt idx="3">
                  <c:v>386</c:v>
                </c:pt>
                <c:pt idx="4">
                  <c:v>291</c:v>
                </c:pt>
                <c:pt idx="5">
                  <c:v>196</c:v>
                </c:pt>
                <c:pt idx="6">
                  <c:v>146</c:v>
                </c:pt>
                <c:pt idx="7">
                  <c:v>65</c:v>
                </c:pt>
                <c:pt idx="8">
                  <c:v>81</c:v>
                </c:pt>
                <c:pt idx="9">
                  <c:v>119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44411.625</c:v>
                </c:pt>
                <c:pt idx="1">
                  <c:v>44404.625</c:v>
                </c:pt>
                <c:pt idx="2">
                  <c:v>44397.625</c:v>
                </c:pt>
                <c:pt idx="3">
                  <c:v>44390.625</c:v>
                </c:pt>
                <c:pt idx="4">
                  <c:v>44383.625</c:v>
                </c:pt>
                <c:pt idx="5">
                  <c:v>44376.625</c:v>
                </c:pt>
                <c:pt idx="6">
                  <c:v>44369.625</c:v>
                </c:pt>
                <c:pt idx="7">
                  <c:v>44362.625</c:v>
                </c:pt>
                <c:pt idx="8">
                  <c:v>44355.625</c:v>
                </c:pt>
                <c:pt idx="9">
                  <c:v>44348.625</c:v>
                </c:pt>
              </c:numCache>
            </c:numRef>
          </c:xVal>
          <c:yVal>
            <c:numRef>
              <c:f>Lisäys!$Q$50:$Q$59</c:f>
              <c:numCache>
                <c:formatCode>General</c:formatCode>
                <c:ptCount val="10"/>
                <c:pt idx="0">
                  <c:v>839</c:v>
                </c:pt>
                <c:pt idx="1">
                  <c:v>675</c:v>
                </c:pt>
                <c:pt idx="2">
                  <c:v>421</c:v>
                </c:pt>
                <c:pt idx="3">
                  <c:v>341</c:v>
                </c:pt>
                <c:pt idx="4">
                  <c:v>260</c:v>
                </c:pt>
                <c:pt idx="5">
                  <c:v>261</c:v>
                </c:pt>
                <c:pt idx="6">
                  <c:v>110</c:v>
                </c:pt>
                <c:pt idx="7">
                  <c:v>78</c:v>
                </c:pt>
                <c:pt idx="8">
                  <c:v>101</c:v>
                </c:pt>
                <c:pt idx="9">
                  <c:v>121</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44410.625</c:v>
                </c:pt>
                <c:pt idx="1">
                  <c:v>44403.625</c:v>
                </c:pt>
                <c:pt idx="2">
                  <c:v>44396.625</c:v>
                </c:pt>
                <c:pt idx="3">
                  <c:v>44389.625</c:v>
                </c:pt>
                <c:pt idx="4">
                  <c:v>44382.625</c:v>
                </c:pt>
                <c:pt idx="5">
                  <c:v>44375.625</c:v>
                </c:pt>
                <c:pt idx="6">
                  <c:v>44368.625</c:v>
                </c:pt>
                <c:pt idx="7">
                  <c:v>44361.625</c:v>
                </c:pt>
                <c:pt idx="8">
                  <c:v>44354.625</c:v>
                </c:pt>
                <c:pt idx="9">
                  <c:v>44347.625</c:v>
                </c:pt>
              </c:numCache>
            </c:numRef>
          </c:xVal>
          <c:yVal>
            <c:numRef>
              <c:f>Lisäys!$U$50:$U$59</c:f>
              <c:numCache>
                <c:formatCode>General</c:formatCode>
                <c:ptCount val="10"/>
                <c:pt idx="0">
                  <c:v>894</c:v>
                </c:pt>
                <c:pt idx="1">
                  <c:v>766</c:v>
                </c:pt>
                <c:pt idx="2">
                  <c:v>421</c:v>
                </c:pt>
                <c:pt idx="3">
                  <c:v>330</c:v>
                </c:pt>
                <c:pt idx="4">
                  <c:v>245</c:v>
                </c:pt>
                <c:pt idx="5">
                  <c:v>230</c:v>
                </c:pt>
                <c:pt idx="6">
                  <c:v>112</c:v>
                </c:pt>
                <c:pt idx="7">
                  <c:v>93</c:v>
                </c:pt>
                <c:pt idx="8">
                  <c:v>139</c:v>
                </c:pt>
                <c:pt idx="9">
                  <c:v>150</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44409.625</c:v>
                </c:pt>
                <c:pt idx="1">
                  <c:v>44402.625</c:v>
                </c:pt>
                <c:pt idx="2">
                  <c:v>44395.625</c:v>
                </c:pt>
                <c:pt idx="3">
                  <c:v>44388.625</c:v>
                </c:pt>
                <c:pt idx="4">
                  <c:v>44381.625</c:v>
                </c:pt>
                <c:pt idx="5">
                  <c:v>44374.625</c:v>
                </c:pt>
                <c:pt idx="6">
                  <c:v>44367.625</c:v>
                </c:pt>
                <c:pt idx="7">
                  <c:v>44360.625</c:v>
                </c:pt>
                <c:pt idx="8">
                  <c:v>44353.625</c:v>
                </c:pt>
                <c:pt idx="9">
                  <c:v>44346.625</c:v>
                </c:pt>
              </c:numCache>
            </c:numRef>
          </c:xVal>
          <c:yVal>
            <c:numRef>
              <c:f>Lisäys!$Y$50:$Y$59</c:f>
              <c:numCache>
                <c:formatCode>General</c:formatCode>
                <c:ptCount val="10"/>
                <c:pt idx="0">
                  <c:v>474</c:v>
                </c:pt>
                <c:pt idx="1">
                  <c:v>351</c:v>
                </c:pt>
                <c:pt idx="2">
                  <c:v>247</c:v>
                </c:pt>
                <c:pt idx="3">
                  <c:v>157</c:v>
                </c:pt>
                <c:pt idx="4">
                  <c:v>108</c:v>
                </c:pt>
                <c:pt idx="5">
                  <c:v>119</c:v>
                </c:pt>
                <c:pt idx="6">
                  <c:v>80</c:v>
                </c:pt>
                <c:pt idx="7">
                  <c:v>48</c:v>
                </c:pt>
                <c:pt idx="8">
                  <c:v>60</c:v>
                </c:pt>
                <c:pt idx="9">
                  <c:v>79</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44408.625</c:v>
                </c:pt>
                <c:pt idx="1">
                  <c:v>44401.625</c:v>
                </c:pt>
                <c:pt idx="2">
                  <c:v>44394.625</c:v>
                </c:pt>
                <c:pt idx="3">
                  <c:v>44387.625</c:v>
                </c:pt>
                <c:pt idx="4">
                  <c:v>44380.625</c:v>
                </c:pt>
                <c:pt idx="5">
                  <c:v>44373.625</c:v>
                </c:pt>
                <c:pt idx="6">
                  <c:v>44366.625</c:v>
                </c:pt>
                <c:pt idx="7">
                  <c:v>44359.625</c:v>
                </c:pt>
                <c:pt idx="8">
                  <c:v>44352.625</c:v>
                </c:pt>
                <c:pt idx="9">
                  <c:v>44345.625</c:v>
                </c:pt>
              </c:numCache>
            </c:numRef>
          </c:xVal>
          <c:yVal>
            <c:numRef>
              <c:f>Lisäys!$AC$50:$AC$59</c:f>
              <c:numCache>
                <c:formatCode>General</c:formatCode>
                <c:ptCount val="10"/>
                <c:pt idx="0">
                  <c:v>403</c:v>
                </c:pt>
                <c:pt idx="1">
                  <c:v>298</c:v>
                </c:pt>
                <c:pt idx="2">
                  <c:v>203</c:v>
                </c:pt>
                <c:pt idx="3">
                  <c:v>150</c:v>
                </c:pt>
                <c:pt idx="4">
                  <c:v>129</c:v>
                </c:pt>
                <c:pt idx="5">
                  <c:v>129</c:v>
                </c:pt>
                <c:pt idx="6">
                  <c:v>57</c:v>
                </c:pt>
                <c:pt idx="7">
                  <c:v>46</c:v>
                </c:pt>
                <c:pt idx="8">
                  <c:v>64</c:v>
                </c:pt>
                <c:pt idx="9">
                  <c:v>64</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894</c:v>
                </c:pt>
                <c:pt idx="1">
                  <c:v>839</c:v>
                </c:pt>
                <c:pt idx="2">
                  <c:v>844</c:v>
                </c:pt>
                <c:pt idx="3">
                  <c:v>826</c:v>
                </c:pt>
                <c:pt idx="4">
                  <c:v>808</c:v>
                </c:pt>
                <c:pt idx="5">
                  <c:v>492</c:v>
                </c:pt>
                <c:pt idx="6">
                  <c:v>474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A2C07586-A362-45B6-9D96-520356DEA659}" type="CELLRANGE">
                      <a:rPr lang="en-US"/>
                      <a:pPr/>
                      <a:t>[CELLRANGE]</a:t>
                    </a:fld>
                    <a:r>
                      <a:rPr lang="en-US" baseline="0"/>
                      <a:t>; </a:t>
                    </a:r>
                    <a:fld id="{92976472-1404-477E-9149-F9685D1E052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BCCF86F6-E52D-4777-9DA4-ED1FB91A9328}" type="CELLRANGE">
                      <a:rPr lang="en-US"/>
                      <a:pPr/>
                      <a:t>[CELLRANGE]</a:t>
                    </a:fld>
                    <a:r>
                      <a:rPr lang="en-US" baseline="0"/>
                      <a:t>; </a:t>
                    </a:r>
                    <a:fld id="{576C4616-13BC-4CF4-A779-F04D5816048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79D8E211-493B-41D8-B118-D938D4D3CD8C}" type="CELLRANGE">
                      <a:rPr lang="en-US"/>
                      <a:pPr/>
                      <a:t>[CELLRANGE]</a:t>
                    </a:fld>
                    <a:r>
                      <a:rPr lang="en-US" baseline="0"/>
                      <a:t>; </a:t>
                    </a:r>
                    <a:fld id="{D49196B1-DD17-4222-9680-21A5110B9EB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72B7B4F-124F-466D-AC4C-48696163EF79}" type="CELLRANGE">
                      <a:rPr lang="en-US"/>
                      <a:pPr/>
                      <a:t>[CELLRANGE]</a:t>
                    </a:fld>
                    <a:r>
                      <a:rPr lang="en-US" baseline="0"/>
                      <a:t>; </a:t>
                    </a:r>
                    <a:fld id="{E18A4EC1-23D8-4B10-9AE6-386D68C570F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BFC0AF8D-1BB1-4ED5-91F8-83233A9FDF09}" type="CELLRANGE">
                      <a:rPr lang="en-US"/>
                      <a:pPr/>
                      <a:t>[CELLRANGE]</a:t>
                    </a:fld>
                    <a:r>
                      <a:rPr lang="en-US" baseline="0"/>
                      <a:t>; </a:t>
                    </a:r>
                    <a:fld id="{6DFA3B4A-DE2F-48DF-89FE-58BF3E795F2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5518D809-A284-48D5-A227-8DDD8E70CB86}" type="CELLRANGE">
                      <a:rPr lang="en-US"/>
                      <a:pPr/>
                      <a:t>[CELLRANGE]</a:t>
                    </a:fld>
                    <a:r>
                      <a:rPr lang="en-US" baseline="0"/>
                      <a:t>; </a:t>
                    </a:r>
                    <a:fld id="{60F07D09-18EB-4E6B-9264-C67440E3CD9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0A9F607E-4E86-4827-ABC3-92998F98D420}" type="CELLRANGE">
                      <a:rPr lang="en-US"/>
                      <a:pPr/>
                      <a:t>[CELLRANGE]</a:t>
                    </a:fld>
                    <a:r>
                      <a:rPr lang="en-US" baseline="0"/>
                      <a:t>; </a:t>
                    </a:r>
                    <a:fld id="{42FF91FF-E3B5-4275-B28B-227674BDD7B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894</c:v>
                </c:pt>
                <c:pt idx="1">
                  <c:v>839</c:v>
                </c:pt>
                <c:pt idx="2">
                  <c:v>844</c:v>
                </c:pt>
                <c:pt idx="3">
                  <c:v>826</c:v>
                </c:pt>
                <c:pt idx="4">
                  <c:v>808</c:v>
                </c:pt>
                <c:pt idx="5">
                  <c:v>492</c:v>
                </c:pt>
                <c:pt idx="6">
                  <c:v>474</c:v>
                </c:pt>
              </c:numCache>
            </c:numRef>
          </c:val>
          <c:extLst>
            <c:ext xmlns:c15="http://schemas.microsoft.com/office/drawing/2012/chart" uri="{02D57815-91ED-43cb-92C2-25804820EDAC}">
              <c15:datalabelsRange>
                <c15:f>Kuvaajat!$P$25:$P$31</c15:f>
                <c15:dlblRangeCache>
                  <c:ptCount val="7"/>
                  <c:pt idx="0">
                    <c:v>2.8.2021</c:v>
                  </c:pt>
                  <c:pt idx="1">
                    <c:v>3.8.2021</c:v>
                  </c:pt>
                  <c:pt idx="2">
                    <c:v>28.7.2021</c:v>
                  </c:pt>
                  <c:pt idx="3">
                    <c:v>5.8.2021</c:v>
                  </c:pt>
                  <c:pt idx="4">
                    <c:v>12.3.2021</c:v>
                  </c:pt>
                  <c:pt idx="5">
                    <c:v>13.3.2021</c:v>
                  </c:pt>
                  <c:pt idx="6">
                    <c:v>1.8.2021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6.8.2021 saakka. Suurin arvo 894,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HUS!PlotX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HUS!PlotY</c:f>
              <c:numCache>
                <c:formatCode>General</c:formatCode>
                <c:ptCount val="5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269</c:v>
                </c:pt>
                <c:pt idx="425">
                  <c:v>481</c:v>
                </c:pt>
                <c:pt idx="426">
                  <c:v>492</c:v>
                </c:pt>
                <c:pt idx="427">
                  <c:v>475</c:v>
                </c:pt>
                <c:pt idx="428">
                  <c:v>389</c:v>
                </c:pt>
                <c:pt idx="429">
                  <c:v>420</c:v>
                </c:pt>
                <c:pt idx="430">
                  <c:v>277</c:v>
                </c:pt>
                <c:pt idx="431">
                  <c:v>256</c:v>
                </c:pt>
                <c:pt idx="432">
                  <c:v>501</c:v>
                </c:pt>
                <c:pt idx="433">
                  <c:v>506</c:v>
                </c:pt>
                <c:pt idx="434">
                  <c:v>505</c:v>
                </c:pt>
                <c:pt idx="435">
                  <c:v>477</c:v>
                </c:pt>
                <c:pt idx="436">
                  <c:v>518</c:v>
                </c:pt>
                <c:pt idx="437">
                  <c:v>327</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113</c:v>
                </c:pt>
                <c:pt idx="490">
                  <c:v>125</c:v>
                </c:pt>
                <c:pt idx="491">
                  <c:v>113</c:v>
                </c:pt>
                <c:pt idx="492">
                  <c:v>94</c:v>
                </c:pt>
                <c:pt idx="493">
                  <c:v>69</c:v>
                </c:pt>
                <c:pt idx="494">
                  <c:v>69</c:v>
                </c:pt>
                <c:pt idx="495">
                  <c:v>138</c:v>
                </c:pt>
                <c:pt idx="496">
                  <c:v>108</c:v>
                </c:pt>
                <c:pt idx="497">
                  <c:v>146</c:v>
                </c:pt>
                <c:pt idx="498">
                  <c:v>77</c:v>
                </c:pt>
                <c:pt idx="499">
                  <c:v>86</c:v>
                </c:pt>
                <c:pt idx="500">
                  <c:v>80</c:v>
                </c:pt>
                <c:pt idx="501">
                  <c:v>55</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126</c:v>
                </c:pt>
                <c:pt idx="542">
                  <c:v>79</c:v>
                </c:pt>
                <c:pt idx="543">
                  <c:v>58</c:v>
                </c:pt>
                <c:pt idx="544">
                  <c:v>114</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204</c:v>
                </c:pt>
                <c:pt idx="560">
                  <c:v>233</c:v>
                </c:pt>
                <c:pt idx="561">
                  <c:v>214</c:v>
                </c:pt>
                <c:pt idx="562">
                  <c:v>205</c:v>
                </c:pt>
                <c:pt idx="563">
                  <c:v>135</c:v>
                </c:pt>
                <c:pt idx="564">
                  <c:v>135</c:v>
                </c:pt>
                <c:pt idx="565">
                  <c:v>213</c:v>
                </c:pt>
                <c:pt idx="566">
                  <c:v>240</c:v>
                </c:pt>
                <c:pt idx="567">
                  <c:v>226</c:v>
                </c:pt>
                <c:pt idx="568">
                  <c:v>209</c:v>
                </c:pt>
                <c:pt idx="569">
                  <c:v>240</c:v>
                </c:pt>
                <c:pt idx="570">
                  <c:v>170</c:v>
                </c:pt>
                <c:pt idx="571">
                  <c:v>183</c:v>
                </c:pt>
                <c:pt idx="572">
                  <c:v>408</c:v>
                </c:pt>
                <c:pt idx="573">
                  <c:v>317</c:v>
                </c:pt>
                <c:pt idx="574">
                  <c:v>410</c:v>
                </c:pt>
                <c:pt idx="575">
                  <c:v>357</c:v>
                </c:pt>
                <c:pt idx="576">
                  <c:v>314</c:v>
                </c:pt>
                <c:pt idx="577">
                  <c:v>232</c:v>
                </c:pt>
                <c:pt idx="578">
                  <c:v>268</c:v>
                </c:pt>
                <c:pt idx="579">
                  <c:v>443</c:v>
                </c:pt>
                <c:pt idx="580">
                  <c:v>435</c:v>
                </c:pt>
                <c:pt idx="581">
                  <c:v>386</c:v>
                </c:pt>
                <c:pt idx="582">
                  <c:v>341</c:v>
                </c:pt>
                <c:pt idx="583">
                  <c:v>307</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421</c:v>
                </c:pt>
                <c:pt idx="567">
                  <c:v>467</c:v>
                </c:pt>
                <c:pt idx="568">
                  <c:v>487</c:v>
                </c:pt>
                <c:pt idx="569">
                  <c:v>479</c:v>
                </c:pt>
                <c:pt idx="570">
                  <c:v>298</c:v>
                </c:pt>
                <c:pt idx="571">
                  <c:v>351</c:v>
                </c:pt>
                <c:pt idx="572">
                  <c:v>766</c:v>
                </c:pt>
                <c:pt idx="573">
                  <c:v>675</c:v>
                </c:pt>
                <c:pt idx="574">
                  <c:v>844</c:v>
                </c:pt>
                <c:pt idx="575">
                  <c:v>765</c:v>
                </c:pt>
                <c:pt idx="576">
                  <c:v>692</c:v>
                </c:pt>
                <c:pt idx="577">
                  <c:v>403</c:v>
                </c:pt>
                <c:pt idx="578">
                  <c:v>474</c:v>
                </c:pt>
                <c:pt idx="579">
                  <c:v>894</c:v>
                </c:pt>
                <c:pt idx="580">
                  <c:v>839</c:v>
                </c:pt>
                <c:pt idx="581">
                  <c:v>780</c:v>
                </c:pt>
                <c:pt idx="582">
                  <c:v>826</c:v>
                </c:pt>
                <c:pt idx="583">
                  <c:v>655</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showDLblsOverMax val="0"/>
    <c:extLst/>
  </c:chart>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68580</xdr:rowOff>
        </xdr:from>
        <xdr:to>
          <xdr:col>1</xdr:col>
          <xdr:colOff>1363980</xdr:colOff>
          <xdr:row>0</xdr:row>
          <xdr:rowOff>449580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384810</xdr:colOff>
      <xdr:row>592</xdr:row>
      <xdr:rowOff>72390</xdr:rowOff>
    </xdr:from>
    <xdr:to>
      <xdr:col>12</xdr:col>
      <xdr:colOff>171450</xdr:colOff>
      <xdr:row>610</xdr:row>
      <xdr:rowOff>20683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45720</xdr:rowOff>
        </xdr:from>
        <xdr:to>
          <xdr:col>1</xdr:col>
          <xdr:colOff>1363980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114300</xdr:rowOff>
        </xdr:from>
        <xdr:to>
          <xdr:col>3</xdr:col>
          <xdr:colOff>312420</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57</xdr:row>
      <xdr:rowOff>19050</xdr:rowOff>
    </xdr:from>
    <xdr:to>
      <xdr:col>17</xdr:col>
      <xdr:colOff>559335</xdr:colOff>
      <xdr:row>75</xdr:row>
      <xdr:rowOff>94689</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106680</xdr:colOff>
          <xdr:row>1</xdr:row>
          <xdr:rowOff>76200</xdr:rowOff>
        </xdr:from>
        <xdr:to>
          <xdr:col>2</xdr:col>
          <xdr:colOff>449580</xdr:colOff>
          <xdr:row>3</xdr:row>
          <xdr:rowOff>30480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17" sqref="B17"/>
    </sheetView>
  </sheetViews>
  <sheetFormatPr defaultRowHeight="14.4"/>
  <sheetData>
    <row r="2" spans="2:12" ht="14.85" customHeight="1">
      <c r="B2" s="54" t="s">
        <v>523</v>
      </c>
      <c r="C2" s="55"/>
      <c r="D2" s="55"/>
      <c r="E2" s="55"/>
      <c r="F2" s="55"/>
      <c r="G2" s="55"/>
      <c r="H2" s="55"/>
      <c r="I2" s="56"/>
      <c r="J2" s="56"/>
      <c r="K2" s="56"/>
      <c r="L2" s="56"/>
    </row>
    <row r="3" spans="2:12">
      <c r="B3" s="55"/>
      <c r="C3" s="55"/>
      <c r="D3" s="55"/>
      <c r="E3" s="55"/>
      <c r="F3" s="55"/>
      <c r="G3" s="55"/>
      <c r="H3" s="55"/>
      <c r="I3" s="56"/>
      <c r="J3" s="56"/>
      <c r="K3" s="56"/>
      <c r="L3" s="56"/>
    </row>
    <row r="4" spans="2:12">
      <c r="B4" s="55"/>
      <c r="C4" s="55"/>
      <c r="D4" s="55"/>
      <c r="E4" s="55"/>
      <c r="F4" s="55"/>
      <c r="G4" s="55"/>
      <c r="H4" s="55"/>
      <c r="I4" s="56"/>
      <c r="J4" s="56"/>
      <c r="K4" s="56"/>
      <c r="L4" s="56"/>
    </row>
    <row r="5" spans="2:12">
      <c r="B5" s="55"/>
      <c r="C5" s="55"/>
      <c r="D5" s="55"/>
      <c r="E5" s="55"/>
      <c r="F5" s="55"/>
      <c r="G5" s="55"/>
      <c r="H5" s="55"/>
      <c r="I5" s="56"/>
      <c r="J5" s="56"/>
      <c r="K5" s="56"/>
      <c r="L5" s="56"/>
    </row>
    <row r="6" spans="2:12">
      <c r="B6" s="55"/>
      <c r="C6" s="55"/>
      <c r="D6" s="55"/>
      <c r="E6" s="55"/>
      <c r="F6" s="55"/>
      <c r="G6" s="55"/>
      <c r="H6" s="55"/>
      <c r="I6" s="56"/>
      <c r="J6" s="56"/>
      <c r="K6" s="56"/>
      <c r="L6" s="56"/>
    </row>
    <row r="7" spans="2:12">
      <c r="B7" s="55"/>
      <c r="C7" s="55"/>
      <c r="D7" s="55"/>
      <c r="E7" s="55"/>
      <c r="F7" s="55"/>
      <c r="G7" s="55"/>
      <c r="H7" s="55"/>
      <c r="I7" s="56"/>
      <c r="J7" s="56"/>
      <c r="K7" s="56"/>
      <c r="L7" s="56"/>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4.4"/>
  <cols>
    <col min="1" max="1" width="23.554687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352</v>
      </c>
      <c r="D352" s="39">
        <f t="shared" si="5"/>
        <v>1.8953262976523798E-2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397</v>
      </c>
      <c r="D371" s="39">
        <f t="shared" si="5"/>
        <v>3.7182729231057414E-2</v>
      </c>
    </row>
    <row r="372" spans="1:4">
      <c r="A372" t="s">
        <v>395</v>
      </c>
      <c r="B372">
        <v>14981</v>
      </c>
      <c r="C372">
        <f>Kaikki!A372</f>
        <v>261</v>
      </c>
      <c r="D372" s="39">
        <f t="shared" si="5"/>
        <v>1.7422067952740136E-2</v>
      </c>
    </row>
    <row r="373" spans="1:4">
      <c r="A373" t="s">
        <v>396</v>
      </c>
      <c r="B373">
        <v>10861</v>
      </c>
      <c r="C373">
        <f>Kaikki!A373</f>
        <v>208</v>
      </c>
      <c r="D373" s="39">
        <f t="shared" si="5"/>
        <v>1.9151091059755088E-2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187</v>
      </c>
      <c r="D377" s="39">
        <f t="shared" si="5"/>
        <v>2.8764805414551606E-2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407</v>
      </c>
      <c r="D387" s="39">
        <f t="shared" si="5"/>
        <v>2.5769279473217676E-2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599</v>
      </c>
      <c r="D422" s="39">
        <f t="shared" si="7"/>
        <v>2.506276150627615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70" activePane="bottomLeft" state="frozen"/>
      <selection pane="bottomLeft" activeCell="A587" sqref="A587"/>
    </sheetView>
  </sheetViews>
  <sheetFormatPr defaultRowHeight="14.4"/>
  <cols>
    <col min="1" max="1" width="9.1093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4.88671875" bestFit="1" customWidth="1"/>
    <col min="11" max="11" width="14" bestFit="1" customWidth="1"/>
    <col min="12" max="12" width="10.109375" bestFit="1" customWidth="1"/>
    <col min="13" max="13" width="14.109375" bestFit="1" customWidth="1"/>
  </cols>
  <sheetData>
    <row r="1" spans="1:15" s="7" customFormat="1" ht="39.9" customHeight="1">
      <c r="A1" s="31" t="s">
        <v>290</v>
      </c>
      <c r="B1" s="1" t="s">
        <v>1</v>
      </c>
      <c r="C1" s="1" t="s">
        <v>9</v>
      </c>
      <c r="D1" s="1" t="s">
        <v>291</v>
      </c>
      <c r="E1" s="1" t="s">
        <v>299</v>
      </c>
      <c r="F1" s="6" t="s">
        <v>7</v>
      </c>
      <c r="G1" s="7" t="s">
        <v>465</v>
      </c>
      <c r="H1" s="7" t="s">
        <v>467</v>
      </c>
      <c r="I1" s="7">
        <f>SUM(A:A)</f>
        <v>113437</v>
      </c>
      <c r="J1" s="8">
        <v>44418.729699074072</v>
      </c>
      <c r="K1" s="7">
        <f>MAX(A:A)</f>
        <v>894</v>
      </c>
      <c r="L1" s="15">
        <f>VLOOKUP(K1,A:F,6,FALSE)</f>
        <v>44410.625</v>
      </c>
      <c r="M1" s="7">
        <f>COUNT(DataN)-5</f>
        <v>583</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6.8.2021 saakka. Suurin arvo 894, joka 2.8.2021.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1">
      <c r="A17" s="3">
        <v>0</v>
      </c>
      <c r="B17" t="s">
        <v>249</v>
      </c>
      <c r="C17" t="s">
        <v>8</v>
      </c>
      <c r="E17" s="3">
        <f t="shared" si="0"/>
        <v>4</v>
      </c>
      <c r="F17" s="5">
        <v>43846.625</v>
      </c>
      <c r="G17" s="19" t="str">
        <f t="shared" si="1"/>
        <v/>
      </c>
      <c r="J17" s="28" t="e">
        <f t="shared" si="2"/>
        <v>#DIV/0!</v>
      </c>
    </row>
    <row r="18" spans="1:11">
      <c r="A18" s="3">
        <v>0</v>
      </c>
      <c r="B18" t="s">
        <v>250</v>
      </c>
      <c r="C18" t="s">
        <v>8</v>
      </c>
      <c r="E18" s="3">
        <f t="shared" si="0"/>
        <v>5</v>
      </c>
      <c r="F18" s="5">
        <v>43847.625</v>
      </c>
      <c r="G18" s="19" t="str">
        <f t="shared" si="1"/>
        <v/>
      </c>
      <c r="J18" s="28" t="e">
        <f t="shared" si="2"/>
        <v>#DIV/0!</v>
      </c>
    </row>
    <row r="19" spans="1:11">
      <c r="A19" s="3">
        <v>0</v>
      </c>
      <c r="B19" t="s">
        <v>251</v>
      </c>
      <c r="C19" t="s">
        <v>8</v>
      </c>
      <c r="E19" s="3">
        <f t="shared" si="0"/>
        <v>6</v>
      </c>
      <c r="F19" s="5">
        <v>43848.625</v>
      </c>
      <c r="G19" s="19" t="str">
        <f t="shared" si="1"/>
        <v/>
      </c>
      <c r="J19" s="28" t="e">
        <f t="shared" si="2"/>
        <v>#DIV/0!</v>
      </c>
    </row>
    <row r="20" spans="1:11">
      <c r="A20" s="3">
        <v>0</v>
      </c>
      <c r="B20" t="s">
        <v>252</v>
      </c>
      <c r="C20" t="s">
        <v>8</v>
      </c>
      <c r="E20" s="3">
        <f t="shared" si="0"/>
        <v>7</v>
      </c>
      <c r="F20" s="5">
        <v>43849.625</v>
      </c>
      <c r="G20" s="19" t="str">
        <f t="shared" si="1"/>
        <v/>
      </c>
      <c r="J20" s="28" t="e">
        <f t="shared" si="2"/>
        <v>#DIV/0!</v>
      </c>
      <c r="K20">
        <f>SUM(A14:A20)</f>
        <v>0</v>
      </c>
    </row>
    <row r="21" spans="1:11">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row>
    <row r="22" spans="1:11">
      <c r="A22" s="3">
        <v>0</v>
      </c>
      <c r="B22" t="s">
        <v>254</v>
      </c>
      <c r="C22" t="s">
        <v>8</v>
      </c>
      <c r="E22" s="3">
        <f t="shared" si="0"/>
        <v>2</v>
      </c>
      <c r="F22" s="5">
        <v>43851.625</v>
      </c>
      <c r="G22" s="19" t="str">
        <f t="shared" si="1"/>
        <v/>
      </c>
      <c r="J22" s="28" t="e">
        <f t="shared" si="2"/>
        <v>#DIV/0!</v>
      </c>
      <c r="K22">
        <f t="shared" si="3"/>
        <v>0</v>
      </c>
    </row>
    <row r="23" spans="1:11">
      <c r="A23" s="3">
        <v>0</v>
      </c>
      <c r="B23" t="s">
        <v>255</v>
      </c>
      <c r="C23" t="s">
        <v>8</v>
      </c>
      <c r="E23" s="3">
        <f t="shared" si="0"/>
        <v>3</v>
      </c>
      <c r="F23" s="5">
        <v>43852.625</v>
      </c>
      <c r="G23" s="19" t="str">
        <f t="shared" si="1"/>
        <v/>
      </c>
      <c r="J23" s="28" t="e">
        <f t="shared" si="2"/>
        <v>#DIV/0!</v>
      </c>
      <c r="K23">
        <f t="shared" si="3"/>
        <v>0</v>
      </c>
    </row>
    <row r="24" spans="1:11">
      <c r="A24" s="3">
        <v>0</v>
      </c>
      <c r="B24" t="s">
        <v>256</v>
      </c>
      <c r="C24" t="s">
        <v>8</v>
      </c>
      <c r="E24" s="3">
        <f t="shared" si="0"/>
        <v>4</v>
      </c>
      <c r="F24" s="5">
        <v>43853.625</v>
      </c>
      <c r="G24" s="19" t="str">
        <f t="shared" si="1"/>
        <v/>
      </c>
      <c r="J24" s="28" t="e">
        <f t="shared" si="2"/>
        <v>#DIV/0!</v>
      </c>
      <c r="K24">
        <f t="shared" si="3"/>
        <v>0</v>
      </c>
    </row>
    <row r="25" spans="1:11">
      <c r="A25" s="3">
        <v>0</v>
      </c>
      <c r="B25" t="s">
        <v>257</v>
      </c>
      <c r="C25" t="s">
        <v>8</v>
      </c>
      <c r="E25" s="3">
        <f t="shared" si="0"/>
        <v>5</v>
      </c>
      <c r="F25" s="5">
        <v>43854.625</v>
      </c>
      <c r="G25" s="19" t="str">
        <f t="shared" si="1"/>
        <v/>
      </c>
      <c r="J25" s="28" t="e">
        <f t="shared" si="2"/>
        <v>#DIV/0!</v>
      </c>
      <c r="K25">
        <f t="shared" si="3"/>
        <v>0</v>
      </c>
    </row>
    <row r="26" spans="1:11">
      <c r="A26" s="3">
        <v>0</v>
      </c>
      <c r="B26" t="s">
        <v>258</v>
      </c>
      <c r="C26" t="s">
        <v>8</v>
      </c>
      <c r="E26" s="3">
        <f t="shared" si="0"/>
        <v>6</v>
      </c>
      <c r="F26" s="5">
        <v>43855.625</v>
      </c>
      <c r="G26" s="19" t="str">
        <f t="shared" si="1"/>
        <v/>
      </c>
      <c r="J26" s="28" t="e">
        <f t="shared" si="2"/>
        <v>#DIV/0!</v>
      </c>
      <c r="K26">
        <f t="shared" si="3"/>
        <v>0</v>
      </c>
    </row>
    <row r="27" spans="1:11">
      <c r="A27" s="3">
        <v>0</v>
      </c>
      <c r="B27" t="s">
        <v>259</v>
      </c>
      <c r="C27" t="s">
        <v>8</v>
      </c>
      <c r="E27" s="3">
        <f t="shared" si="0"/>
        <v>7</v>
      </c>
      <c r="F27" s="5">
        <v>43856.625</v>
      </c>
      <c r="G27" s="19" t="str">
        <f t="shared" si="1"/>
        <v/>
      </c>
      <c r="J27" s="28" t="e">
        <f t="shared" si="2"/>
        <v>#DIV/0!</v>
      </c>
      <c r="K27">
        <f t="shared" si="3"/>
        <v>0</v>
      </c>
    </row>
    <row r="28" spans="1:11">
      <c r="A28" s="3">
        <v>0</v>
      </c>
      <c r="B28" t="s">
        <v>260</v>
      </c>
      <c r="C28" t="s">
        <v>8</v>
      </c>
      <c r="E28" s="3">
        <f t="shared" si="0"/>
        <v>1</v>
      </c>
      <c r="F28" s="5">
        <v>43857.625</v>
      </c>
      <c r="G28" s="19" t="str">
        <f t="shared" si="1"/>
        <v>2020-W05</v>
      </c>
      <c r="H28">
        <f>SUM(A28:A34)</f>
        <v>1</v>
      </c>
      <c r="I28" s="28" t="e">
        <f>H28/H21-1</f>
        <v>#DIV/0!</v>
      </c>
      <c r="J28" s="28" t="e">
        <f t="shared" si="2"/>
        <v>#DIV/0!</v>
      </c>
      <c r="K28">
        <f t="shared" si="3"/>
        <v>0</v>
      </c>
    </row>
    <row r="29" spans="1:11">
      <c r="A29" s="3">
        <v>1</v>
      </c>
      <c r="B29" t="s">
        <v>10</v>
      </c>
      <c r="C29" t="s">
        <v>8</v>
      </c>
      <c r="E29" s="3">
        <f t="shared" si="0"/>
        <v>2</v>
      </c>
      <c r="F29" s="5">
        <v>43858.625</v>
      </c>
      <c r="G29" s="19" t="str">
        <f t="shared" si="1"/>
        <v/>
      </c>
      <c r="J29" s="28" t="e">
        <f t="shared" si="2"/>
        <v>#DIV/0!</v>
      </c>
      <c r="K29">
        <f t="shared" si="3"/>
        <v>1</v>
      </c>
    </row>
    <row r="30" spans="1:11">
      <c r="A30" s="3">
        <v>0</v>
      </c>
      <c r="B30" t="s">
        <v>261</v>
      </c>
      <c r="C30" t="s">
        <v>8</v>
      </c>
      <c r="E30" s="3">
        <f t="shared" si="0"/>
        <v>3</v>
      </c>
      <c r="F30" s="5">
        <v>43859.625</v>
      </c>
      <c r="G30" s="19" t="str">
        <f t="shared" si="1"/>
        <v/>
      </c>
      <c r="J30" s="28" t="e">
        <f t="shared" si="2"/>
        <v>#DIV/0!</v>
      </c>
      <c r="K30">
        <f t="shared" si="3"/>
        <v>1</v>
      </c>
    </row>
    <row r="31" spans="1:11">
      <c r="A31" s="3">
        <v>0</v>
      </c>
      <c r="B31" t="s">
        <v>262</v>
      </c>
      <c r="C31" t="s">
        <v>8</v>
      </c>
      <c r="E31" s="3">
        <f t="shared" si="0"/>
        <v>4</v>
      </c>
      <c r="F31" s="5">
        <v>43860.625</v>
      </c>
      <c r="G31" s="19" t="str">
        <f t="shared" si="1"/>
        <v/>
      </c>
      <c r="J31" s="28" t="e">
        <f t="shared" si="2"/>
        <v>#DIV/0!</v>
      </c>
      <c r="K31">
        <f t="shared" si="3"/>
        <v>1</v>
      </c>
    </row>
    <row r="32" spans="1:11">
      <c r="A32" s="3">
        <v>0</v>
      </c>
      <c r="B32" t="s">
        <v>263</v>
      </c>
      <c r="C32" t="s">
        <v>8</v>
      </c>
      <c r="E32" s="3">
        <f t="shared" si="0"/>
        <v>5</v>
      </c>
      <c r="F32" s="5">
        <v>43861.625</v>
      </c>
      <c r="G32" s="19" t="str">
        <f t="shared" si="1"/>
        <v/>
      </c>
      <c r="J32" s="28" t="e">
        <f t="shared" si="2"/>
        <v>#DIV/0!</v>
      </c>
      <c r="K32">
        <f t="shared" si="3"/>
        <v>1</v>
      </c>
    </row>
    <row r="33" spans="1:11">
      <c r="A33" s="3">
        <v>0</v>
      </c>
      <c r="B33" t="s">
        <v>264</v>
      </c>
      <c r="C33" t="s">
        <v>8</v>
      </c>
      <c r="E33" s="3">
        <f t="shared" si="0"/>
        <v>6</v>
      </c>
      <c r="F33" s="5">
        <v>43862.625</v>
      </c>
      <c r="G33" s="19" t="str">
        <f t="shared" si="1"/>
        <v/>
      </c>
      <c r="J33" s="28" t="e">
        <f t="shared" si="2"/>
        <v>#DIV/0!</v>
      </c>
      <c r="K33">
        <f t="shared" si="3"/>
        <v>1</v>
      </c>
    </row>
    <row r="34" spans="1:11">
      <c r="A34" s="3">
        <v>0</v>
      </c>
      <c r="B34" t="s">
        <v>265</v>
      </c>
      <c r="C34" t="s">
        <v>8</v>
      </c>
      <c r="E34" s="3">
        <f t="shared" si="0"/>
        <v>7</v>
      </c>
      <c r="F34" s="5">
        <v>43863.625</v>
      </c>
      <c r="G34" s="19" t="str">
        <f t="shared" si="1"/>
        <v/>
      </c>
      <c r="J34" s="28" t="e">
        <f t="shared" si="2"/>
        <v>#DIV/0!</v>
      </c>
      <c r="K34">
        <f t="shared" si="3"/>
        <v>1</v>
      </c>
    </row>
    <row r="35" spans="1:11">
      <c r="A35" s="3">
        <v>0</v>
      </c>
      <c r="B35" t="s">
        <v>266</v>
      </c>
      <c r="C35" t="s">
        <v>8</v>
      </c>
      <c r="E35" s="3">
        <f t="shared" si="0"/>
        <v>1</v>
      </c>
      <c r="F35" s="5">
        <v>43864.625</v>
      </c>
      <c r="G35" s="19" t="str">
        <f t="shared" si="1"/>
        <v>2020-W06</v>
      </c>
      <c r="H35">
        <f>SUM(A35:A41)</f>
        <v>0</v>
      </c>
      <c r="I35" s="28">
        <f>H35/H28-1</f>
        <v>-1</v>
      </c>
      <c r="J35" s="28" t="e">
        <f t="shared" si="2"/>
        <v>#DIV/0!</v>
      </c>
      <c r="K35">
        <f t="shared" si="3"/>
        <v>1</v>
      </c>
    </row>
    <row r="36" spans="1:11">
      <c r="A36" s="3">
        <v>0</v>
      </c>
      <c r="B36" t="s">
        <v>267</v>
      </c>
      <c r="C36" t="s">
        <v>8</v>
      </c>
      <c r="E36" s="3">
        <f t="shared" si="0"/>
        <v>2</v>
      </c>
      <c r="F36" s="5">
        <v>43865.625</v>
      </c>
      <c r="G36" s="19" t="str">
        <f t="shared" si="1"/>
        <v/>
      </c>
      <c r="J36" s="28">
        <f t="shared" si="2"/>
        <v>-1</v>
      </c>
      <c r="K36">
        <f t="shared" si="3"/>
        <v>0</v>
      </c>
    </row>
    <row r="37" spans="1:11">
      <c r="A37" s="3">
        <v>0</v>
      </c>
      <c r="B37" t="s">
        <v>268</v>
      </c>
      <c r="C37" t="s">
        <v>8</v>
      </c>
      <c r="E37" s="3">
        <f t="shared" si="0"/>
        <v>3</v>
      </c>
      <c r="F37" s="5">
        <v>43866.625</v>
      </c>
      <c r="G37" s="19" t="str">
        <f t="shared" si="1"/>
        <v/>
      </c>
      <c r="J37" s="28" t="e">
        <f t="shared" si="2"/>
        <v>#DIV/0!</v>
      </c>
      <c r="K37">
        <f t="shared" si="3"/>
        <v>0</v>
      </c>
    </row>
    <row r="38" spans="1:11">
      <c r="A38" s="3">
        <v>0</v>
      </c>
      <c r="B38" t="s">
        <v>269</v>
      </c>
      <c r="C38" t="s">
        <v>8</v>
      </c>
      <c r="E38" s="3">
        <f t="shared" si="0"/>
        <v>4</v>
      </c>
      <c r="F38" s="5">
        <v>43867.625</v>
      </c>
      <c r="G38" s="19" t="str">
        <f t="shared" si="1"/>
        <v/>
      </c>
      <c r="J38" s="28" t="e">
        <f t="shared" si="2"/>
        <v>#DIV/0!</v>
      </c>
      <c r="K38">
        <f t="shared" si="3"/>
        <v>0</v>
      </c>
    </row>
    <row r="39" spans="1:11">
      <c r="A39" s="3">
        <v>0</v>
      </c>
      <c r="B39" t="s">
        <v>270</v>
      </c>
      <c r="C39" t="s">
        <v>8</v>
      </c>
      <c r="E39" s="3">
        <f t="shared" si="0"/>
        <v>5</v>
      </c>
      <c r="F39" s="5">
        <v>43868.625</v>
      </c>
      <c r="G39" s="19" t="str">
        <f t="shared" si="1"/>
        <v/>
      </c>
      <c r="J39" s="28" t="e">
        <f t="shared" si="2"/>
        <v>#DIV/0!</v>
      </c>
      <c r="K39">
        <f t="shared" si="3"/>
        <v>0</v>
      </c>
    </row>
    <row r="40" spans="1:11">
      <c r="A40" s="3">
        <v>0</v>
      </c>
      <c r="B40" t="s">
        <v>271</v>
      </c>
      <c r="C40" t="s">
        <v>8</v>
      </c>
      <c r="E40" s="3">
        <f t="shared" si="0"/>
        <v>6</v>
      </c>
      <c r="F40" s="5">
        <v>43869.625</v>
      </c>
      <c r="G40" s="19" t="str">
        <f t="shared" si="1"/>
        <v/>
      </c>
      <c r="J40" s="28" t="e">
        <f t="shared" si="2"/>
        <v>#DIV/0!</v>
      </c>
      <c r="K40">
        <f t="shared" si="3"/>
        <v>0</v>
      </c>
    </row>
    <row r="41" spans="1:11">
      <c r="A41" s="3">
        <v>0</v>
      </c>
      <c r="B41" t="s">
        <v>272</v>
      </c>
      <c r="C41" t="s">
        <v>8</v>
      </c>
      <c r="E41" s="3">
        <f t="shared" si="0"/>
        <v>7</v>
      </c>
      <c r="F41" s="5">
        <v>43870.625</v>
      </c>
      <c r="G41" s="19" t="str">
        <f t="shared" si="1"/>
        <v/>
      </c>
      <c r="J41" s="28" t="e">
        <f t="shared" si="2"/>
        <v>#DIV/0!</v>
      </c>
      <c r="K41">
        <f t="shared" si="3"/>
        <v>0</v>
      </c>
    </row>
    <row r="42" spans="1:11">
      <c r="A42" s="3">
        <v>1</v>
      </c>
      <c r="B42" t="s">
        <v>11</v>
      </c>
      <c r="C42" t="s">
        <v>8</v>
      </c>
      <c r="E42" s="3">
        <f t="shared" si="0"/>
        <v>1</v>
      </c>
      <c r="F42" s="5">
        <v>43871.625</v>
      </c>
      <c r="G42" s="19" t="str">
        <f t="shared" si="1"/>
        <v>2020-W07</v>
      </c>
      <c r="H42">
        <f>SUM(A42:A48)</f>
        <v>1</v>
      </c>
      <c r="I42" s="28" t="e">
        <f>H42/H35-1</f>
        <v>#DIV/0!</v>
      </c>
      <c r="J42" s="28" t="e">
        <f t="shared" si="2"/>
        <v>#DIV/0!</v>
      </c>
      <c r="K42">
        <f t="shared" si="3"/>
        <v>1</v>
      </c>
    </row>
    <row r="43" spans="1:11">
      <c r="A43" s="3">
        <v>0</v>
      </c>
      <c r="B43" t="s">
        <v>273</v>
      </c>
      <c r="C43" t="s">
        <v>8</v>
      </c>
      <c r="E43" s="3">
        <f t="shared" si="0"/>
        <v>2</v>
      </c>
      <c r="F43" s="5">
        <v>43872.625</v>
      </c>
      <c r="G43" s="19" t="str">
        <f t="shared" si="1"/>
        <v/>
      </c>
      <c r="J43" s="28" t="e">
        <f t="shared" si="2"/>
        <v>#DIV/0!</v>
      </c>
      <c r="K43">
        <f t="shared" si="3"/>
        <v>1</v>
      </c>
    </row>
    <row r="44" spans="1:11">
      <c r="A44" s="3">
        <v>0</v>
      </c>
      <c r="B44" t="s">
        <v>274</v>
      </c>
      <c r="C44" t="s">
        <v>8</v>
      </c>
      <c r="E44" s="3">
        <f t="shared" si="0"/>
        <v>3</v>
      </c>
      <c r="F44" s="5">
        <v>43873.625</v>
      </c>
      <c r="G44" s="19" t="str">
        <f t="shared" si="1"/>
        <v/>
      </c>
      <c r="J44" s="28" t="e">
        <f t="shared" si="2"/>
        <v>#DIV/0!</v>
      </c>
      <c r="K44">
        <f t="shared" si="3"/>
        <v>1</v>
      </c>
    </row>
    <row r="45" spans="1:11">
      <c r="A45" s="3">
        <v>0</v>
      </c>
      <c r="B45" t="s">
        <v>275</v>
      </c>
      <c r="C45" t="s">
        <v>8</v>
      </c>
      <c r="E45" s="3">
        <f t="shared" si="0"/>
        <v>4</v>
      </c>
      <c r="F45" s="5">
        <v>43874.625</v>
      </c>
      <c r="G45" s="19" t="str">
        <f t="shared" si="1"/>
        <v/>
      </c>
      <c r="J45" s="28" t="e">
        <f t="shared" si="2"/>
        <v>#DIV/0!</v>
      </c>
      <c r="K45">
        <f t="shared" si="3"/>
        <v>1</v>
      </c>
    </row>
    <row r="46" spans="1:11">
      <c r="A46" s="3">
        <v>0</v>
      </c>
      <c r="B46" t="s">
        <v>276</v>
      </c>
      <c r="C46" t="s">
        <v>8</v>
      </c>
      <c r="E46" s="3">
        <f t="shared" si="0"/>
        <v>5</v>
      </c>
      <c r="F46" s="5">
        <v>43875.625</v>
      </c>
      <c r="G46" s="19" t="str">
        <f t="shared" si="1"/>
        <v/>
      </c>
      <c r="J46" s="28" t="e">
        <f t="shared" si="2"/>
        <v>#DIV/0!</v>
      </c>
      <c r="K46">
        <f t="shared" si="3"/>
        <v>1</v>
      </c>
    </row>
    <row r="47" spans="1:11">
      <c r="A47" s="3">
        <v>0</v>
      </c>
      <c r="B47" t="s">
        <v>277</v>
      </c>
      <c r="C47" t="s">
        <v>8</v>
      </c>
      <c r="E47" s="3">
        <f t="shared" si="0"/>
        <v>6</v>
      </c>
      <c r="F47" s="5">
        <v>43876.625</v>
      </c>
      <c r="G47" s="19" t="str">
        <f t="shared" si="1"/>
        <v/>
      </c>
      <c r="J47" s="28" t="e">
        <f t="shared" si="2"/>
        <v>#DIV/0!</v>
      </c>
      <c r="K47">
        <f t="shared" si="3"/>
        <v>1</v>
      </c>
    </row>
    <row r="48" spans="1:11">
      <c r="A48" s="3">
        <v>0</v>
      </c>
      <c r="B48" t="s">
        <v>278</v>
      </c>
      <c r="C48" t="s">
        <v>8</v>
      </c>
      <c r="E48" s="3">
        <f t="shared" si="0"/>
        <v>7</v>
      </c>
      <c r="F48" s="5">
        <v>43877.625</v>
      </c>
      <c r="G48" s="19" t="str">
        <f t="shared" si="1"/>
        <v/>
      </c>
      <c r="J48" s="28" t="e">
        <f t="shared" si="2"/>
        <v>#DIV/0!</v>
      </c>
      <c r="K48">
        <f t="shared" si="3"/>
        <v>1</v>
      </c>
    </row>
    <row r="49" spans="1:11">
      <c r="A49" s="3">
        <v>0</v>
      </c>
      <c r="B49" t="s">
        <v>279</v>
      </c>
      <c r="C49" t="s">
        <v>8</v>
      </c>
      <c r="E49" s="3">
        <f t="shared" si="0"/>
        <v>1</v>
      </c>
      <c r="F49" s="5">
        <v>43878.625</v>
      </c>
      <c r="G49" s="19" t="str">
        <f t="shared" si="1"/>
        <v>2020-W08</v>
      </c>
      <c r="H49">
        <f>SUM(A49:A55)</f>
        <v>1</v>
      </c>
      <c r="I49" s="28">
        <f>H49/H42-1</f>
        <v>0</v>
      </c>
      <c r="J49" s="28">
        <f t="shared" si="2"/>
        <v>-1</v>
      </c>
      <c r="K49">
        <f t="shared" si="3"/>
        <v>0</v>
      </c>
    </row>
    <row r="50" spans="1:11">
      <c r="A50" s="3">
        <v>0</v>
      </c>
      <c r="B50" t="s">
        <v>280</v>
      </c>
      <c r="C50" t="s">
        <v>8</v>
      </c>
      <c r="E50" s="3">
        <f t="shared" si="0"/>
        <v>2</v>
      </c>
      <c r="F50" s="5">
        <v>43879.625</v>
      </c>
      <c r="G50" s="19" t="str">
        <f t="shared" si="1"/>
        <v/>
      </c>
      <c r="J50" s="28" t="e">
        <f t="shared" si="2"/>
        <v>#DIV/0!</v>
      </c>
      <c r="K50">
        <f t="shared" si="3"/>
        <v>0</v>
      </c>
    </row>
    <row r="51" spans="1:11">
      <c r="A51" s="3">
        <v>0</v>
      </c>
      <c r="B51" t="s">
        <v>281</v>
      </c>
      <c r="C51" t="s">
        <v>8</v>
      </c>
      <c r="E51" s="3">
        <f t="shared" si="0"/>
        <v>3</v>
      </c>
      <c r="F51" s="5">
        <v>43880.625</v>
      </c>
      <c r="G51" s="19" t="str">
        <f t="shared" si="1"/>
        <v/>
      </c>
      <c r="J51" s="28" t="e">
        <f t="shared" si="2"/>
        <v>#DIV/0!</v>
      </c>
      <c r="K51">
        <f t="shared" si="3"/>
        <v>0</v>
      </c>
    </row>
    <row r="52" spans="1:11">
      <c r="A52" s="3">
        <v>0</v>
      </c>
      <c r="B52" t="s">
        <v>282</v>
      </c>
      <c r="C52" t="s">
        <v>8</v>
      </c>
      <c r="E52" s="3">
        <f t="shared" si="0"/>
        <v>4</v>
      </c>
      <c r="F52" s="5">
        <v>43881.625</v>
      </c>
      <c r="G52" s="19" t="str">
        <f t="shared" si="1"/>
        <v/>
      </c>
      <c r="J52" s="28" t="e">
        <f t="shared" si="2"/>
        <v>#DIV/0!</v>
      </c>
      <c r="K52">
        <f t="shared" si="3"/>
        <v>0</v>
      </c>
    </row>
    <row r="53" spans="1:11">
      <c r="A53" s="3">
        <v>0</v>
      </c>
      <c r="B53" t="s">
        <v>283</v>
      </c>
      <c r="C53" t="s">
        <v>8</v>
      </c>
      <c r="E53" s="3">
        <f t="shared" si="0"/>
        <v>5</v>
      </c>
      <c r="F53" s="5">
        <v>43882.625</v>
      </c>
      <c r="G53" s="19" t="str">
        <f t="shared" si="1"/>
        <v/>
      </c>
      <c r="J53" s="28" t="e">
        <f t="shared" si="2"/>
        <v>#DIV/0!</v>
      </c>
      <c r="K53">
        <f t="shared" si="3"/>
        <v>0</v>
      </c>
    </row>
    <row r="54" spans="1:11">
      <c r="A54" s="3">
        <v>1</v>
      </c>
      <c r="B54" t="s">
        <v>12</v>
      </c>
      <c r="C54" t="s">
        <v>8</v>
      </c>
      <c r="E54" s="3">
        <f t="shared" si="0"/>
        <v>6</v>
      </c>
      <c r="F54" s="5">
        <v>43883.625</v>
      </c>
      <c r="G54" s="19" t="str">
        <f t="shared" si="1"/>
        <v/>
      </c>
      <c r="J54" s="28" t="e">
        <f t="shared" si="2"/>
        <v>#DIV/0!</v>
      </c>
      <c r="K54">
        <f t="shared" si="3"/>
        <v>1</v>
      </c>
    </row>
    <row r="55" spans="1:11">
      <c r="A55" s="3">
        <v>0</v>
      </c>
      <c r="B55" t="s">
        <v>284</v>
      </c>
      <c r="C55" t="s">
        <v>8</v>
      </c>
      <c r="E55" s="3">
        <f t="shared" si="0"/>
        <v>7</v>
      </c>
      <c r="F55" s="5">
        <v>43884.625</v>
      </c>
      <c r="G55" s="19" t="str">
        <f t="shared" si="1"/>
        <v/>
      </c>
      <c r="J55" s="28" t="e">
        <f t="shared" si="2"/>
        <v>#DIV/0!</v>
      </c>
      <c r="K55">
        <f t="shared" si="3"/>
        <v>1</v>
      </c>
    </row>
    <row r="56" spans="1:11">
      <c r="A56" s="3">
        <v>0</v>
      </c>
      <c r="B56" t="s">
        <v>285</v>
      </c>
      <c r="C56" t="s">
        <v>8</v>
      </c>
      <c r="E56" s="3">
        <f t="shared" si="0"/>
        <v>1</v>
      </c>
      <c r="F56" s="5">
        <v>43885.625</v>
      </c>
      <c r="G56" s="19" t="str">
        <f t="shared" si="1"/>
        <v>2020-W09</v>
      </c>
      <c r="H56">
        <f>SUM(A56:A62)</f>
        <v>7</v>
      </c>
      <c r="I56" s="28">
        <f>H56/H49-1</f>
        <v>6</v>
      </c>
      <c r="J56" s="28" t="e">
        <f t="shared" si="2"/>
        <v>#DIV/0!</v>
      </c>
      <c r="K56">
        <f t="shared" si="3"/>
        <v>1</v>
      </c>
    </row>
    <row r="57" spans="1:11">
      <c r="A57" s="3">
        <v>1</v>
      </c>
      <c r="B57" t="s">
        <v>13</v>
      </c>
      <c r="C57" t="s">
        <v>8</v>
      </c>
      <c r="E57" s="3">
        <f t="shared" si="0"/>
        <v>2</v>
      </c>
      <c r="F57" s="5">
        <v>43886.625</v>
      </c>
      <c r="G57" s="19" t="str">
        <f t="shared" si="1"/>
        <v/>
      </c>
      <c r="J57" s="28" t="e">
        <f t="shared" si="2"/>
        <v>#DIV/0!</v>
      </c>
      <c r="K57">
        <f t="shared" si="3"/>
        <v>2</v>
      </c>
    </row>
    <row r="58" spans="1:11">
      <c r="A58" s="3">
        <v>0</v>
      </c>
      <c r="B58" t="s">
        <v>286</v>
      </c>
      <c r="C58" t="s">
        <v>8</v>
      </c>
      <c r="E58" s="3">
        <f t="shared" si="0"/>
        <v>3</v>
      </c>
      <c r="F58" s="5">
        <v>43887.625</v>
      </c>
      <c r="G58" s="19" t="str">
        <f t="shared" si="1"/>
        <v/>
      </c>
      <c r="J58" s="28" t="e">
        <f t="shared" si="2"/>
        <v>#DIV/0!</v>
      </c>
      <c r="K58">
        <f t="shared" si="3"/>
        <v>2</v>
      </c>
    </row>
    <row r="59" spans="1:11">
      <c r="A59" s="3">
        <v>1</v>
      </c>
      <c r="B59" t="s">
        <v>14</v>
      </c>
      <c r="C59" t="s">
        <v>8</v>
      </c>
      <c r="E59" s="3">
        <f t="shared" si="0"/>
        <v>4</v>
      </c>
      <c r="F59" s="5">
        <v>43888.625</v>
      </c>
      <c r="G59" s="19" t="str">
        <f t="shared" si="1"/>
        <v/>
      </c>
      <c r="J59" s="28" t="e">
        <f t="shared" si="2"/>
        <v>#DIV/0!</v>
      </c>
      <c r="K59">
        <f t="shared" si="3"/>
        <v>3</v>
      </c>
    </row>
    <row r="60" spans="1:11">
      <c r="A60" s="3">
        <v>3</v>
      </c>
      <c r="B60" t="s">
        <v>15</v>
      </c>
      <c r="C60" t="s">
        <v>8</v>
      </c>
      <c r="E60" s="3">
        <f t="shared" si="0"/>
        <v>5</v>
      </c>
      <c r="F60" s="5">
        <v>43889.625</v>
      </c>
      <c r="G60" s="19" t="str">
        <f t="shared" si="1"/>
        <v/>
      </c>
      <c r="J60" s="28" t="e">
        <f t="shared" si="2"/>
        <v>#DIV/0!</v>
      </c>
      <c r="K60">
        <f t="shared" si="3"/>
        <v>6</v>
      </c>
    </row>
    <row r="61" spans="1:11">
      <c r="A61" s="3">
        <v>1</v>
      </c>
      <c r="B61" t="s">
        <v>16</v>
      </c>
      <c r="C61" t="s">
        <v>8</v>
      </c>
      <c r="E61" s="3">
        <f t="shared" si="0"/>
        <v>6</v>
      </c>
      <c r="F61" s="5">
        <v>43890.625</v>
      </c>
      <c r="G61" s="19" t="str">
        <f t="shared" si="1"/>
        <v/>
      </c>
      <c r="J61" s="28">
        <f t="shared" si="2"/>
        <v>0</v>
      </c>
      <c r="K61">
        <f t="shared" si="3"/>
        <v>6</v>
      </c>
    </row>
    <row r="62" spans="1:11">
      <c r="A62" s="3">
        <v>1</v>
      </c>
      <c r="B62" t="s">
        <v>17</v>
      </c>
      <c r="C62" t="s">
        <v>8</v>
      </c>
      <c r="E62" s="3">
        <f t="shared" si="0"/>
        <v>7</v>
      </c>
      <c r="F62" s="5">
        <v>43891.625</v>
      </c>
      <c r="G62" s="19" t="str">
        <f t="shared" si="1"/>
        <v/>
      </c>
      <c r="J62" s="28" t="e">
        <f t="shared" si="2"/>
        <v>#DIV/0!</v>
      </c>
      <c r="K62">
        <f t="shared" si="3"/>
        <v>7</v>
      </c>
    </row>
    <row r="63" spans="1:11">
      <c r="A63" s="3">
        <v>0</v>
      </c>
      <c r="B63" t="s">
        <v>287</v>
      </c>
      <c r="C63" t="s">
        <v>8</v>
      </c>
      <c r="E63" s="3">
        <f t="shared" si="0"/>
        <v>1</v>
      </c>
      <c r="F63" s="5">
        <v>43892.625</v>
      </c>
      <c r="G63" s="19" t="str">
        <f t="shared" si="1"/>
        <v>2020-W10</v>
      </c>
      <c r="H63">
        <f>SUM(A63:A69)</f>
        <v>34</v>
      </c>
      <c r="I63" s="28">
        <f>H63/H56-1</f>
        <v>3.8571428571428568</v>
      </c>
      <c r="J63" s="28" t="e">
        <f t="shared" si="2"/>
        <v>#DIV/0!</v>
      </c>
      <c r="K63">
        <f t="shared" si="3"/>
        <v>7</v>
      </c>
    </row>
    <row r="64" spans="1:11">
      <c r="A64" s="3">
        <v>4</v>
      </c>
      <c r="B64" t="s">
        <v>18</v>
      </c>
      <c r="C64" t="s">
        <v>8</v>
      </c>
      <c r="E64" s="3">
        <f t="shared" si="0"/>
        <v>2</v>
      </c>
      <c r="F64" s="5">
        <v>43893.625</v>
      </c>
      <c r="G64" s="19" t="str">
        <f t="shared" si="1"/>
        <v/>
      </c>
      <c r="J64" s="28">
        <f t="shared" si="2"/>
        <v>3</v>
      </c>
      <c r="K64">
        <f t="shared" si="3"/>
        <v>10</v>
      </c>
    </row>
    <row r="65" spans="1:11">
      <c r="A65" s="3">
        <v>6</v>
      </c>
      <c r="B65" t="s">
        <v>19</v>
      </c>
      <c r="C65" t="s">
        <v>8</v>
      </c>
      <c r="E65" s="3">
        <f t="shared" si="0"/>
        <v>3</v>
      </c>
      <c r="F65" s="5">
        <v>43894.625</v>
      </c>
      <c r="G65" s="19" t="str">
        <f t="shared" si="1"/>
        <v/>
      </c>
      <c r="J65" s="28" t="e">
        <f t="shared" si="2"/>
        <v>#DIV/0!</v>
      </c>
      <c r="K65">
        <f t="shared" si="3"/>
        <v>16</v>
      </c>
    </row>
    <row r="66" spans="1:11">
      <c r="A66" s="3">
        <v>1</v>
      </c>
      <c r="B66" t="s">
        <v>20</v>
      </c>
      <c r="C66" t="s">
        <v>8</v>
      </c>
      <c r="E66" s="3">
        <f t="shared" si="0"/>
        <v>4</v>
      </c>
      <c r="F66" s="5">
        <v>43895.625</v>
      </c>
      <c r="G66" s="19" t="str">
        <f t="shared" si="1"/>
        <v/>
      </c>
      <c r="J66" s="28">
        <f t="shared" si="2"/>
        <v>0</v>
      </c>
      <c r="K66">
        <f t="shared" si="3"/>
        <v>16</v>
      </c>
    </row>
    <row r="67" spans="1:11">
      <c r="A67" s="3">
        <v>7</v>
      </c>
      <c r="B67" t="s">
        <v>21</v>
      </c>
      <c r="C67" t="s">
        <v>8</v>
      </c>
      <c r="E67" s="3">
        <f t="shared" ref="E67:E130" si="4">WEEKDAY(F67,2)</f>
        <v>5</v>
      </c>
      <c r="F67" s="5">
        <v>43896.625</v>
      </c>
      <c r="G67" s="19" t="str">
        <f t="shared" ref="G67:G130" si="5">IF(WEEKDAY(F67,2)=1,YEAR(F67)&amp;"-W"&amp;TEXT(WEEKNUM(F67,14),"00"),"")</f>
        <v/>
      </c>
      <c r="J67" s="28">
        <f t="shared" si="2"/>
        <v>1.3333333333333335</v>
      </c>
      <c r="K67">
        <f t="shared" si="3"/>
        <v>20</v>
      </c>
    </row>
    <row r="68" spans="1:11">
      <c r="A68" s="3">
        <v>7</v>
      </c>
      <c r="B68" t="s">
        <v>22</v>
      </c>
      <c r="C68" t="s">
        <v>8</v>
      </c>
      <c r="E68" s="3">
        <f t="shared" si="4"/>
        <v>6</v>
      </c>
      <c r="F68" s="5">
        <v>43897.625</v>
      </c>
      <c r="G68" s="19" t="str">
        <f t="shared" si="5"/>
        <v/>
      </c>
      <c r="J68" s="28">
        <f t="shared" si="2"/>
        <v>6</v>
      </c>
      <c r="K68">
        <f t="shared" si="3"/>
        <v>26</v>
      </c>
    </row>
    <row r="69" spans="1:11">
      <c r="A69" s="3">
        <v>9</v>
      </c>
      <c r="B69" t="s">
        <v>23</v>
      </c>
      <c r="C69" t="s">
        <v>8</v>
      </c>
      <c r="E69" s="3">
        <f t="shared" si="4"/>
        <v>7</v>
      </c>
      <c r="F69" s="5">
        <v>43898.625</v>
      </c>
      <c r="G69" s="19" t="str">
        <f t="shared" si="5"/>
        <v/>
      </c>
      <c r="J69" s="28">
        <f t="shared" si="2"/>
        <v>8</v>
      </c>
      <c r="K69">
        <f t="shared" si="3"/>
        <v>34</v>
      </c>
    </row>
    <row r="70" spans="1:11">
      <c r="A70" s="3">
        <v>17</v>
      </c>
      <c r="B70" t="s">
        <v>24</v>
      </c>
      <c r="C70" t="s">
        <v>8</v>
      </c>
      <c r="E70" s="3">
        <f t="shared" si="4"/>
        <v>1</v>
      </c>
      <c r="F70" s="5">
        <v>43899.625</v>
      </c>
      <c r="G70" s="19" t="str">
        <f t="shared" si="5"/>
        <v>2020-W11</v>
      </c>
      <c r="H70">
        <f>SUM(A70:A76)</f>
        <v>317</v>
      </c>
      <c r="I70" s="28">
        <f>H70/H63-1</f>
        <v>8.3235294117647065</v>
      </c>
      <c r="J70" s="28" t="e">
        <f t="shared" si="2"/>
        <v>#DIV/0!</v>
      </c>
      <c r="K70">
        <f t="shared" si="3"/>
        <v>51</v>
      </c>
    </row>
    <row r="71" spans="1:11">
      <c r="A71" s="3">
        <v>54</v>
      </c>
      <c r="B71" t="s">
        <v>25</v>
      </c>
      <c r="C71" t="s">
        <v>8</v>
      </c>
      <c r="E71" s="3">
        <f t="shared" si="4"/>
        <v>2</v>
      </c>
      <c r="F71" s="5">
        <v>43900.625</v>
      </c>
      <c r="G71" s="19" t="str">
        <f t="shared" si="5"/>
        <v/>
      </c>
      <c r="J71" s="28">
        <f t="shared" si="2"/>
        <v>12.5</v>
      </c>
      <c r="K71">
        <f t="shared" si="3"/>
        <v>101</v>
      </c>
    </row>
    <row r="72" spans="1:11">
      <c r="A72" s="3">
        <v>76</v>
      </c>
      <c r="B72" t="s">
        <v>26</v>
      </c>
      <c r="C72" t="s">
        <v>8</v>
      </c>
      <c r="E72" s="3">
        <f t="shared" si="4"/>
        <v>3</v>
      </c>
      <c r="F72" s="5">
        <v>43901.625</v>
      </c>
      <c r="G72" s="19" t="str">
        <f t="shared" si="5"/>
        <v/>
      </c>
      <c r="J72" s="28">
        <f t="shared" si="2"/>
        <v>11.666666666666666</v>
      </c>
      <c r="K72">
        <f t="shared" si="3"/>
        <v>171</v>
      </c>
    </row>
    <row r="73" spans="1:11">
      <c r="A73" s="3">
        <v>60</v>
      </c>
      <c r="B73" t="s">
        <v>27</v>
      </c>
      <c r="C73" t="s">
        <v>8</v>
      </c>
      <c r="E73" s="3">
        <f t="shared" si="4"/>
        <v>4</v>
      </c>
      <c r="F73" s="5">
        <v>43902.625</v>
      </c>
      <c r="G73" s="19" t="str">
        <f t="shared" si="5"/>
        <v/>
      </c>
      <c r="J73" s="28">
        <f t="shared" ref="J73:J136" si="6">A73/A66-1</f>
        <v>59</v>
      </c>
      <c r="K73">
        <f t="shared" si="3"/>
        <v>230</v>
      </c>
    </row>
    <row r="74" spans="1:11">
      <c r="A74" s="3">
        <v>28</v>
      </c>
      <c r="B74" t="s">
        <v>28</v>
      </c>
      <c r="C74" t="s">
        <v>8</v>
      </c>
      <c r="E74" s="3">
        <f t="shared" si="4"/>
        <v>5</v>
      </c>
      <c r="F74" s="5">
        <v>43903.625</v>
      </c>
      <c r="G74" s="19" t="str">
        <f t="shared" si="5"/>
        <v/>
      </c>
      <c r="J74" s="28">
        <f t="shared" si="6"/>
        <v>3</v>
      </c>
      <c r="K74">
        <f t="shared" si="3"/>
        <v>251</v>
      </c>
    </row>
    <row r="75" spans="1:11">
      <c r="A75" s="3">
        <v>29</v>
      </c>
      <c r="B75" t="s">
        <v>29</v>
      </c>
      <c r="C75" t="s">
        <v>8</v>
      </c>
      <c r="E75" s="3">
        <f t="shared" si="4"/>
        <v>6</v>
      </c>
      <c r="F75" s="5">
        <v>43904.625</v>
      </c>
      <c r="G75" s="19" t="str">
        <f t="shared" si="5"/>
        <v/>
      </c>
      <c r="J75" s="28">
        <f t="shared" si="6"/>
        <v>3.1428571428571432</v>
      </c>
      <c r="K75">
        <f t="shared" si="3"/>
        <v>273</v>
      </c>
    </row>
    <row r="76" spans="1:11">
      <c r="A76" s="3">
        <v>53</v>
      </c>
      <c r="B76" t="s">
        <v>30</v>
      </c>
      <c r="C76" t="s">
        <v>8</v>
      </c>
      <c r="E76" s="3">
        <f t="shared" si="4"/>
        <v>7</v>
      </c>
      <c r="F76" s="5">
        <v>43905.625</v>
      </c>
      <c r="G76" s="19" t="str">
        <f t="shared" si="5"/>
        <v/>
      </c>
      <c r="J76" s="28">
        <f t="shared" si="6"/>
        <v>4.8888888888888893</v>
      </c>
      <c r="K76">
        <f t="shared" si="3"/>
        <v>317</v>
      </c>
    </row>
    <row r="77" spans="1:11">
      <c r="A77" s="3">
        <v>52</v>
      </c>
      <c r="B77" t="s">
        <v>31</v>
      </c>
      <c r="C77" t="s">
        <v>8</v>
      </c>
      <c r="E77" s="3">
        <f t="shared" si="4"/>
        <v>1</v>
      </c>
      <c r="F77" s="5">
        <v>43906.625</v>
      </c>
      <c r="G77" s="19" t="str">
        <f t="shared" si="5"/>
        <v>2020-W12</v>
      </c>
      <c r="H77">
        <f>SUM(A77:A83)</f>
        <v>540</v>
      </c>
      <c r="I77" s="28">
        <f>H77/H70-1</f>
        <v>0.70347003154574139</v>
      </c>
      <c r="J77" s="28">
        <f t="shared" si="6"/>
        <v>2.0588235294117645</v>
      </c>
      <c r="K77">
        <f t="shared" si="3"/>
        <v>352</v>
      </c>
    </row>
    <row r="78" spans="1:11">
      <c r="A78" s="3">
        <v>47</v>
      </c>
      <c r="B78" t="s">
        <v>32</v>
      </c>
      <c r="C78" t="s">
        <v>8</v>
      </c>
      <c r="E78" s="3">
        <f t="shared" si="4"/>
        <v>2</v>
      </c>
      <c r="F78" s="5">
        <v>43907.625</v>
      </c>
      <c r="G78" s="19" t="str">
        <f t="shared" si="5"/>
        <v/>
      </c>
      <c r="J78" s="28">
        <f t="shared" si="6"/>
        <v>-0.12962962962962965</v>
      </c>
      <c r="K78">
        <f t="shared" si="3"/>
        <v>345</v>
      </c>
    </row>
    <row r="79" spans="1:11">
      <c r="A79" s="3">
        <v>90</v>
      </c>
      <c r="B79" t="s">
        <v>33</v>
      </c>
      <c r="C79" t="s">
        <v>8</v>
      </c>
      <c r="E79" s="3">
        <f t="shared" si="4"/>
        <v>3</v>
      </c>
      <c r="F79" s="5">
        <v>43908.625</v>
      </c>
      <c r="G79" s="19" t="str">
        <f t="shared" si="5"/>
        <v/>
      </c>
      <c r="J79" s="28">
        <f t="shared" si="6"/>
        <v>0.18421052631578938</v>
      </c>
      <c r="K79">
        <f t="shared" si="3"/>
        <v>359</v>
      </c>
    </row>
    <row r="80" spans="1:11">
      <c r="A80" s="3">
        <v>99</v>
      </c>
      <c r="B80" t="s">
        <v>34</v>
      </c>
      <c r="C80" t="s">
        <v>8</v>
      </c>
      <c r="E80" s="3">
        <f t="shared" si="4"/>
        <v>4</v>
      </c>
      <c r="F80" s="5">
        <v>43909.625</v>
      </c>
      <c r="G80" s="19" t="str">
        <f t="shared" si="5"/>
        <v/>
      </c>
      <c r="J80" s="28">
        <f t="shared" si="6"/>
        <v>0.64999999999999991</v>
      </c>
      <c r="K80">
        <f t="shared" si="3"/>
        <v>398</v>
      </c>
    </row>
    <row r="81" spans="1:11">
      <c r="A81" s="3">
        <v>87</v>
      </c>
      <c r="B81" t="s">
        <v>35</v>
      </c>
      <c r="C81" t="s">
        <v>8</v>
      </c>
      <c r="E81" s="3">
        <f t="shared" si="4"/>
        <v>5</v>
      </c>
      <c r="F81" s="5">
        <v>43910.625</v>
      </c>
      <c r="G81" s="19" t="str">
        <f t="shared" si="5"/>
        <v/>
      </c>
      <c r="J81" s="28">
        <f t="shared" si="6"/>
        <v>2.1071428571428572</v>
      </c>
      <c r="K81">
        <f t="shared" si="3"/>
        <v>457</v>
      </c>
    </row>
    <row r="82" spans="1:11">
      <c r="A82" s="3">
        <v>87</v>
      </c>
      <c r="B82" t="s">
        <v>36</v>
      </c>
      <c r="C82" t="s">
        <v>8</v>
      </c>
      <c r="E82" s="3">
        <f t="shared" si="4"/>
        <v>6</v>
      </c>
      <c r="F82" s="5">
        <v>43911.625</v>
      </c>
      <c r="G82" s="19" t="str">
        <f t="shared" si="5"/>
        <v/>
      </c>
      <c r="J82" s="28">
        <f t="shared" si="6"/>
        <v>2</v>
      </c>
      <c r="K82">
        <f t="shared" si="3"/>
        <v>515</v>
      </c>
    </row>
    <row r="83" spans="1:11">
      <c r="A83" s="3">
        <v>78</v>
      </c>
      <c r="B83" t="s">
        <v>37</v>
      </c>
      <c r="C83" t="s">
        <v>8</v>
      </c>
      <c r="E83" s="3">
        <f t="shared" si="4"/>
        <v>7</v>
      </c>
      <c r="F83" s="5">
        <v>43912.625</v>
      </c>
      <c r="G83" s="19" t="str">
        <f t="shared" si="5"/>
        <v/>
      </c>
      <c r="J83" s="28">
        <f t="shared" si="6"/>
        <v>0.47169811320754707</v>
      </c>
      <c r="K83">
        <f t="shared" si="3"/>
        <v>540</v>
      </c>
    </row>
    <row r="84" spans="1:11">
      <c r="A84" s="3">
        <v>84</v>
      </c>
      <c r="B84" t="s">
        <v>38</v>
      </c>
      <c r="C84" t="s">
        <v>8</v>
      </c>
      <c r="E84" s="3">
        <f t="shared" si="4"/>
        <v>1</v>
      </c>
      <c r="F84" s="5">
        <v>43913.625</v>
      </c>
      <c r="G84" s="19" t="str">
        <f t="shared" si="5"/>
        <v>2020-W13</v>
      </c>
      <c r="H84">
        <f>SUM(A84:A90)</f>
        <v>642</v>
      </c>
      <c r="I84" s="28">
        <f>H84/H77-1</f>
        <v>0.18888888888888888</v>
      </c>
      <c r="J84" s="28">
        <f t="shared" si="6"/>
        <v>0.61538461538461542</v>
      </c>
      <c r="K84">
        <f t="shared" si="3"/>
        <v>572</v>
      </c>
    </row>
    <row r="85" spans="1:11">
      <c r="A85" s="3">
        <v>99</v>
      </c>
      <c r="B85" t="s">
        <v>39</v>
      </c>
      <c r="C85" t="s">
        <v>8</v>
      </c>
      <c r="E85" s="3">
        <f t="shared" si="4"/>
        <v>2</v>
      </c>
      <c r="F85" s="5">
        <v>43914.625</v>
      </c>
      <c r="G85" s="19" t="str">
        <f t="shared" si="5"/>
        <v/>
      </c>
      <c r="J85" s="28">
        <f t="shared" si="6"/>
        <v>1.1063829787234041</v>
      </c>
      <c r="K85">
        <f t="shared" ref="K85:K148" si="7">SUM(A79:A85)</f>
        <v>624</v>
      </c>
    </row>
    <row r="86" spans="1:11">
      <c r="A86" s="3">
        <v>104</v>
      </c>
      <c r="B86" t="s">
        <v>40</v>
      </c>
      <c r="C86" t="s">
        <v>8</v>
      </c>
      <c r="E86" s="3">
        <f t="shared" si="4"/>
        <v>3</v>
      </c>
      <c r="F86" s="5">
        <v>43915.625</v>
      </c>
      <c r="G86" s="19" t="str">
        <f t="shared" si="5"/>
        <v/>
      </c>
      <c r="J86" s="28">
        <f t="shared" si="6"/>
        <v>0.15555555555555545</v>
      </c>
      <c r="K86">
        <f t="shared" si="7"/>
        <v>638</v>
      </c>
    </row>
    <row r="87" spans="1:11">
      <c r="A87" s="3">
        <v>113</v>
      </c>
      <c r="B87" t="s">
        <v>41</v>
      </c>
      <c r="C87" t="s">
        <v>8</v>
      </c>
      <c r="E87" s="3">
        <f t="shared" si="4"/>
        <v>4</v>
      </c>
      <c r="F87" s="5">
        <v>43916.625</v>
      </c>
      <c r="G87" s="19" t="str">
        <f t="shared" si="5"/>
        <v/>
      </c>
      <c r="J87" s="28">
        <f t="shared" si="6"/>
        <v>0.14141414141414144</v>
      </c>
      <c r="K87">
        <f t="shared" si="7"/>
        <v>652</v>
      </c>
    </row>
    <row r="88" spans="1:11">
      <c r="A88" s="3">
        <v>95</v>
      </c>
      <c r="B88" t="s">
        <v>42</v>
      </c>
      <c r="C88" t="s">
        <v>8</v>
      </c>
      <c r="E88" s="3">
        <f t="shared" si="4"/>
        <v>5</v>
      </c>
      <c r="F88" s="5">
        <v>43917.625</v>
      </c>
      <c r="G88" s="19" t="str">
        <f t="shared" si="5"/>
        <v/>
      </c>
      <c r="J88" s="28">
        <f t="shared" si="6"/>
        <v>9.1954022988505857E-2</v>
      </c>
      <c r="K88">
        <f t="shared" si="7"/>
        <v>660</v>
      </c>
    </row>
    <row r="89" spans="1:11">
      <c r="A89" s="3">
        <v>77</v>
      </c>
      <c r="B89" t="s">
        <v>43</v>
      </c>
      <c r="C89" t="s">
        <v>8</v>
      </c>
      <c r="E89" s="3">
        <f t="shared" si="4"/>
        <v>6</v>
      </c>
      <c r="F89" s="5">
        <v>43918.625</v>
      </c>
      <c r="G89" s="19" t="str">
        <f t="shared" si="5"/>
        <v/>
      </c>
      <c r="J89" s="28">
        <f t="shared" si="6"/>
        <v>-0.11494252873563215</v>
      </c>
      <c r="K89">
        <f t="shared" si="7"/>
        <v>650</v>
      </c>
    </row>
    <row r="90" spans="1:11">
      <c r="A90" s="3">
        <v>70</v>
      </c>
      <c r="B90" t="s">
        <v>44</v>
      </c>
      <c r="C90" t="s">
        <v>8</v>
      </c>
      <c r="E90" s="3">
        <f t="shared" si="4"/>
        <v>7</v>
      </c>
      <c r="F90" s="5">
        <v>43919.625</v>
      </c>
      <c r="G90" s="19" t="str">
        <f t="shared" si="5"/>
        <v/>
      </c>
      <c r="J90" s="28">
        <f t="shared" si="6"/>
        <v>-0.10256410256410253</v>
      </c>
      <c r="K90">
        <f t="shared" si="7"/>
        <v>642</v>
      </c>
    </row>
    <row r="91" spans="1:11">
      <c r="A91" s="3">
        <v>129</v>
      </c>
      <c r="B91" t="s">
        <v>45</v>
      </c>
      <c r="C91" t="s">
        <v>8</v>
      </c>
      <c r="E91" s="3">
        <f t="shared" si="4"/>
        <v>1</v>
      </c>
      <c r="F91" s="5">
        <v>43920.625</v>
      </c>
      <c r="G91" s="19" t="str">
        <f t="shared" si="5"/>
        <v>2020-W14</v>
      </c>
      <c r="H91">
        <f>SUM(A91:A97)</f>
        <v>966</v>
      </c>
      <c r="I91" s="28">
        <f>H91/H84-1</f>
        <v>0.50467289719626174</v>
      </c>
      <c r="J91" s="28">
        <f t="shared" si="6"/>
        <v>0.53571428571428581</v>
      </c>
      <c r="K91">
        <f t="shared" si="7"/>
        <v>687</v>
      </c>
    </row>
    <row r="92" spans="1:11">
      <c r="A92" s="3">
        <v>125</v>
      </c>
      <c r="B92" t="s">
        <v>46</v>
      </c>
      <c r="C92" t="s">
        <v>8</v>
      </c>
      <c r="E92" s="3">
        <f t="shared" si="4"/>
        <v>2</v>
      </c>
      <c r="F92" s="5">
        <v>43921.625</v>
      </c>
      <c r="G92" s="19" t="str">
        <f t="shared" si="5"/>
        <v/>
      </c>
      <c r="J92" s="28">
        <f t="shared" si="6"/>
        <v>0.26262626262626254</v>
      </c>
      <c r="K92">
        <f t="shared" si="7"/>
        <v>713</v>
      </c>
    </row>
    <row r="93" spans="1:11">
      <c r="A93" s="3">
        <v>149</v>
      </c>
      <c r="B93" t="s">
        <v>47</v>
      </c>
      <c r="C93" t="s">
        <v>8</v>
      </c>
      <c r="E93" s="3">
        <f t="shared" si="4"/>
        <v>3</v>
      </c>
      <c r="F93" s="5">
        <v>43922.625</v>
      </c>
      <c r="G93" s="19" t="str">
        <f t="shared" si="5"/>
        <v/>
      </c>
      <c r="J93" s="28">
        <f t="shared" si="6"/>
        <v>0.43269230769230771</v>
      </c>
      <c r="K93">
        <f t="shared" si="7"/>
        <v>758</v>
      </c>
    </row>
    <row r="94" spans="1:11">
      <c r="A94" s="3">
        <v>161</v>
      </c>
      <c r="B94" t="s">
        <v>48</v>
      </c>
      <c r="C94" t="s">
        <v>8</v>
      </c>
      <c r="E94" s="3">
        <f t="shared" si="4"/>
        <v>4</v>
      </c>
      <c r="F94" s="5">
        <v>43923.625</v>
      </c>
      <c r="G94" s="19" t="str">
        <f t="shared" si="5"/>
        <v/>
      </c>
      <c r="J94" s="28">
        <f t="shared" si="6"/>
        <v>0.4247787610619469</v>
      </c>
      <c r="K94">
        <f t="shared" si="7"/>
        <v>806</v>
      </c>
    </row>
    <row r="95" spans="1:11">
      <c r="A95" s="3">
        <v>199</v>
      </c>
      <c r="B95" t="s">
        <v>49</v>
      </c>
      <c r="C95" t="s">
        <v>8</v>
      </c>
      <c r="E95" s="3">
        <f t="shared" si="4"/>
        <v>5</v>
      </c>
      <c r="F95" s="5">
        <v>43924.625</v>
      </c>
      <c r="G95" s="19" t="str">
        <f t="shared" si="5"/>
        <v/>
      </c>
      <c r="J95" s="28">
        <f t="shared" si="6"/>
        <v>1.094736842105263</v>
      </c>
      <c r="K95">
        <f t="shared" si="7"/>
        <v>910</v>
      </c>
    </row>
    <row r="96" spans="1:11">
      <c r="A96" s="3">
        <v>81</v>
      </c>
      <c r="B96" t="s">
        <v>50</v>
      </c>
      <c r="C96" t="s">
        <v>8</v>
      </c>
      <c r="E96" s="3">
        <f t="shared" si="4"/>
        <v>6</v>
      </c>
      <c r="F96" s="5">
        <v>43925.625</v>
      </c>
      <c r="G96" s="19" t="str">
        <f t="shared" si="5"/>
        <v/>
      </c>
      <c r="J96" s="28">
        <f t="shared" si="6"/>
        <v>5.1948051948051965E-2</v>
      </c>
      <c r="K96">
        <f t="shared" si="7"/>
        <v>914</v>
      </c>
    </row>
    <row r="97" spans="1:11">
      <c r="A97" s="3">
        <v>122</v>
      </c>
      <c r="B97" s="1" t="s">
        <v>51</v>
      </c>
      <c r="C97" t="s">
        <v>8</v>
      </c>
      <c r="D97" s="1"/>
      <c r="E97" s="3">
        <f t="shared" si="4"/>
        <v>7</v>
      </c>
      <c r="F97" s="6">
        <v>43926.625</v>
      </c>
      <c r="G97" s="19" t="str">
        <f t="shared" si="5"/>
        <v/>
      </c>
      <c r="J97" s="28">
        <f t="shared" si="6"/>
        <v>0.74285714285714288</v>
      </c>
      <c r="K97">
        <f t="shared" si="7"/>
        <v>966</v>
      </c>
    </row>
    <row r="98" spans="1:11" s="41" customFormat="1">
      <c r="A98" s="40">
        <v>209</v>
      </c>
      <c r="B98" s="41" t="s">
        <v>52</v>
      </c>
      <c r="C98" s="41" t="s">
        <v>8</v>
      </c>
      <c r="E98" s="40">
        <f t="shared" si="4"/>
        <v>1</v>
      </c>
      <c r="F98" s="42">
        <v>43927.625</v>
      </c>
      <c r="G98" s="43" t="str">
        <f t="shared" si="5"/>
        <v>2020-W15</v>
      </c>
      <c r="H98" s="41">
        <f>SUM(A98:A104)</f>
        <v>931</v>
      </c>
      <c r="I98" s="44">
        <f>H98/H91-1</f>
        <v>-3.6231884057971064E-2</v>
      </c>
      <c r="J98" s="44">
        <f t="shared" si="6"/>
        <v>0.62015503875968991</v>
      </c>
      <c r="K98">
        <f t="shared" si="7"/>
        <v>1046</v>
      </c>
    </row>
    <row r="99" spans="1:11">
      <c r="A99" s="3">
        <v>200</v>
      </c>
      <c r="B99" t="s">
        <v>53</v>
      </c>
      <c r="C99" t="s">
        <v>8</v>
      </c>
      <c r="E99" s="3">
        <f t="shared" si="4"/>
        <v>2</v>
      </c>
      <c r="F99" s="5">
        <v>43928.625</v>
      </c>
      <c r="G99" s="19" t="str">
        <f t="shared" si="5"/>
        <v/>
      </c>
      <c r="J99" s="28">
        <f t="shared" si="6"/>
        <v>0.60000000000000009</v>
      </c>
      <c r="K99">
        <f t="shared" si="7"/>
        <v>1121</v>
      </c>
    </row>
    <row r="100" spans="1:11">
      <c r="A100" s="3">
        <v>138</v>
      </c>
      <c r="B100" t="s">
        <v>54</v>
      </c>
      <c r="C100" t="s">
        <v>8</v>
      </c>
      <c r="E100" s="3">
        <f t="shared" si="4"/>
        <v>3</v>
      </c>
      <c r="F100" s="5">
        <v>43929.625</v>
      </c>
      <c r="G100" s="19" t="str">
        <f t="shared" si="5"/>
        <v/>
      </c>
      <c r="J100" s="28">
        <f t="shared" si="6"/>
        <v>-7.3825503355704702E-2</v>
      </c>
      <c r="K100">
        <f t="shared" si="7"/>
        <v>1110</v>
      </c>
    </row>
    <row r="101" spans="1:11">
      <c r="A101" s="3">
        <v>158</v>
      </c>
      <c r="B101" t="s">
        <v>55</v>
      </c>
      <c r="C101" t="s">
        <v>8</v>
      </c>
      <c r="E101" s="3">
        <f t="shared" si="4"/>
        <v>4</v>
      </c>
      <c r="F101" s="5">
        <v>43930.625</v>
      </c>
      <c r="G101" s="19" t="str">
        <f t="shared" si="5"/>
        <v/>
      </c>
      <c r="J101" s="28">
        <f t="shared" si="6"/>
        <v>-1.8633540372670843E-2</v>
      </c>
      <c r="K101">
        <f t="shared" si="7"/>
        <v>1107</v>
      </c>
    </row>
    <row r="102" spans="1:11">
      <c r="A102" s="3">
        <v>71</v>
      </c>
      <c r="B102" t="s">
        <v>56</v>
      </c>
      <c r="C102" t="s">
        <v>8</v>
      </c>
      <c r="E102" s="3">
        <f t="shared" si="4"/>
        <v>5</v>
      </c>
      <c r="F102" s="5">
        <v>43931.625</v>
      </c>
      <c r="G102" s="19" t="str">
        <f t="shared" si="5"/>
        <v/>
      </c>
      <c r="J102" s="28">
        <f t="shared" si="6"/>
        <v>-0.64321608040201006</v>
      </c>
      <c r="K102">
        <f t="shared" si="7"/>
        <v>979</v>
      </c>
    </row>
    <row r="103" spans="1:11">
      <c r="A103" s="3">
        <v>75</v>
      </c>
      <c r="B103" t="s">
        <v>57</v>
      </c>
      <c r="C103" t="s">
        <v>8</v>
      </c>
      <c r="E103" s="3">
        <f t="shared" si="4"/>
        <v>6</v>
      </c>
      <c r="F103" s="5">
        <v>43932.625</v>
      </c>
      <c r="G103" s="19" t="str">
        <f t="shared" si="5"/>
        <v/>
      </c>
      <c r="J103" s="28">
        <f t="shared" si="6"/>
        <v>-7.407407407407407E-2</v>
      </c>
      <c r="K103">
        <f t="shared" si="7"/>
        <v>973</v>
      </c>
    </row>
    <row r="104" spans="1:11">
      <c r="A104" s="3">
        <v>80</v>
      </c>
      <c r="B104" t="s">
        <v>58</v>
      </c>
      <c r="C104" t="s">
        <v>8</v>
      </c>
      <c r="E104" s="3">
        <f t="shared" si="4"/>
        <v>7</v>
      </c>
      <c r="F104" s="5">
        <v>43933.625</v>
      </c>
      <c r="G104" s="19" t="str">
        <f t="shared" si="5"/>
        <v/>
      </c>
      <c r="J104" s="28">
        <f t="shared" si="6"/>
        <v>-0.34426229508196726</v>
      </c>
      <c r="K104">
        <f t="shared" si="7"/>
        <v>931</v>
      </c>
    </row>
    <row r="105" spans="1:11">
      <c r="A105" s="3">
        <v>117</v>
      </c>
      <c r="B105" t="s">
        <v>59</v>
      </c>
      <c r="C105" t="s">
        <v>8</v>
      </c>
      <c r="E105" s="3">
        <f t="shared" si="4"/>
        <v>1</v>
      </c>
      <c r="F105" s="5">
        <v>43934.625</v>
      </c>
      <c r="G105" s="19" t="str">
        <f t="shared" si="5"/>
        <v>2020-W16</v>
      </c>
      <c r="H105">
        <f>SUM(A105:A111)</f>
        <v>790</v>
      </c>
      <c r="I105" s="28">
        <f>H105/H98-1</f>
        <v>-0.15145005370569276</v>
      </c>
      <c r="J105" s="28">
        <f t="shared" si="6"/>
        <v>-0.44019138755980858</v>
      </c>
      <c r="K105">
        <f t="shared" si="7"/>
        <v>839</v>
      </c>
    </row>
    <row r="106" spans="1:11">
      <c r="A106" s="3">
        <v>175</v>
      </c>
      <c r="B106" t="s">
        <v>60</v>
      </c>
      <c r="C106" t="s">
        <v>8</v>
      </c>
      <c r="E106" s="3">
        <f t="shared" si="4"/>
        <v>2</v>
      </c>
      <c r="F106" s="5">
        <v>43935.625</v>
      </c>
      <c r="G106" s="19" t="str">
        <f t="shared" si="5"/>
        <v/>
      </c>
      <c r="J106" s="28">
        <f t="shared" si="6"/>
        <v>-0.125</v>
      </c>
      <c r="K106">
        <f t="shared" si="7"/>
        <v>814</v>
      </c>
    </row>
    <row r="107" spans="1:11">
      <c r="A107" s="3">
        <v>130</v>
      </c>
      <c r="B107" t="s">
        <v>61</v>
      </c>
      <c r="C107" t="s">
        <v>8</v>
      </c>
      <c r="E107" s="3">
        <f t="shared" si="4"/>
        <v>3</v>
      </c>
      <c r="F107" s="5">
        <v>43936.625</v>
      </c>
      <c r="G107" s="19" t="str">
        <f t="shared" si="5"/>
        <v/>
      </c>
      <c r="J107" s="28">
        <f t="shared" si="6"/>
        <v>-5.7971014492753659E-2</v>
      </c>
      <c r="K107">
        <f t="shared" si="7"/>
        <v>806</v>
      </c>
    </row>
    <row r="108" spans="1:11">
      <c r="A108" s="3">
        <v>120</v>
      </c>
      <c r="B108" t="s">
        <v>62</v>
      </c>
      <c r="C108" t="s">
        <v>8</v>
      </c>
      <c r="E108" s="3">
        <f t="shared" si="4"/>
        <v>4</v>
      </c>
      <c r="F108" s="5">
        <v>43937.625</v>
      </c>
      <c r="G108" s="19" t="str">
        <f t="shared" si="5"/>
        <v/>
      </c>
      <c r="J108" s="28">
        <f t="shared" si="6"/>
        <v>-0.240506329113924</v>
      </c>
      <c r="K108">
        <f t="shared" si="7"/>
        <v>768</v>
      </c>
    </row>
    <row r="109" spans="1:11">
      <c r="A109" s="3">
        <v>125</v>
      </c>
      <c r="B109" t="s">
        <v>63</v>
      </c>
      <c r="C109" t="s">
        <v>8</v>
      </c>
      <c r="E109" s="3">
        <f t="shared" si="4"/>
        <v>5</v>
      </c>
      <c r="F109" s="5">
        <v>43938.625</v>
      </c>
      <c r="G109" s="19" t="str">
        <f t="shared" si="5"/>
        <v/>
      </c>
      <c r="J109" s="28">
        <f t="shared" si="6"/>
        <v>0.76056338028169024</v>
      </c>
      <c r="K109">
        <f t="shared" si="7"/>
        <v>822</v>
      </c>
    </row>
    <row r="110" spans="1:11">
      <c r="A110" s="3">
        <v>56</v>
      </c>
      <c r="B110" t="s">
        <v>64</v>
      </c>
      <c r="C110" t="s">
        <v>8</v>
      </c>
      <c r="E110" s="3">
        <f t="shared" si="4"/>
        <v>6</v>
      </c>
      <c r="F110" s="5">
        <v>43939.625</v>
      </c>
      <c r="G110" s="19" t="str">
        <f t="shared" si="5"/>
        <v/>
      </c>
      <c r="J110" s="28">
        <f t="shared" si="6"/>
        <v>-0.2533333333333333</v>
      </c>
      <c r="K110">
        <f t="shared" si="7"/>
        <v>803</v>
      </c>
    </row>
    <row r="111" spans="1:11">
      <c r="A111" s="3">
        <v>67</v>
      </c>
      <c r="B111" t="s">
        <v>65</v>
      </c>
      <c r="C111" t="s">
        <v>8</v>
      </c>
      <c r="E111" s="3">
        <f t="shared" si="4"/>
        <v>7</v>
      </c>
      <c r="F111" s="5">
        <v>43940.625</v>
      </c>
      <c r="G111" s="19" t="str">
        <f t="shared" si="5"/>
        <v/>
      </c>
      <c r="J111" s="28">
        <f t="shared" si="6"/>
        <v>-0.16249999999999998</v>
      </c>
      <c r="K111">
        <f t="shared" si="7"/>
        <v>790</v>
      </c>
    </row>
    <row r="112" spans="1:11" s="41" customFormat="1">
      <c r="A112" s="40">
        <v>143</v>
      </c>
      <c r="B112" s="41" t="s">
        <v>66</v>
      </c>
      <c r="C112" s="41" t="s">
        <v>8</v>
      </c>
      <c r="E112" s="40">
        <f t="shared" si="4"/>
        <v>1</v>
      </c>
      <c r="F112" s="42">
        <v>43941.625</v>
      </c>
      <c r="G112" s="43" t="str">
        <f t="shared" si="5"/>
        <v>2020-W17</v>
      </c>
      <c r="H112" s="41">
        <f>SUM(A112:A118)</f>
        <v>736</v>
      </c>
      <c r="I112" s="44">
        <f>H112/H105-1</f>
        <v>-6.8354430379746867E-2</v>
      </c>
      <c r="J112" s="44">
        <f t="shared" si="6"/>
        <v>0.22222222222222232</v>
      </c>
      <c r="K112">
        <f t="shared" si="7"/>
        <v>816</v>
      </c>
    </row>
    <row r="113" spans="1:11">
      <c r="A113" s="3">
        <v>112</v>
      </c>
      <c r="B113" t="s">
        <v>67</v>
      </c>
      <c r="C113" t="s">
        <v>8</v>
      </c>
      <c r="E113" s="3">
        <f t="shared" si="4"/>
        <v>2</v>
      </c>
      <c r="F113" s="5">
        <v>43942.625</v>
      </c>
      <c r="G113" s="19" t="str">
        <f t="shared" si="5"/>
        <v/>
      </c>
      <c r="J113" s="28">
        <f t="shared" si="6"/>
        <v>-0.36</v>
      </c>
      <c r="K113">
        <f t="shared" si="7"/>
        <v>753</v>
      </c>
    </row>
    <row r="114" spans="1:11">
      <c r="A114" s="3">
        <v>124</v>
      </c>
      <c r="B114" t="s">
        <v>68</v>
      </c>
      <c r="C114" t="s">
        <v>8</v>
      </c>
      <c r="E114" s="3">
        <f t="shared" si="4"/>
        <v>3</v>
      </c>
      <c r="F114" s="5">
        <v>43943.625</v>
      </c>
      <c r="G114" s="19" t="str">
        <f t="shared" si="5"/>
        <v/>
      </c>
      <c r="J114" s="28">
        <f t="shared" si="6"/>
        <v>-4.6153846153846101E-2</v>
      </c>
      <c r="K114">
        <f t="shared" si="7"/>
        <v>747</v>
      </c>
    </row>
    <row r="115" spans="1:11">
      <c r="A115" s="3">
        <v>116</v>
      </c>
      <c r="B115" t="s">
        <v>69</v>
      </c>
      <c r="C115" t="s">
        <v>8</v>
      </c>
      <c r="E115" s="3">
        <f t="shared" si="4"/>
        <v>4</v>
      </c>
      <c r="F115" s="5">
        <v>43944.625</v>
      </c>
      <c r="G115" s="19" t="str">
        <f t="shared" si="5"/>
        <v/>
      </c>
      <c r="J115" s="28">
        <f t="shared" si="6"/>
        <v>-3.3333333333333326E-2</v>
      </c>
      <c r="K115">
        <f t="shared" si="7"/>
        <v>743</v>
      </c>
    </row>
    <row r="116" spans="1:11">
      <c r="A116" s="3">
        <v>92</v>
      </c>
      <c r="B116" t="s">
        <v>70</v>
      </c>
      <c r="C116" t="s">
        <v>8</v>
      </c>
      <c r="E116" s="3">
        <f t="shared" si="4"/>
        <v>5</v>
      </c>
      <c r="F116" s="5">
        <v>43945.625</v>
      </c>
      <c r="G116" s="19" t="str">
        <f t="shared" si="5"/>
        <v/>
      </c>
      <c r="J116" s="28">
        <f t="shared" si="6"/>
        <v>-0.26400000000000001</v>
      </c>
      <c r="K116">
        <f t="shared" si="7"/>
        <v>710</v>
      </c>
    </row>
    <row r="117" spans="1:11">
      <c r="A117" s="3">
        <v>76</v>
      </c>
      <c r="B117" t="s">
        <v>71</v>
      </c>
      <c r="C117" t="s">
        <v>8</v>
      </c>
      <c r="E117" s="3">
        <f t="shared" si="4"/>
        <v>6</v>
      </c>
      <c r="F117" s="5">
        <v>43946.625</v>
      </c>
      <c r="G117" s="19" t="str">
        <f t="shared" si="5"/>
        <v/>
      </c>
      <c r="J117" s="28">
        <f t="shared" si="6"/>
        <v>0.35714285714285721</v>
      </c>
      <c r="K117">
        <f t="shared" si="7"/>
        <v>730</v>
      </c>
    </row>
    <row r="118" spans="1:11">
      <c r="A118" s="3">
        <v>73</v>
      </c>
      <c r="B118" t="s">
        <v>72</v>
      </c>
      <c r="C118" t="s">
        <v>8</v>
      </c>
      <c r="E118" s="3">
        <f t="shared" si="4"/>
        <v>7</v>
      </c>
      <c r="F118" s="5">
        <v>43947.625</v>
      </c>
      <c r="G118" s="19" t="str">
        <f t="shared" si="5"/>
        <v/>
      </c>
      <c r="J118" s="28">
        <f t="shared" si="6"/>
        <v>8.9552238805970186E-2</v>
      </c>
      <c r="K118">
        <f t="shared" si="7"/>
        <v>736</v>
      </c>
    </row>
    <row r="119" spans="1:11">
      <c r="A119" s="3">
        <v>123</v>
      </c>
      <c r="B119" t="s">
        <v>73</v>
      </c>
      <c r="C119" t="s">
        <v>8</v>
      </c>
      <c r="E119" s="3">
        <f t="shared" si="4"/>
        <v>1</v>
      </c>
      <c r="F119" s="5">
        <v>43948.625</v>
      </c>
      <c r="G119" s="19" t="str">
        <f t="shared" si="5"/>
        <v>2020-W18</v>
      </c>
      <c r="H119">
        <f>SUM(A119:A125)</f>
        <v>623</v>
      </c>
      <c r="I119" s="28">
        <f>H119/H112-1</f>
        <v>-0.15353260869565222</v>
      </c>
      <c r="J119" s="28">
        <f t="shared" si="6"/>
        <v>-0.1398601398601399</v>
      </c>
      <c r="K119">
        <f t="shared" si="7"/>
        <v>716</v>
      </c>
    </row>
    <row r="120" spans="1:11" s="41" customFormat="1">
      <c r="A120" s="40">
        <v>139</v>
      </c>
      <c r="B120" s="41" t="s">
        <v>74</v>
      </c>
      <c r="C120" s="41" t="s">
        <v>8</v>
      </c>
      <c r="E120" s="40">
        <f t="shared" si="4"/>
        <v>2</v>
      </c>
      <c r="F120" s="42">
        <v>43949.625</v>
      </c>
      <c r="G120" s="43" t="str">
        <f t="shared" si="5"/>
        <v/>
      </c>
      <c r="J120" s="44">
        <f t="shared" si="6"/>
        <v>0.2410714285714286</v>
      </c>
      <c r="K120">
        <f t="shared" si="7"/>
        <v>743</v>
      </c>
    </row>
    <row r="121" spans="1:11">
      <c r="A121" s="3">
        <v>108</v>
      </c>
      <c r="B121" t="s">
        <v>75</v>
      </c>
      <c r="C121" t="s">
        <v>8</v>
      </c>
      <c r="E121" s="3">
        <f t="shared" si="4"/>
        <v>3</v>
      </c>
      <c r="F121" s="5">
        <v>43950.625</v>
      </c>
      <c r="G121" s="19" t="str">
        <f t="shared" si="5"/>
        <v/>
      </c>
      <c r="J121" s="28">
        <f t="shared" si="6"/>
        <v>-0.12903225806451613</v>
      </c>
      <c r="K121">
        <f t="shared" si="7"/>
        <v>727</v>
      </c>
    </row>
    <row r="122" spans="1:11">
      <c r="A122" s="3">
        <v>86</v>
      </c>
      <c r="B122" t="s">
        <v>76</v>
      </c>
      <c r="C122" t="s">
        <v>8</v>
      </c>
      <c r="E122" s="3">
        <f t="shared" si="4"/>
        <v>4</v>
      </c>
      <c r="F122" s="5">
        <v>43951.625</v>
      </c>
      <c r="G122" s="19" t="str">
        <f t="shared" si="5"/>
        <v/>
      </c>
      <c r="J122" s="28">
        <f t="shared" si="6"/>
        <v>-0.25862068965517238</v>
      </c>
      <c r="K122">
        <f t="shared" si="7"/>
        <v>697</v>
      </c>
    </row>
    <row r="123" spans="1:11">
      <c r="A123" s="3">
        <v>48</v>
      </c>
      <c r="B123" t="s">
        <v>77</v>
      </c>
      <c r="C123" t="s">
        <v>8</v>
      </c>
      <c r="E123" s="3">
        <f t="shared" si="4"/>
        <v>5</v>
      </c>
      <c r="F123" s="5">
        <v>43952.625</v>
      </c>
      <c r="G123" s="19" t="str">
        <f t="shared" si="5"/>
        <v/>
      </c>
      <c r="J123" s="28">
        <f t="shared" si="6"/>
        <v>-0.47826086956521741</v>
      </c>
      <c r="K123">
        <f t="shared" si="7"/>
        <v>653</v>
      </c>
    </row>
    <row r="124" spans="1:11">
      <c r="A124" s="3">
        <v>58</v>
      </c>
      <c r="B124" t="s">
        <v>78</v>
      </c>
      <c r="C124" t="s">
        <v>8</v>
      </c>
      <c r="E124" s="3">
        <f t="shared" si="4"/>
        <v>6</v>
      </c>
      <c r="F124" s="5">
        <v>43953.625</v>
      </c>
      <c r="G124" s="19" t="str">
        <f t="shared" si="5"/>
        <v/>
      </c>
      <c r="J124" s="28">
        <f t="shared" si="6"/>
        <v>-0.23684210526315785</v>
      </c>
      <c r="K124">
        <f t="shared" si="7"/>
        <v>635</v>
      </c>
    </row>
    <row r="125" spans="1:11">
      <c r="A125" s="3">
        <v>61</v>
      </c>
      <c r="B125" t="s">
        <v>79</v>
      </c>
      <c r="C125" t="s">
        <v>8</v>
      </c>
      <c r="E125" s="3">
        <f t="shared" si="4"/>
        <v>7</v>
      </c>
      <c r="F125" s="5">
        <v>43954.625</v>
      </c>
      <c r="G125" s="19" t="str">
        <f t="shared" si="5"/>
        <v/>
      </c>
      <c r="J125" s="28">
        <f t="shared" si="6"/>
        <v>-0.16438356164383561</v>
      </c>
      <c r="K125">
        <f t="shared" si="7"/>
        <v>623</v>
      </c>
    </row>
    <row r="126" spans="1:11">
      <c r="A126" s="3">
        <v>133</v>
      </c>
      <c r="B126" t="s">
        <v>80</v>
      </c>
      <c r="C126" t="s">
        <v>8</v>
      </c>
      <c r="E126" s="3">
        <f t="shared" si="4"/>
        <v>1</v>
      </c>
      <c r="F126" s="5">
        <v>43955.625</v>
      </c>
      <c r="G126" s="19" t="str">
        <f t="shared" si="5"/>
        <v>2020-W19</v>
      </c>
      <c r="H126">
        <f>SUM(A126:A132)</f>
        <v>617</v>
      </c>
      <c r="I126" s="28">
        <f>H126/H119-1</f>
        <v>-9.6308186195827039E-3</v>
      </c>
      <c r="J126" s="28">
        <f t="shared" si="6"/>
        <v>8.1300813008130079E-2</v>
      </c>
      <c r="K126">
        <f t="shared" si="7"/>
        <v>633</v>
      </c>
    </row>
    <row r="127" spans="1:11">
      <c r="A127" s="3">
        <v>125</v>
      </c>
      <c r="B127" t="s">
        <v>81</v>
      </c>
      <c r="C127" t="s">
        <v>8</v>
      </c>
      <c r="E127" s="3">
        <f t="shared" si="4"/>
        <v>2</v>
      </c>
      <c r="F127" s="5">
        <v>43956.625</v>
      </c>
      <c r="G127" s="19" t="str">
        <f t="shared" si="5"/>
        <v/>
      </c>
      <c r="J127" s="28">
        <f t="shared" si="6"/>
        <v>-0.10071942446043169</v>
      </c>
      <c r="K127">
        <f t="shared" si="7"/>
        <v>619</v>
      </c>
    </row>
    <row r="128" spans="1:11">
      <c r="A128" s="3">
        <v>95</v>
      </c>
      <c r="B128" t="s">
        <v>82</v>
      </c>
      <c r="C128" t="s">
        <v>8</v>
      </c>
      <c r="E128" s="3">
        <f t="shared" si="4"/>
        <v>3</v>
      </c>
      <c r="F128" s="5">
        <v>43957.625</v>
      </c>
      <c r="G128" s="19" t="str">
        <f t="shared" si="5"/>
        <v/>
      </c>
      <c r="J128" s="28">
        <f t="shared" si="6"/>
        <v>-0.12037037037037035</v>
      </c>
      <c r="K128">
        <f t="shared" si="7"/>
        <v>606</v>
      </c>
    </row>
    <row r="129" spans="1:11" s="41" customFormat="1">
      <c r="A129" s="40">
        <v>108</v>
      </c>
      <c r="B129" s="41" t="s">
        <v>83</v>
      </c>
      <c r="C129" s="41" t="s">
        <v>8</v>
      </c>
      <c r="E129" s="40">
        <f t="shared" si="4"/>
        <v>4</v>
      </c>
      <c r="F129" s="42">
        <v>43958.625</v>
      </c>
      <c r="G129" s="43" t="str">
        <f t="shared" si="5"/>
        <v/>
      </c>
      <c r="J129" s="44">
        <f t="shared" si="6"/>
        <v>0.2558139534883721</v>
      </c>
      <c r="K129">
        <f t="shared" si="7"/>
        <v>628</v>
      </c>
    </row>
    <row r="130" spans="1:11">
      <c r="A130" s="3">
        <v>81</v>
      </c>
      <c r="B130" t="s">
        <v>84</v>
      </c>
      <c r="C130" t="s">
        <v>8</v>
      </c>
      <c r="E130" s="3">
        <f t="shared" si="4"/>
        <v>5</v>
      </c>
      <c r="F130" s="5">
        <v>43959.625</v>
      </c>
      <c r="G130" s="19" t="str">
        <f t="shared" si="5"/>
        <v/>
      </c>
      <c r="J130" s="28">
        <f t="shared" si="6"/>
        <v>0.6875</v>
      </c>
      <c r="K130">
        <f t="shared" si="7"/>
        <v>661</v>
      </c>
    </row>
    <row r="131" spans="1:11">
      <c r="A131" s="3">
        <v>47</v>
      </c>
      <c r="B131" t="s">
        <v>85</v>
      </c>
      <c r="C131" t="s">
        <v>8</v>
      </c>
      <c r="E131" s="3">
        <f t="shared" ref="E131:E194" si="8">WEEKDAY(F131,2)</f>
        <v>6</v>
      </c>
      <c r="F131" s="5">
        <v>43960.625</v>
      </c>
      <c r="G131" s="19" t="str">
        <f t="shared" ref="G131:G194" si="9">IF(WEEKDAY(F131,2)=1,YEAR(F131)&amp;"-W"&amp;TEXT(WEEKNUM(F131,14),"00"),"")</f>
        <v/>
      </c>
      <c r="J131" s="28">
        <f t="shared" si="6"/>
        <v>-0.18965517241379315</v>
      </c>
      <c r="K131">
        <f t="shared" si="7"/>
        <v>650</v>
      </c>
    </row>
    <row r="132" spans="1:11">
      <c r="A132" s="3">
        <v>28</v>
      </c>
      <c r="B132" t="s">
        <v>86</v>
      </c>
      <c r="C132" t="s">
        <v>8</v>
      </c>
      <c r="E132" s="3">
        <f t="shared" si="8"/>
        <v>7</v>
      </c>
      <c r="F132" s="5">
        <v>43961.625</v>
      </c>
      <c r="G132" s="19" t="str">
        <f t="shared" si="9"/>
        <v/>
      </c>
      <c r="J132" s="28">
        <f t="shared" si="6"/>
        <v>-0.54098360655737698</v>
      </c>
      <c r="K132">
        <f t="shared" si="7"/>
        <v>617</v>
      </c>
    </row>
    <row r="133" spans="1:11">
      <c r="A133" s="3">
        <v>92</v>
      </c>
      <c r="B133" t="s">
        <v>87</v>
      </c>
      <c r="C133" t="s">
        <v>8</v>
      </c>
      <c r="E133" s="3">
        <f t="shared" si="8"/>
        <v>1</v>
      </c>
      <c r="F133" s="5">
        <v>43962.625</v>
      </c>
      <c r="G133" s="19" t="str">
        <f t="shared" si="9"/>
        <v>2020-W20</v>
      </c>
      <c r="H133">
        <f>SUM(A133:A139)</f>
        <v>396</v>
      </c>
      <c r="I133" s="28">
        <f>H133/H126-1</f>
        <v>-0.35818476499189622</v>
      </c>
      <c r="J133" s="28">
        <f t="shared" si="6"/>
        <v>-0.30827067669172936</v>
      </c>
      <c r="K133">
        <f t="shared" si="7"/>
        <v>576</v>
      </c>
    </row>
    <row r="134" spans="1:11">
      <c r="A134" s="3">
        <v>67</v>
      </c>
      <c r="B134" t="s">
        <v>88</v>
      </c>
      <c r="C134" t="s">
        <v>8</v>
      </c>
      <c r="E134" s="3">
        <f t="shared" si="8"/>
        <v>2</v>
      </c>
      <c r="F134" s="5">
        <v>43963.625</v>
      </c>
      <c r="G134" s="19" t="str">
        <f t="shared" si="9"/>
        <v/>
      </c>
      <c r="J134" s="28">
        <f t="shared" si="6"/>
        <v>-0.46399999999999997</v>
      </c>
      <c r="K134">
        <f t="shared" si="7"/>
        <v>518</v>
      </c>
    </row>
    <row r="135" spans="1:11">
      <c r="A135" s="3">
        <v>78</v>
      </c>
      <c r="B135" t="s">
        <v>89</v>
      </c>
      <c r="C135" t="s">
        <v>8</v>
      </c>
      <c r="E135" s="3">
        <f t="shared" si="8"/>
        <v>3</v>
      </c>
      <c r="F135" s="5">
        <v>43964.625</v>
      </c>
      <c r="G135" s="19" t="str">
        <f t="shared" si="9"/>
        <v/>
      </c>
      <c r="J135" s="28">
        <f t="shared" si="6"/>
        <v>-0.17894736842105263</v>
      </c>
      <c r="K135">
        <f t="shared" si="7"/>
        <v>501</v>
      </c>
    </row>
    <row r="136" spans="1:11">
      <c r="A136" s="3">
        <v>50</v>
      </c>
      <c r="B136" t="s">
        <v>90</v>
      </c>
      <c r="C136" t="s">
        <v>8</v>
      </c>
      <c r="E136" s="3">
        <f t="shared" si="8"/>
        <v>4</v>
      </c>
      <c r="F136" s="5">
        <v>43965.625</v>
      </c>
      <c r="G136" s="19" t="str">
        <f t="shared" si="9"/>
        <v/>
      </c>
      <c r="J136" s="28">
        <f t="shared" si="6"/>
        <v>-0.53703703703703698</v>
      </c>
      <c r="K136">
        <f t="shared" si="7"/>
        <v>443</v>
      </c>
    </row>
    <row r="137" spans="1:11">
      <c r="A137" s="3">
        <v>55</v>
      </c>
      <c r="B137" t="s">
        <v>91</v>
      </c>
      <c r="C137" t="s">
        <v>8</v>
      </c>
      <c r="E137" s="3">
        <f t="shared" si="8"/>
        <v>5</v>
      </c>
      <c r="F137" s="5">
        <v>43966.625</v>
      </c>
      <c r="G137" s="19" t="str">
        <f t="shared" si="9"/>
        <v/>
      </c>
      <c r="J137" s="28">
        <f t="shared" ref="J137:J200" si="10">A137/A130-1</f>
        <v>-0.32098765432098764</v>
      </c>
      <c r="K137">
        <f t="shared" si="7"/>
        <v>417</v>
      </c>
    </row>
    <row r="138" spans="1:11" s="41" customFormat="1">
      <c r="A138" s="40">
        <v>25</v>
      </c>
      <c r="B138" s="41" t="s">
        <v>92</v>
      </c>
      <c r="C138" s="41" t="s">
        <v>8</v>
      </c>
      <c r="E138" s="40">
        <f t="shared" si="8"/>
        <v>6</v>
      </c>
      <c r="F138" s="42">
        <v>43967.625</v>
      </c>
      <c r="G138" s="43" t="str">
        <f t="shared" si="9"/>
        <v/>
      </c>
      <c r="J138" s="44">
        <f t="shared" si="10"/>
        <v>-0.46808510638297873</v>
      </c>
      <c r="K138">
        <f t="shared" si="7"/>
        <v>395</v>
      </c>
    </row>
    <row r="139" spans="1:11">
      <c r="A139" s="3">
        <v>29</v>
      </c>
      <c r="B139" t="s">
        <v>93</v>
      </c>
      <c r="C139" t="s">
        <v>8</v>
      </c>
      <c r="E139" s="3">
        <f t="shared" si="8"/>
        <v>7</v>
      </c>
      <c r="F139" s="5">
        <v>43968.625</v>
      </c>
      <c r="G139" s="19" t="str">
        <f t="shared" si="9"/>
        <v/>
      </c>
      <c r="J139" s="28">
        <f t="shared" si="10"/>
        <v>3.5714285714285809E-2</v>
      </c>
      <c r="K139">
        <f t="shared" si="7"/>
        <v>396</v>
      </c>
    </row>
    <row r="140" spans="1:11">
      <c r="A140" s="3">
        <v>45</v>
      </c>
      <c r="B140" t="s">
        <v>94</v>
      </c>
      <c r="C140" t="s">
        <v>8</v>
      </c>
      <c r="E140" s="3">
        <f t="shared" si="8"/>
        <v>1</v>
      </c>
      <c r="F140" s="5">
        <v>43969.625</v>
      </c>
      <c r="G140" s="19" t="str">
        <f t="shared" si="9"/>
        <v>2020-W21</v>
      </c>
      <c r="H140">
        <f>SUM(A140:A146)</f>
        <v>221</v>
      </c>
      <c r="I140" s="28">
        <f>H140/H133-1</f>
        <v>-0.44191919191919193</v>
      </c>
      <c r="J140" s="28">
        <f t="shared" si="10"/>
        <v>-0.51086956521739135</v>
      </c>
      <c r="K140">
        <f t="shared" si="7"/>
        <v>349</v>
      </c>
    </row>
    <row r="141" spans="1:11">
      <c r="A141" s="3">
        <v>41</v>
      </c>
      <c r="B141" t="s">
        <v>95</v>
      </c>
      <c r="C141" t="s">
        <v>8</v>
      </c>
      <c r="E141" s="3">
        <f t="shared" si="8"/>
        <v>2</v>
      </c>
      <c r="F141" s="5">
        <v>43970.625</v>
      </c>
      <c r="G141" s="19" t="str">
        <f t="shared" si="9"/>
        <v/>
      </c>
      <c r="J141" s="28">
        <f t="shared" si="10"/>
        <v>-0.38805970149253732</v>
      </c>
      <c r="K141">
        <f t="shared" si="7"/>
        <v>323</v>
      </c>
    </row>
    <row r="142" spans="1:11">
      <c r="A142" s="3">
        <v>43</v>
      </c>
      <c r="B142" t="s">
        <v>96</v>
      </c>
      <c r="C142" t="s">
        <v>8</v>
      </c>
      <c r="E142" s="3">
        <f t="shared" si="8"/>
        <v>3</v>
      </c>
      <c r="F142" s="5">
        <v>43971.625</v>
      </c>
      <c r="G142" s="19" t="str">
        <f t="shared" si="9"/>
        <v/>
      </c>
      <c r="J142" s="28">
        <f t="shared" si="10"/>
        <v>-0.44871794871794868</v>
      </c>
      <c r="K142">
        <f t="shared" si="7"/>
        <v>288</v>
      </c>
    </row>
    <row r="143" spans="1:11">
      <c r="A143" s="3">
        <v>22</v>
      </c>
      <c r="B143" t="s">
        <v>97</v>
      </c>
      <c r="C143" t="s">
        <v>8</v>
      </c>
      <c r="E143" s="3">
        <f t="shared" si="8"/>
        <v>4</v>
      </c>
      <c r="F143" s="5">
        <v>43972.625</v>
      </c>
      <c r="G143" s="19" t="str">
        <f t="shared" si="9"/>
        <v/>
      </c>
      <c r="J143" s="28">
        <f t="shared" si="10"/>
        <v>-0.56000000000000005</v>
      </c>
      <c r="K143">
        <f t="shared" si="7"/>
        <v>260</v>
      </c>
    </row>
    <row r="144" spans="1:11">
      <c r="A144" s="3">
        <v>32</v>
      </c>
      <c r="B144" t="s">
        <v>98</v>
      </c>
      <c r="C144" t="s">
        <v>8</v>
      </c>
      <c r="E144" s="3">
        <f t="shared" si="8"/>
        <v>5</v>
      </c>
      <c r="F144" s="5">
        <v>43973.625</v>
      </c>
      <c r="G144" s="19" t="str">
        <f t="shared" si="9"/>
        <v/>
      </c>
      <c r="J144" s="28">
        <f t="shared" si="10"/>
        <v>-0.41818181818181821</v>
      </c>
      <c r="K144">
        <f t="shared" si="7"/>
        <v>237</v>
      </c>
    </row>
    <row r="145" spans="1:11">
      <c r="A145" s="3">
        <v>18</v>
      </c>
      <c r="B145" t="s">
        <v>99</v>
      </c>
      <c r="C145" t="s">
        <v>8</v>
      </c>
      <c r="E145" s="3">
        <f t="shared" si="8"/>
        <v>6</v>
      </c>
      <c r="F145" s="5">
        <v>43974.625</v>
      </c>
      <c r="G145" s="19" t="str">
        <f t="shared" si="9"/>
        <v/>
      </c>
      <c r="J145" s="28">
        <f t="shared" si="10"/>
        <v>-0.28000000000000003</v>
      </c>
      <c r="K145">
        <f t="shared" si="7"/>
        <v>230</v>
      </c>
    </row>
    <row r="146" spans="1:11">
      <c r="A146" s="3">
        <v>20</v>
      </c>
      <c r="B146" t="s">
        <v>100</v>
      </c>
      <c r="C146" t="s">
        <v>8</v>
      </c>
      <c r="E146" s="3">
        <f t="shared" si="8"/>
        <v>7</v>
      </c>
      <c r="F146" s="5">
        <v>43975.625</v>
      </c>
      <c r="G146" s="19" t="str">
        <f t="shared" si="9"/>
        <v/>
      </c>
      <c r="J146" s="28">
        <f t="shared" si="10"/>
        <v>-0.31034482758620685</v>
      </c>
      <c r="K146">
        <f t="shared" si="7"/>
        <v>221</v>
      </c>
    </row>
    <row r="147" spans="1:11">
      <c r="A147" s="3">
        <v>45</v>
      </c>
      <c r="B147" t="s">
        <v>101</v>
      </c>
      <c r="C147" t="s">
        <v>8</v>
      </c>
      <c r="E147" s="3">
        <f t="shared" si="8"/>
        <v>1</v>
      </c>
      <c r="F147" s="5">
        <v>43976.625</v>
      </c>
      <c r="G147" s="19" t="str">
        <f t="shared" si="9"/>
        <v>2020-W22</v>
      </c>
      <c r="H147">
        <f>SUM(A147:A153)</f>
        <v>163</v>
      </c>
      <c r="I147" s="28">
        <f>H147/H140-1</f>
        <v>-0.26244343891402711</v>
      </c>
      <c r="J147" s="28">
        <f t="shared" si="10"/>
        <v>0</v>
      </c>
      <c r="K147">
        <f t="shared" si="7"/>
        <v>221</v>
      </c>
    </row>
    <row r="148" spans="1:11">
      <c r="A148" s="3">
        <v>33</v>
      </c>
      <c r="B148" t="s">
        <v>102</v>
      </c>
      <c r="C148" t="s">
        <v>8</v>
      </c>
      <c r="E148" s="3">
        <f t="shared" si="8"/>
        <v>2</v>
      </c>
      <c r="F148" s="5">
        <v>43977.625</v>
      </c>
      <c r="G148" s="19" t="str">
        <f t="shared" si="9"/>
        <v/>
      </c>
      <c r="J148" s="28">
        <f t="shared" si="10"/>
        <v>-0.19512195121951215</v>
      </c>
      <c r="K148">
        <f t="shared" si="7"/>
        <v>213</v>
      </c>
    </row>
    <row r="149" spans="1:11">
      <c r="A149" s="3">
        <v>12</v>
      </c>
      <c r="B149" t="s">
        <v>103</v>
      </c>
      <c r="C149" t="s">
        <v>8</v>
      </c>
      <c r="E149" s="3">
        <f t="shared" si="8"/>
        <v>3</v>
      </c>
      <c r="F149" s="5">
        <v>43978.625</v>
      </c>
      <c r="G149" s="19" t="str">
        <f t="shared" si="9"/>
        <v/>
      </c>
      <c r="J149" s="28">
        <f t="shared" si="10"/>
        <v>-0.72093023255813948</v>
      </c>
      <c r="K149">
        <f t="shared" ref="K149:K212" si="11">SUM(A143:A149)</f>
        <v>182</v>
      </c>
    </row>
    <row r="150" spans="1:11">
      <c r="A150" s="3">
        <v>30</v>
      </c>
      <c r="B150" t="s">
        <v>104</v>
      </c>
      <c r="C150" t="s">
        <v>8</v>
      </c>
      <c r="E150" s="3">
        <f t="shared" si="8"/>
        <v>4</v>
      </c>
      <c r="F150" s="5">
        <v>43979.625</v>
      </c>
      <c r="G150" s="19" t="str">
        <f t="shared" si="9"/>
        <v/>
      </c>
      <c r="J150" s="28">
        <f t="shared" si="10"/>
        <v>0.36363636363636354</v>
      </c>
      <c r="K150">
        <f t="shared" si="11"/>
        <v>190</v>
      </c>
    </row>
    <row r="151" spans="1:11">
      <c r="A151" s="3">
        <v>21</v>
      </c>
      <c r="B151" t="s">
        <v>105</v>
      </c>
      <c r="C151" t="s">
        <v>8</v>
      </c>
      <c r="E151" s="3">
        <f t="shared" si="8"/>
        <v>5</v>
      </c>
      <c r="F151" s="5">
        <v>43980.625</v>
      </c>
      <c r="G151" s="19" t="str">
        <f t="shared" si="9"/>
        <v/>
      </c>
      <c r="J151" s="28">
        <f t="shared" si="10"/>
        <v>-0.34375</v>
      </c>
      <c r="K151">
        <f t="shared" si="11"/>
        <v>179</v>
      </c>
    </row>
    <row r="152" spans="1:11">
      <c r="A152" s="3">
        <v>10</v>
      </c>
      <c r="B152" t="s">
        <v>106</v>
      </c>
      <c r="C152" t="s">
        <v>8</v>
      </c>
      <c r="E152" s="3">
        <f t="shared" si="8"/>
        <v>6</v>
      </c>
      <c r="F152" s="5">
        <v>43981.625</v>
      </c>
      <c r="G152" s="19" t="str">
        <f t="shared" si="9"/>
        <v/>
      </c>
      <c r="J152" s="28">
        <f t="shared" si="10"/>
        <v>-0.44444444444444442</v>
      </c>
      <c r="K152">
        <f t="shared" si="11"/>
        <v>171</v>
      </c>
    </row>
    <row r="153" spans="1:11">
      <c r="A153" s="3">
        <v>12</v>
      </c>
      <c r="B153" t="s">
        <v>107</v>
      </c>
      <c r="C153" t="s">
        <v>8</v>
      </c>
      <c r="E153" s="3">
        <f t="shared" si="8"/>
        <v>7</v>
      </c>
      <c r="F153" s="5">
        <v>43982.625</v>
      </c>
      <c r="G153" s="19" t="str">
        <f t="shared" si="9"/>
        <v/>
      </c>
      <c r="J153" s="28">
        <f t="shared" si="10"/>
        <v>-0.4</v>
      </c>
      <c r="K153">
        <f t="shared" si="11"/>
        <v>163</v>
      </c>
    </row>
    <row r="154" spans="1:11">
      <c r="A154" s="3">
        <v>17</v>
      </c>
      <c r="B154" t="s">
        <v>108</v>
      </c>
      <c r="C154" t="s">
        <v>8</v>
      </c>
      <c r="E154" s="3">
        <f t="shared" si="8"/>
        <v>1</v>
      </c>
      <c r="F154" s="5">
        <v>43983.625</v>
      </c>
      <c r="G154" s="19" t="str">
        <f t="shared" si="9"/>
        <v>2020-W23</v>
      </c>
      <c r="H154">
        <f>SUM(A154:A160)</f>
        <v>99</v>
      </c>
      <c r="I154" s="28">
        <f>H154/H147-1</f>
        <v>-0.3926380368098159</v>
      </c>
      <c r="J154" s="28">
        <f t="shared" si="10"/>
        <v>-0.62222222222222223</v>
      </c>
      <c r="K154">
        <f t="shared" si="11"/>
        <v>135</v>
      </c>
    </row>
    <row r="155" spans="1:11">
      <c r="A155" s="3">
        <v>15</v>
      </c>
      <c r="B155" t="s">
        <v>109</v>
      </c>
      <c r="C155" t="s">
        <v>8</v>
      </c>
      <c r="E155" s="3">
        <f t="shared" si="8"/>
        <v>2</v>
      </c>
      <c r="F155" s="5">
        <v>43984.625</v>
      </c>
      <c r="G155" s="19" t="str">
        <f t="shared" si="9"/>
        <v/>
      </c>
      <c r="J155" s="28">
        <f t="shared" si="10"/>
        <v>-0.54545454545454541</v>
      </c>
      <c r="K155">
        <f t="shared" si="11"/>
        <v>117</v>
      </c>
    </row>
    <row r="156" spans="1:11">
      <c r="A156" s="3">
        <v>25</v>
      </c>
      <c r="B156" t="s">
        <v>110</v>
      </c>
      <c r="C156" t="s">
        <v>8</v>
      </c>
      <c r="E156" s="3">
        <f t="shared" si="8"/>
        <v>3</v>
      </c>
      <c r="F156" s="5">
        <v>43985.625</v>
      </c>
      <c r="G156" s="19" t="str">
        <f t="shared" si="9"/>
        <v/>
      </c>
      <c r="J156" s="28">
        <f t="shared" si="10"/>
        <v>1.0833333333333335</v>
      </c>
      <c r="K156">
        <f t="shared" si="11"/>
        <v>130</v>
      </c>
    </row>
    <row r="157" spans="1:11">
      <c r="A157" s="3">
        <v>12</v>
      </c>
      <c r="B157" t="s">
        <v>111</v>
      </c>
      <c r="C157" t="s">
        <v>8</v>
      </c>
      <c r="E157" s="3">
        <f t="shared" si="8"/>
        <v>4</v>
      </c>
      <c r="F157" s="5">
        <v>43986.625</v>
      </c>
      <c r="G157" s="19" t="str">
        <f t="shared" si="9"/>
        <v/>
      </c>
      <c r="J157" s="28">
        <f t="shared" si="10"/>
        <v>-0.6</v>
      </c>
      <c r="K157">
        <f t="shared" si="11"/>
        <v>112</v>
      </c>
    </row>
    <row r="158" spans="1:11">
      <c r="A158" s="3">
        <v>13</v>
      </c>
      <c r="B158" t="s">
        <v>112</v>
      </c>
      <c r="C158" t="s">
        <v>8</v>
      </c>
      <c r="E158" s="3">
        <f t="shared" si="8"/>
        <v>5</v>
      </c>
      <c r="F158" s="5">
        <v>43987.625</v>
      </c>
      <c r="G158" s="19" t="str">
        <f t="shared" si="9"/>
        <v/>
      </c>
      <c r="J158" s="28">
        <f t="shared" si="10"/>
        <v>-0.38095238095238093</v>
      </c>
      <c r="K158">
        <f t="shared" si="11"/>
        <v>104</v>
      </c>
    </row>
    <row r="159" spans="1:11">
      <c r="A159" s="3">
        <v>13</v>
      </c>
      <c r="B159" t="s">
        <v>113</v>
      </c>
      <c r="C159" t="s">
        <v>8</v>
      </c>
      <c r="E159" s="3">
        <f t="shared" si="8"/>
        <v>6</v>
      </c>
      <c r="F159" s="5">
        <v>43988.625</v>
      </c>
      <c r="G159" s="19" t="str">
        <f t="shared" si="9"/>
        <v/>
      </c>
      <c r="J159" s="28">
        <f t="shared" si="10"/>
        <v>0.30000000000000004</v>
      </c>
      <c r="K159">
        <f t="shared" si="11"/>
        <v>107</v>
      </c>
    </row>
    <row r="160" spans="1:11">
      <c r="A160" s="3">
        <v>4</v>
      </c>
      <c r="B160" t="s">
        <v>114</v>
      </c>
      <c r="C160" t="s">
        <v>8</v>
      </c>
      <c r="E160" s="3">
        <f t="shared" si="8"/>
        <v>7</v>
      </c>
      <c r="F160" s="5">
        <v>43989.625</v>
      </c>
      <c r="G160" s="19" t="str">
        <f t="shared" si="9"/>
        <v/>
      </c>
      <c r="J160" s="28">
        <f t="shared" si="10"/>
        <v>-0.66666666666666674</v>
      </c>
      <c r="K160">
        <f t="shared" si="11"/>
        <v>99</v>
      </c>
    </row>
    <row r="161" spans="1:11">
      <c r="A161" s="3">
        <v>10</v>
      </c>
      <c r="B161" t="s">
        <v>115</v>
      </c>
      <c r="C161" t="s">
        <v>8</v>
      </c>
      <c r="E161" s="3">
        <f t="shared" si="8"/>
        <v>1</v>
      </c>
      <c r="F161" s="5">
        <v>43990.625</v>
      </c>
      <c r="G161" s="19" t="str">
        <f t="shared" si="9"/>
        <v>2020-W24</v>
      </c>
      <c r="H161">
        <f>SUM(A161:A167)</f>
        <v>54</v>
      </c>
      <c r="I161" s="28">
        <f>H161/H154-1</f>
        <v>-0.45454545454545459</v>
      </c>
      <c r="J161" s="28">
        <f t="shared" si="10"/>
        <v>-0.41176470588235292</v>
      </c>
      <c r="K161">
        <f t="shared" si="11"/>
        <v>92</v>
      </c>
    </row>
    <row r="162" spans="1:11">
      <c r="A162" s="3">
        <v>8</v>
      </c>
      <c r="B162" t="s">
        <v>116</v>
      </c>
      <c r="C162" t="s">
        <v>8</v>
      </c>
      <c r="E162" s="3">
        <f t="shared" si="8"/>
        <v>2</v>
      </c>
      <c r="F162" s="5">
        <v>43991.625</v>
      </c>
      <c r="G162" s="19" t="str">
        <f t="shared" si="9"/>
        <v/>
      </c>
      <c r="J162" s="28">
        <f t="shared" si="10"/>
        <v>-0.46666666666666667</v>
      </c>
      <c r="K162">
        <f t="shared" si="11"/>
        <v>85</v>
      </c>
    </row>
    <row r="163" spans="1:11">
      <c r="A163" s="3">
        <v>7</v>
      </c>
      <c r="B163" t="s">
        <v>117</v>
      </c>
      <c r="C163" t="s">
        <v>8</v>
      </c>
      <c r="E163" s="3">
        <f t="shared" si="8"/>
        <v>3</v>
      </c>
      <c r="F163" s="5">
        <v>43992.625</v>
      </c>
      <c r="G163" s="19" t="str">
        <f t="shared" si="9"/>
        <v/>
      </c>
      <c r="J163" s="28">
        <f t="shared" si="10"/>
        <v>-0.72</v>
      </c>
      <c r="K163">
        <f t="shared" si="11"/>
        <v>67</v>
      </c>
    </row>
    <row r="164" spans="1:11">
      <c r="A164" s="3">
        <v>9</v>
      </c>
      <c r="B164" t="s">
        <v>118</v>
      </c>
      <c r="C164" t="s">
        <v>8</v>
      </c>
      <c r="E164" s="3">
        <f t="shared" si="8"/>
        <v>4</v>
      </c>
      <c r="F164" s="5">
        <v>43993.625</v>
      </c>
      <c r="G164" s="19" t="str">
        <f t="shared" si="9"/>
        <v/>
      </c>
      <c r="J164" s="28">
        <f t="shared" si="10"/>
        <v>-0.25</v>
      </c>
      <c r="K164">
        <f t="shared" si="11"/>
        <v>64</v>
      </c>
    </row>
    <row r="165" spans="1:11">
      <c r="A165" s="3">
        <v>13</v>
      </c>
      <c r="B165" t="s">
        <v>119</v>
      </c>
      <c r="C165" t="s">
        <v>8</v>
      </c>
      <c r="E165" s="3">
        <f t="shared" si="8"/>
        <v>5</v>
      </c>
      <c r="F165" s="5">
        <v>43994.625</v>
      </c>
      <c r="G165" s="19" t="str">
        <f t="shared" si="9"/>
        <v/>
      </c>
      <c r="J165" s="28">
        <f t="shared" si="10"/>
        <v>0</v>
      </c>
      <c r="K165">
        <f t="shared" si="11"/>
        <v>64</v>
      </c>
    </row>
    <row r="166" spans="1:11">
      <c r="A166" s="3">
        <v>2</v>
      </c>
      <c r="B166" t="s">
        <v>120</v>
      </c>
      <c r="C166" t="s">
        <v>8</v>
      </c>
      <c r="E166" s="3">
        <f t="shared" si="8"/>
        <v>6</v>
      </c>
      <c r="F166" s="5">
        <v>43995.625</v>
      </c>
      <c r="G166" s="19" t="str">
        <f t="shared" si="9"/>
        <v/>
      </c>
      <c r="J166" s="28">
        <f t="shared" si="10"/>
        <v>-0.84615384615384615</v>
      </c>
      <c r="K166">
        <f t="shared" si="11"/>
        <v>53</v>
      </c>
    </row>
    <row r="167" spans="1:11">
      <c r="A167" s="3">
        <v>5</v>
      </c>
      <c r="B167" t="s">
        <v>121</v>
      </c>
      <c r="C167" t="s">
        <v>8</v>
      </c>
      <c r="E167" s="3">
        <f t="shared" si="8"/>
        <v>7</v>
      </c>
      <c r="F167" s="5">
        <v>43996.625</v>
      </c>
      <c r="G167" s="19" t="str">
        <f t="shared" si="9"/>
        <v/>
      </c>
      <c r="J167" s="28">
        <f t="shared" si="10"/>
        <v>0.25</v>
      </c>
      <c r="K167">
        <f t="shared" si="11"/>
        <v>54</v>
      </c>
    </row>
    <row r="168" spans="1:11">
      <c r="A168" s="3">
        <v>16</v>
      </c>
      <c r="B168" t="s">
        <v>122</v>
      </c>
      <c r="C168" t="s">
        <v>8</v>
      </c>
      <c r="E168" s="3">
        <f t="shared" si="8"/>
        <v>1</v>
      </c>
      <c r="F168" s="5">
        <v>43997.625</v>
      </c>
      <c r="G168" s="19" t="str">
        <f t="shared" si="9"/>
        <v>2020-W25</v>
      </c>
      <c r="H168">
        <f>SUM(A168:A174)</f>
        <v>51</v>
      </c>
      <c r="I168" s="28">
        <f>H168/H161-1</f>
        <v>-5.555555555555558E-2</v>
      </c>
      <c r="J168" s="28">
        <f t="shared" si="10"/>
        <v>0.60000000000000009</v>
      </c>
      <c r="K168">
        <f t="shared" si="11"/>
        <v>60</v>
      </c>
    </row>
    <row r="169" spans="1:11">
      <c r="A169" s="3">
        <v>8</v>
      </c>
      <c r="B169" t="s">
        <v>123</v>
      </c>
      <c r="C169" t="s">
        <v>8</v>
      </c>
      <c r="E169" s="3">
        <f t="shared" si="8"/>
        <v>2</v>
      </c>
      <c r="F169" s="5">
        <v>43998.625</v>
      </c>
      <c r="G169" s="19" t="str">
        <f t="shared" si="9"/>
        <v/>
      </c>
      <c r="J169" s="28">
        <f t="shared" si="10"/>
        <v>0</v>
      </c>
      <c r="K169">
        <f t="shared" si="11"/>
        <v>60</v>
      </c>
    </row>
    <row r="170" spans="1:11">
      <c r="A170" s="3">
        <v>4</v>
      </c>
      <c r="B170" t="s">
        <v>124</v>
      </c>
      <c r="C170" t="s">
        <v>8</v>
      </c>
      <c r="E170" s="3">
        <f t="shared" si="8"/>
        <v>3</v>
      </c>
      <c r="F170" s="5">
        <v>43999.625</v>
      </c>
      <c r="G170" s="19" t="str">
        <f t="shared" si="9"/>
        <v/>
      </c>
      <c r="J170" s="28">
        <f t="shared" si="10"/>
        <v>-0.4285714285714286</v>
      </c>
      <c r="K170">
        <f t="shared" si="11"/>
        <v>57</v>
      </c>
    </row>
    <row r="171" spans="1:11">
      <c r="A171" s="3">
        <v>8</v>
      </c>
      <c r="B171" t="s">
        <v>125</v>
      </c>
      <c r="C171" t="s">
        <v>8</v>
      </c>
      <c r="E171" s="3">
        <f t="shared" si="8"/>
        <v>4</v>
      </c>
      <c r="F171" s="5">
        <v>44000.625</v>
      </c>
      <c r="G171" s="19" t="str">
        <f t="shared" si="9"/>
        <v/>
      </c>
      <c r="J171" s="28">
        <f t="shared" si="10"/>
        <v>-0.11111111111111116</v>
      </c>
      <c r="K171">
        <f t="shared" si="11"/>
        <v>56</v>
      </c>
    </row>
    <row r="172" spans="1:11" s="41" customFormat="1">
      <c r="A172" s="40">
        <v>0</v>
      </c>
      <c r="B172" s="41" t="s">
        <v>288</v>
      </c>
      <c r="C172" s="41" t="s">
        <v>8</v>
      </c>
      <c r="E172" s="40">
        <f t="shared" si="8"/>
        <v>5</v>
      </c>
      <c r="F172" s="42">
        <v>44001.625</v>
      </c>
      <c r="G172" s="43" t="str">
        <f t="shared" si="9"/>
        <v/>
      </c>
      <c r="J172" s="44">
        <f t="shared" si="10"/>
        <v>-1</v>
      </c>
      <c r="K172">
        <f t="shared" si="11"/>
        <v>43</v>
      </c>
    </row>
    <row r="173" spans="1:11">
      <c r="A173" s="3">
        <v>2</v>
      </c>
      <c r="B173" t="s">
        <v>126</v>
      </c>
      <c r="C173" t="s">
        <v>8</v>
      </c>
      <c r="E173" s="3">
        <f t="shared" si="8"/>
        <v>6</v>
      </c>
      <c r="F173" s="5">
        <v>44002.625</v>
      </c>
      <c r="G173" s="19" t="str">
        <f t="shared" si="9"/>
        <v/>
      </c>
      <c r="J173" s="28">
        <f t="shared" si="10"/>
        <v>0</v>
      </c>
      <c r="K173">
        <f t="shared" si="11"/>
        <v>43</v>
      </c>
    </row>
    <row r="174" spans="1:11">
      <c r="A174" s="3">
        <v>13</v>
      </c>
      <c r="B174" t="s">
        <v>127</v>
      </c>
      <c r="C174" t="s">
        <v>8</v>
      </c>
      <c r="E174" s="3">
        <f t="shared" si="8"/>
        <v>7</v>
      </c>
      <c r="F174" s="5">
        <v>44003.625</v>
      </c>
      <c r="G174" s="19" t="str">
        <f t="shared" si="9"/>
        <v/>
      </c>
      <c r="J174" s="28">
        <f t="shared" si="10"/>
        <v>1.6</v>
      </c>
      <c r="K174">
        <f t="shared" si="11"/>
        <v>51</v>
      </c>
    </row>
    <row r="175" spans="1:11">
      <c r="A175" s="3">
        <v>5</v>
      </c>
      <c r="B175" t="s">
        <v>128</v>
      </c>
      <c r="C175" t="s">
        <v>8</v>
      </c>
      <c r="E175" s="3">
        <f t="shared" si="8"/>
        <v>1</v>
      </c>
      <c r="F175" s="5">
        <v>44004.625</v>
      </c>
      <c r="G175" s="19" t="str">
        <f t="shared" si="9"/>
        <v>2020-W26</v>
      </c>
      <c r="H175">
        <f>SUM(A175:A181)</f>
        <v>53</v>
      </c>
      <c r="I175" s="28">
        <f>H175/H168-1</f>
        <v>3.9215686274509887E-2</v>
      </c>
      <c r="J175" s="28">
        <f t="shared" si="10"/>
        <v>-0.6875</v>
      </c>
      <c r="K175">
        <f t="shared" si="11"/>
        <v>40</v>
      </c>
    </row>
    <row r="176" spans="1:11">
      <c r="A176" s="3">
        <v>5</v>
      </c>
      <c r="B176" t="s">
        <v>129</v>
      </c>
      <c r="C176" t="s">
        <v>8</v>
      </c>
      <c r="E176" s="3">
        <f t="shared" si="8"/>
        <v>2</v>
      </c>
      <c r="F176" s="5">
        <v>44005.625</v>
      </c>
      <c r="G176" s="19" t="str">
        <f t="shared" si="9"/>
        <v/>
      </c>
      <c r="J176" s="28">
        <f t="shared" si="10"/>
        <v>-0.375</v>
      </c>
      <c r="K176">
        <f t="shared" si="11"/>
        <v>37</v>
      </c>
    </row>
    <row r="177" spans="1:11">
      <c r="A177" s="3">
        <v>17</v>
      </c>
      <c r="B177" t="s">
        <v>130</v>
      </c>
      <c r="C177" t="s">
        <v>8</v>
      </c>
      <c r="E177" s="3">
        <f t="shared" si="8"/>
        <v>3</v>
      </c>
      <c r="F177" s="5">
        <v>44006.625</v>
      </c>
      <c r="G177" s="19" t="str">
        <f t="shared" si="9"/>
        <v/>
      </c>
      <c r="J177" s="28">
        <f t="shared" si="10"/>
        <v>3.25</v>
      </c>
      <c r="K177">
        <f t="shared" si="11"/>
        <v>50</v>
      </c>
    </row>
    <row r="178" spans="1:11">
      <c r="A178" s="3">
        <v>14</v>
      </c>
      <c r="B178" t="s">
        <v>131</v>
      </c>
      <c r="C178" t="s">
        <v>8</v>
      </c>
      <c r="E178" s="3">
        <f t="shared" si="8"/>
        <v>4</v>
      </c>
      <c r="F178" s="5">
        <v>44007.625</v>
      </c>
      <c r="G178" s="19" t="str">
        <f t="shared" si="9"/>
        <v/>
      </c>
      <c r="J178" s="28">
        <f t="shared" si="10"/>
        <v>0.75</v>
      </c>
      <c r="K178">
        <f t="shared" si="11"/>
        <v>56</v>
      </c>
    </row>
    <row r="179" spans="1:11">
      <c r="A179" s="3">
        <v>3</v>
      </c>
      <c r="B179" t="s">
        <v>132</v>
      </c>
      <c r="C179" t="s">
        <v>8</v>
      </c>
      <c r="E179" s="3">
        <f t="shared" si="8"/>
        <v>5</v>
      </c>
      <c r="F179" s="5">
        <v>44008.625</v>
      </c>
      <c r="G179" s="19" t="str">
        <f t="shared" si="9"/>
        <v/>
      </c>
      <c r="J179" s="28" t="e">
        <f t="shared" si="10"/>
        <v>#DIV/0!</v>
      </c>
      <c r="K179">
        <f t="shared" si="11"/>
        <v>59</v>
      </c>
    </row>
    <row r="180" spans="1:11">
      <c r="A180" s="3">
        <v>2</v>
      </c>
      <c r="B180" t="s">
        <v>133</v>
      </c>
      <c r="C180" t="s">
        <v>8</v>
      </c>
      <c r="E180" s="3">
        <f t="shared" si="8"/>
        <v>6</v>
      </c>
      <c r="F180" s="5">
        <v>44009.625</v>
      </c>
      <c r="G180" s="19" t="str">
        <f t="shared" si="9"/>
        <v/>
      </c>
      <c r="J180" s="28">
        <f t="shared" si="10"/>
        <v>0</v>
      </c>
      <c r="K180">
        <f t="shared" si="11"/>
        <v>59</v>
      </c>
    </row>
    <row r="181" spans="1:11">
      <c r="A181" s="3">
        <v>7</v>
      </c>
      <c r="B181" t="s">
        <v>134</v>
      </c>
      <c r="C181" t="s">
        <v>8</v>
      </c>
      <c r="E181" s="3">
        <f t="shared" si="8"/>
        <v>7</v>
      </c>
      <c r="F181" s="5">
        <v>44010.625</v>
      </c>
      <c r="G181" s="19" t="str">
        <f t="shared" si="9"/>
        <v/>
      </c>
      <c r="J181" s="28">
        <f t="shared" si="10"/>
        <v>-0.46153846153846156</v>
      </c>
      <c r="K181">
        <f t="shared" si="11"/>
        <v>53</v>
      </c>
    </row>
    <row r="182" spans="1:11">
      <c r="A182" s="3">
        <v>16</v>
      </c>
      <c r="B182" t="s">
        <v>135</v>
      </c>
      <c r="C182" t="s">
        <v>8</v>
      </c>
      <c r="E182" s="3">
        <f t="shared" si="8"/>
        <v>1</v>
      </c>
      <c r="F182" s="5">
        <v>44011.625</v>
      </c>
      <c r="G182" s="19" t="str">
        <f t="shared" si="9"/>
        <v>2020-W27</v>
      </c>
      <c r="H182">
        <f>SUM(A182:A188)</f>
        <v>46</v>
      </c>
      <c r="I182" s="28">
        <f>H182/H175-1</f>
        <v>-0.13207547169811318</v>
      </c>
      <c r="J182" s="28">
        <f t="shared" si="10"/>
        <v>2.2000000000000002</v>
      </c>
      <c r="K182">
        <f t="shared" si="11"/>
        <v>64</v>
      </c>
    </row>
    <row r="183" spans="1:11">
      <c r="A183" s="3">
        <v>10</v>
      </c>
      <c r="B183" t="s">
        <v>136</v>
      </c>
      <c r="C183" t="s">
        <v>8</v>
      </c>
      <c r="E183" s="3">
        <f t="shared" si="8"/>
        <v>2</v>
      </c>
      <c r="F183" s="5">
        <v>44012.625</v>
      </c>
      <c r="G183" s="19" t="str">
        <f t="shared" si="9"/>
        <v/>
      </c>
      <c r="J183" s="28">
        <f t="shared" si="10"/>
        <v>1</v>
      </c>
      <c r="K183">
        <f t="shared" si="11"/>
        <v>69</v>
      </c>
    </row>
    <row r="184" spans="1:11">
      <c r="A184" s="3">
        <v>2</v>
      </c>
      <c r="B184" t="s">
        <v>137</v>
      </c>
      <c r="C184" t="s">
        <v>8</v>
      </c>
      <c r="E184" s="3">
        <f t="shared" si="8"/>
        <v>3</v>
      </c>
      <c r="F184" s="5">
        <v>44013.625</v>
      </c>
      <c r="G184" s="19" t="str">
        <f t="shared" si="9"/>
        <v/>
      </c>
      <c r="J184" s="28">
        <f t="shared" si="10"/>
        <v>-0.88235294117647056</v>
      </c>
      <c r="K184">
        <f t="shared" si="11"/>
        <v>54</v>
      </c>
    </row>
    <row r="185" spans="1:11">
      <c r="A185" s="3">
        <v>7</v>
      </c>
      <c r="B185" t="s">
        <v>138</v>
      </c>
      <c r="C185" t="s">
        <v>8</v>
      </c>
      <c r="E185" s="3">
        <f t="shared" si="8"/>
        <v>4</v>
      </c>
      <c r="F185" s="5">
        <v>44014.625</v>
      </c>
      <c r="G185" s="19" t="str">
        <f t="shared" si="9"/>
        <v/>
      </c>
      <c r="J185" s="28">
        <f t="shared" si="10"/>
        <v>-0.5</v>
      </c>
      <c r="K185">
        <f t="shared" si="11"/>
        <v>47</v>
      </c>
    </row>
    <row r="186" spans="1:11">
      <c r="A186" s="3">
        <v>6</v>
      </c>
      <c r="B186" t="s">
        <v>139</v>
      </c>
      <c r="C186" t="s">
        <v>8</v>
      </c>
      <c r="E186" s="3">
        <f t="shared" si="8"/>
        <v>5</v>
      </c>
      <c r="F186" s="5">
        <v>44015.625</v>
      </c>
      <c r="G186" s="19" t="str">
        <f t="shared" si="9"/>
        <v/>
      </c>
      <c r="J186" s="28">
        <f t="shared" si="10"/>
        <v>1</v>
      </c>
      <c r="K186">
        <f t="shared" si="11"/>
        <v>50</v>
      </c>
    </row>
    <row r="187" spans="1:11">
      <c r="A187" s="3">
        <v>2</v>
      </c>
      <c r="B187" t="s">
        <v>140</v>
      </c>
      <c r="C187" t="s">
        <v>8</v>
      </c>
      <c r="E187" s="3">
        <f t="shared" si="8"/>
        <v>6</v>
      </c>
      <c r="F187" s="5">
        <v>44016.625</v>
      </c>
      <c r="G187" s="19" t="str">
        <f t="shared" si="9"/>
        <v/>
      </c>
      <c r="J187" s="28">
        <f t="shared" si="10"/>
        <v>0</v>
      </c>
      <c r="K187">
        <f t="shared" si="11"/>
        <v>50</v>
      </c>
    </row>
    <row r="188" spans="1:11">
      <c r="A188" s="3">
        <v>3</v>
      </c>
      <c r="B188" t="s">
        <v>141</v>
      </c>
      <c r="C188" t="s">
        <v>8</v>
      </c>
      <c r="E188" s="3">
        <f t="shared" si="8"/>
        <v>7</v>
      </c>
      <c r="F188" s="5">
        <v>44017.625</v>
      </c>
      <c r="G188" s="19" t="str">
        <f t="shared" si="9"/>
        <v/>
      </c>
      <c r="J188" s="28">
        <f t="shared" si="10"/>
        <v>-0.5714285714285714</v>
      </c>
      <c r="K188">
        <f t="shared" si="11"/>
        <v>46</v>
      </c>
    </row>
    <row r="189" spans="1:11" s="41" customFormat="1">
      <c r="A189" s="40">
        <v>8</v>
      </c>
      <c r="B189" s="41" t="s">
        <v>142</v>
      </c>
      <c r="C189" s="41" t="s">
        <v>8</v>
      </c>
      <c r="E189" s="40">
        <f t="shared" si="8"/>
        <v>1</v>
      </c>
      <c r="F189" s="42">
        <v>44018.625</v>
      </c>
      <c r="G189" s="43" t="str">
        <f t="shared" si="9"/>
        <v>2020-W28</v>
      </c>
      <c r="H189" s="41">
        <f>SUM(A189:A195)</f>
        <v>38</v>
      </c>
      <c r="I189" s="44">
        <f>H189/H182-1</f>
        <v>-0.17391304347826086</v>
      </c>
      <c r="J189" s="44">
        <f t="shared" si="10"/>
        <v>-0.5</v>
      </c>
      <c r="K189">
        <f t="shared" si="11"/>
        <v>38</v>
      </c>
    </row>
    <row r="190" spans="1:11">
      <c r="A190" s="3">
        <v>3</v>
      </c>
      <c r="B190" t="s">
        <v>143</v>
      </c>
      <c r="C190" t="s">
        <v>8</v>
      </c>
      <c r="E190" s="3">
        <f t="shared" si="8"/>
        <v>2</v>
      </c>
      <c r="F190" s="5">
        <v>44019.625</v>
      </c>
      <c r="G190" s="19" t="str">
        <f t="shared" si="9"/>
        <v/>
      </c>
      <c r="J190" s="28">
        <f t="shared" si="10"/>
        <v>-0.7</v>
      </c>
      <c r="K190">
        <f t="shared" si="11"/>
        <v>31</v>
      </c>
    </row>
    <row r="191" spans="1:11">
      <c r="A191" s="3">
        <v>9</v>
      </c>
      <c r="B191" t="s">
        <v>144</v>
      </c>
      <c r="C191" t="s">
        <v>8</v>
      </c>
      <c r="E191" s="3">
        <f t="shared" si="8"/>
        <v>3</v>
      </c>
      <c r="F191" s="5">
        <v>44020.625</v>
      </c>
      <c r="G191" s="19" t="str">
        <f t="shared" si="9"/>
        <v/>
      </c>
      <c r="J191" s="28">
        <f t="shared" si="10"/>
        <v>3.5</v>
      </c>
      <c r="K191">
        <f t="shared" si="11"/>
        <v>38</v>
      </c>
    </row>
    <row r="192" spans="1:11">
      <c r="A192" s="3">
        <v>8</v>
      </c>
      <c r="B192" t="s">
        <v>145</v>
      </c>
      <c r="C192" t="s">
        <v>8</v>
      </c>
      <c r="E192" s="3">
        <f t="shared" si="8"/>
        <v>4</v>
      </c>
      <c r="F192" s="5">
        <v>44021.625</v>
      </c>
      <c r="G192" s="19" t="str">
        <f t="shared" si="9"/>
        <v/>
      </c>
      <c r="J192" s="28">
        <f t="shared" si="10"/>
        <v>0.14285714285714279</v>
      </c>
      <c r="K192">
        <f t="shared" si="11"/>
        <v>39</v>
      </c>
    </row>
    <row r="193" spans="1:11">
      <c r="A193" s="3">
        <v>6</v>
      </c>
      <c r="B193" t="s">
        <v>146</v>
      </c>
      <c r="C193" t="s">
        <v>8</v>
      </c>
      <c r="E193" s="3">
        <f t="shared" si="8"/>
        <v>5</v>
      </c>
      <c r="F193" s="5">
        <v>44022.625</v>
      </c>
      <c r="G193" s="19" t="str">
        <f t="shared" si="9"/>
        <v/>
      </c>
      <c r="J193" s="28">
        <f t="shared" si="10"/>
        <v>0</v>
      </c>
      <c r="K193">
        <f t="shared" si="11"/>
        <v>39</v>
      </c>
    </row>
    <row r="194" spans="1:11">
      <c r="A194" s="3">
        <v>0</v>
      </c>
      <c r="B194" t="s">
        <v>289</v>
      </c>
      <c r="C194" t="s">
        <v>8</v>
      </c>
      <c r="E194" s="3">
        <f t="shared" si="8"/>
        <v>6</v>
      </c>
      <c r="F194" s="5">
        <v>44023.625</v>
      </c>
      <c r="G194" s="19" t="str">
        <f t="shared" si="9"/>
        <v/>
      </c>
      <c r="J194" s="28">
        <f t="shared" si="10"/>
        <v>-1</v>
      </c>
      <c r="K194">
        <f t="shared" si="11"/>
        <v>37</v>
      </c>
    </row>
    <row r="195" spans="1:11">
      <c r="A195" s="3">
        <v>4</v>
      </c>
      <c r="B195" t="s">
        <v>147</v>
      </c>
      <c r="C195" t="s">
        <v>8</v>
      </c>
      <c r="E195" s="3">
        <f t="shared" ref="E195:E258" si="12">WEEKDAY(F195,2)</f>
        <v>7</v>
      </c>
      <c r="F195" s="5">
        <v>44024.625</v>
      </c>
      <c r="G195" s="19" t="str">
        <f t="shared" ref="G195:G258" si="13">IF(WEEKDAY(F195,2)=1,YEAR(F195)&amp;"-W"&amp;TEXT(WEEKNUM(F195,14),"00"),"")</f>
        <v/>
      </c>
      <c r="J195" s="28">
        <f t="shared" si="10"/>
        <v>0.33333333333333326</v>
      </c>
      <c r="K195">
        <f t="shared" si="11"/>
        <v>38</v>
      </c>
    </row>
    <row r="196" spans="1:11">
      <c r="A196" s="3">
        <v>6</v>
      </c>
      <c r="B196" t="s">
        <v>148</v>
      </c>
      <c r="C196" t="s">
        <v>8</v>
      </c>
      <c r="E196" s="3">
        <f t="shared" si="12"/>
        <v>1</v>
      </c>
      <c r="F196" s="5">
        <v>44025.625</v>
      </c>
      <c r="G196" s="19" t="str">
        <f t="shared" si="13"/>
        <v>2020-W29</v>
      </c>
      <c r="H196">
        <f>SUM(A196:A202)</f>
        <v>43</v>
      </c>
      <c r="I196" s="28">
        <f>H196/H189-1</f>
        <v>0.13157894736842102</v>
      </c>
      <c r="J196" s="28">
        <f t="shared" si="10"/>
        <v>-0.25</v>
      </c>
      <c r="K196">
        <f t="shared" si="11"/>
        <v>36</v>
      </c>
    </row>
    <row r="197" spans="1:11">
      <c r="A197" s="3">
        <v>5</v>
      </c>
      <c r="B197" t="s">
        <v>149</v>
      </c>
      <c r="C197" t="s">
        <v>8</v>
      </c>
      <c r="E197" s="3">
        <f t="shared" si="12"/>
        <v>2</v>
      </c>
      <c r="F197" s="5">
        <v>44026.625</v>
      </c>
      <c r="G197" s="19" t="str">
        <f t="shared" si="13"/>
        <v/>
      </c>
      <c r="J197" s="28">
        <f t="shared" si="10"/>
        <v>0.66666666666666674</v>
      </c>
      <c r="K197">
        <f t="shared" si="11"/>
        <v>38</v>
      </c>
    </row>
    <row r="198" spans="1:11">
      <c r="A198" s="3">
        <v>5</v>
      </c>
      <c r="B198" t="s">
        <v>150</v>
      </c>
      <c r="C198" t="s">
        <v>8</v>
      </c>
      <c r="E198" s="3">
        <f t="shared" si="12"/>
        <v>3</v>
      </c>
      <c r="F198" s="5">
        <v>44027.625</v>
      </c>
      <c r="G198" s="19" t="str">
        <f t="shared" si="13"/>
        <v/>
      </c>
      <c r="J198" s="28">
        <f t="shared" si="10"/>
        <v>-0.44444444444444442</v>
      </c>
      <c r="K198">
        <f t="shared" si="11"/>
        <v>34</v>
      </c>
    </row>
    <row r="199" spans="1:11">
      <c r="A199" s="3">
        <v>9</v>
      </c>
      <c r="B199" t="s">
        <v>151</v>
      </c>
      <c r="C199" t="s">
        <v>8</v>
      </c>
      <c r="E199" s="3">
        <f t="shared" si="12"/>
        <v>4</v>
      </c>
      <c r="F199" s="5">
        <v>44028.625</v>
      </c>
      <c r="G199" s="19" t="str">
        <f t="shared" si="13"/>
        <v/>
      </c>
      <c r="J199" s="28">
        <f t="shared" si="10"/>
        <v>0.125</v>
      </c>
      <c r="K199">
        <f t="shared" si="11"/>
        <v>35</v>
      </c>
    </row>
    <row r="200" spans="1:11">
      <c r="A200" s="3">
        <v>6</v>
      </c>
      <c r="B200" t="s">
        <v>152</v>
      </c>
      <c r="C200" t="s">
        <v>8</v>
      </c>
      <c r="E200" s="3">
        <f t="shared" si="12"/>
        <v>5</v>
      </c>
      <c r="F200" s="5">
        <v>44029.625</v>
      </c>
      <c r="G200" s="19" t="str">
        <f t="shared" si="13"/>
        <v/>
      </c>
      <c r="J200" s="28">
        <f t="shared" si="10"/>
        <v>0</v>
      </c>
      <c r="K200">
        <f t="shared" si="11"/>
        <v>35</v>
      </c>
    </row>
    <row r="201" spans="1:11">
      <c r="A201" s="3">
        <v>7</v>
      </c>
      <c r="B201" t="s">
        <v>153</v>
      </c>
      <c r="C201" t="s">
        <v>8</v>
      </c>
      <c r="E201" s="3">
        <f t="shared" si="12"/>
        <v>6</v>
      </c>
      <c r="F201" s="5">
        <v>44030.625</v>
      </c>
      <c r="G201" s="19" t="str">
        <f t="shared" si="13"/>
        <v/>
      </c>
      <c r="J201" s="28" t="e">
        <f t="shared" ref="J201:J264" si="14">A201/A194-1</f>
        <v>#DIV/0!</v>
      </c>
      <c r="K201">
        <f t="shared" si="11"/>
        <v>42</v>
      </c>
    </row>
    <row r="202" spans="1:11">
      <c r="A202" s="3">
        <v>5</v>
      </c>
      <c r="B202" t="s">
        <v>154</v>
      </c>
      <c r="C202" t="s">
        <v>8</v>
      </c>
      <c r="E202" s="3">
        <f t="shared" si="12"/>
        <v>7</v>
      </c>
      <c r="F202" s="5">
        <v>44031.625</v>
      </c>
      <c r="G202" s="19" t="str">
        <f t="shared" si="13"/>
        <v/>
      </c>
      <c r="J202" s="28">
        <f t="shared" si="14"/>
        <v>0.25</v>
      </c>
      <c r="K202">
        <f t="shared" si="11"/>
        <v>43</v>
      </c>
    </row>
    <row r="203" spans="1:11">
      <c r="A203" s="3">
        <v>12</v>
      </c>
      <c r="B203" t="s">
        <v>155</v>
      </c>
      <c r="C203" t="s">
        <v>8</v>
      </c>
      <c r="E203" s="3">
        <f t="shared" si="12"/>
        <v>1</v>
      </c>
      <c r="F203" s="5">
        <v>44032.625</v>
      </c>
      <c r="G203" s="19" t="str">
        <f t="shared" si="13"/>
        <v>2020-W30</v>
      </c>
      <c r="H203">
        <f>SUM(A203:A209)</f>
        <v>56</v>
      </c>
      <c r="I203" s="28">
        <f>H203/H196-1</f>
        <v>0.30232558139534893</v>
      </c>
      <c r="J203" s="28">
        <f t="shared" si="14"/>
        <v>1</v>
      </c>
      <c r="K203">
        <f t="shared" si="11"/>
        <v>49</v>
      </c>
    </row>
    <row r="204" spans="1:11">
      <c r="A204" s="3">
        <v>8</v>
      </c>
      <c r="B204" t="s">
        <v>156</v>
      </c>
      <c r="C204" t="s">
        <v>8</v>
      </c>
      <c r="E204" s="3">
        <f t="shared" si="12"/>
        <v>2</v>
      </c>
      <c r="F204" s="5">
        <v>44033.625</v>
      </c>
      <c r="G204" s="19" t="str">
        <f t="shared" si="13"/>
        <v/>
      </c>
      <c r="J204" s="28">
        <f t="shared" si="14"/>
        <v>0.60000000000000009</v>
      </c>
      <c r="K204">
        <f t="shared" si="11"/>
        <v>52</v>
      </c>
    </row>
    <row r="205" spans="1:11">
      <c r="A205" s="3">
        <v>11</v>
      </c>
      <c r="B205" t="s">
        <v>157</v>
      </c>
      <c r="C205" t="s">
        <v>8</v>
      </c>
      <c r="E205" s="3">
        <f t="shared" si="12"/>
        <v>3</v>
      </c>
      <c r="F205" s="5">
        <v>44034.625</v>
      </c>
      <c r="G205" s="19" t="str">
        <f t="shared" si="13"/>
        <v/>
      </c>
      <c r="J205" s="28">
        <f t="shared" si="14"/>
        <v>1.2000000000000002</v>
      </c>
      <c r="K205">
        <f t="shared" si="11"/>
        <v>58</v>
      </c>
    </row>
    <row r="206" spans="1:11">
      <c r="A206" s="3">
        <v>3</v>
      </c>
      <c r="B206" t="s">
        <v>158</v>
      </c>
      <c r="C206" t="s">
        <v>8</v>
      </c>
      <c r="E206" s="3">
        <f t="shared" si="12"/>
        <v>4</v>
      </c>
      <c r="F206" s="5">
        <v>44035.625</v>
      </c>
      <c r="G206" s="19" t="str">
        <f t="shared" si="13"/>
        <v/>
      </c>
      <c r="J206" s="28">
        <f t="shared" si="14"/>
        <v>-0.66666666666666674</v>
      </c>
      <c r="K206">
        <f t="shared" si="11"/>
        <v>52</v>
      </c>
    </row>
    <row r="207" spans="1:11">
      <c r="A207" s="3">
        <v>10</v>
      </c>
      <c r="B207" t="s">
        <v>159</v>
      </c>
      <c r="C207" t="s">
        <v>8</v>
      </c>
      <c r="E207" s="3">
        <f t="shared" si="12"/>
        <v>5</v>
      </c>
      <c r="F207" s="5">
        <v>44036.625</v>
      </c>
      <c r="G207" s="19" t="str">
        <f t="shared" si="13"/>
        <v/>
      </c>
      <c r="J207" s="28">
        <f t="shared" si="14"/>
        <v>0.66666666666666674</v>
      </c>
      <c r="K207">
        <f t="shared" si="11"/>
        <v>56</v>
      </c>
    </row>
    <row r="208" spans="1:11">
      <c r="A208" s="3">
        <v>4</v>
      </c>
      <c r="B208" t="s">
        <v>160</v>
      </c>
      <c r="C208" t="s">
        <v>8</v>
      </c>
      <c r="E208" s="3">
        <f t="shared" si="12"/>
        <v>6</v>
      </c>
      <c r="F208" s="5">
        <v>44037.625</v>
      </c>
      <c r="G208" s="19" t="str">
        <f t="shared" si="13"/>
        <v/>
      </c>
      <c r="J208" s="28">
        <f t="shared" si="14"/>
        <v>-0.4285714285714286</v>
      </c>
      <c r="K208">
        <f t="shared" si="11"/>
        <v>53</v>
      </c>
    </row>
    <row r="209" spans="1:11">
      <c r="A209" s="3">
        <v>8</v>
      </c>
      <c r="B209" t="s">
        <v>161</v>
      </c>
      <c r="C209" t="s">
        <v>8</v>
      </c>
      <c r="E209" s="3">
        <f t="shared" si="12"/>
        <v>7</v>
      </c>
      <c r="F209" s="5">
        <v>44038.625</v>
      </c>
      <c r="G209" s="19" t="str">
        <f t="shared" si="13"/>
        <v/>
      </c>
      <c r="J209" s="28">
        <f t="shared" si="14"/>
        <v>0.60000000000000009</v>
      </c>
      <c r="K209">
        <f t="shared" si="11"/>
        <v>56</v>
      </c>
    </row>
    <row r="210" spans="1:11">
      <c r="A210" s="3">
        <v>12</v>
      </c>
      <c r="B210" t="s">
        <v>162</v>
      </c>
      <c r="C210" t="s">
        <v>8</v>
      </c>
      <c r="E210" s="3">
        <f t="shared" si="12"/>
        <v>1</v>
      </c>
      <c r="F210" s="5">
        <v>44039.625</v>
      </c>
      <c r="G210" s="19" t="str">
        <f t="shared" si="13"/>
        <v>2020-W31</v>
      </c>
      <c r="H210">
        <f>SUM(A210:A216)</f>
        <v>84</v>
      </c>
      <c r="I210" s="28">
        <f>H210/H203-1</f>
        <v>0.5</v>
      </c>
      <c r="J210" s="28">
        <f t="shared" si="14"/>
        <v>0</v>
      </c>
      <c r="K210">
        <f t="shared" si="11"/>
        <v>56</v>
      </c>
    </row>
    <row r="211" spans="1:11">
      <c r="A211" s="3">
        <v>9</v>
      </c>
      <c r="B211" t="s">
        <v>163</v>
      </c>
      <c r="C211" t="s">
        <v>8</v>
      </c>
      <c r="E211" s="3">
        <f t="shared" si="12"/>
        <v>2</v>
      </c>
      <c r="F211" s="5">
        <v>44040.625</v>
      </c>
      <c r="G211" s="19" t="str">
        <f t="shared" si="13"/>
        <v/>
      </c>
      <c r="J211" s="28">
        <f t="shared" si="14"/>
        <v>0.125</v>
      </c>
      <c r="K211">
        <f t="shared" si="11"/>
        <v>57</v>
      </c>
    </row>
    <row r="212" spans="1:11">
      <c r="A212" s="3">
        <v>12</v>
      </c>
      <c r="B212" t="s">
        <v>164</v>
      </c>
      <c r="C212" t="s">
        <v>8</v>
      </c>
      <c r="E212" s="3">
        <f t="shared" si="12"/>
        <v>3</v>
      </c>
      <c r="F212" s="5">
        <v>44041.625</v>
      </c>
      <c r="G212" s="19" t="str">
        <f t="shared" si="13"/>
        <v/>
      </c>
      <c r="J212" s="28">
        <f t="shared" si="14"/>
        <v>9.0909090909090828E-2</v>
      </c>
      <c r="K212">
        <f t="shared" si="11"/>
        <v>58</v>
      </c>
    </row>
    <row r="213" spans="1:11">
      <c r="A213" s="3">
        <v>8</v>
      </c>
      <c r="B213" t="s">
        <v>165</v>
      </c>
      <c r="C213" t="s">
        <v>8</v>
      </c>
      <c r="E213" s="3">
        <f t="shared" si="12"/>
        <v>4</v>
      </c>
      <c r="F213" s="5">
        <v>44042.625</v>
      </c>
      <c r="G213" s="19" t="str">
        <f t="shared" si="13"/>
        <v/>
      </c>
      <c r="J213" s="28">
        <f t="shared" si="14"/>
        <v>1.6666666666666665</v>
      </c>
      <c r="K213">
        <f t="shared" ref="K213:K276" si="15">SUM(A207:A213)</f>
        <v>63</v>
      </c>
    </row>
    <row r="214" spans="1:11">
      <c r="A214" s="3">
        <v>18</v>
      </c>
      <c r="B214" t="s">
        <v>166</v>
      </c>
      <c r="C214" t="s">
        <v>8</v>
      </c>
      <c r="E214" s="3">
        <f t="shared" si="12"/>
        <v>5</v>
      </c>
      <c r="F214" s="5">
        <v>44043.625</v>
      </c>
      <c r="G214" s="19" t="str">
        <f t="shared" si="13"/>
        <v/>
      </c>
      <c r="J214" s="28">
        <f t="shared" si="14"/>
        <v>0.8</v>
      </c>
      <c r="K214">
        <f t="shared" si="15"/>
        <v>71</v>
      </c>
    </row>
    <row r="215" spans="1:11">
      <c r="A215" s="3">
        <v>15</v>
      </c>
      <c r="B215" t="s">
        <v>167</v>
      </c>
      <c r="C215" t="s">
        <v>8</v>
      </c>
      <c r="E215" s="3">
        <f t="shared" si="12"/>
        <v>6</v>
      </c>
      <c r="F215" s="5">
        <v>44044.625</v>
      </c>
      <c r="G215" s="19" t="str">
        <f t="shared" si="13"/>
        <v/>
      </c>
      <c r="J215" s="28">
        <f t="shared" si="14"/>
        <v>2.75</v>
      </c>
      <c r="K215">
        <f t="shared" si="15"/>
        <v>82</v>
      </c>
    </row>
    <row r="216" spans="1:11">
      <c r="A216" s="3">
        <v>10</v>
      </c>
      <c r="B216" t="s">
        <v>168</v>
      </c>
      <c r="C216" t="s">
        <v>8</v>
      </c>
      <c r="E216" s="3">
        <f t="shared" si="12"/>
        <v>7</v>
      </c>
      <c r="F216" s="5">
        <v>44045.625</v>
      </c>
      <c r="G216" s="19" t="str">
        <f t="shared" si="13"/>
        <v/>
      </c>
      <c r="J216" s="28">
        <f t="shared" si="14"/>
        <v>0.25</v>
      </c>
      <c r="K216">
        <f t="shared" si="15"/>
        <v>84</v>
      </c>
    </row>
    <row r="217" spans="1:11">
      <c r="A217" s="3">
        <v>35</v>
      </c>
      <c r="B217" t="s">
        <v>169</v>
      </c>
      <c r="C217" t="s">
        <v>8</v>
      </c>
      <c r="E217" s="3">
        <f t="shared" si="12"/>
        <v>1</v>
      </c>
      <c r="F217" s="5">
        <v>44046.625</v>
      </c>
      <c r="G217" s="19" t="str">
        <f t="shared" si="13"/>
        <v>2020-W32</v>
      </c>
      <c r="H217">
        <f>SUM(A217:A223)</f>
        <v>169</v>
      </c>
      <c r="I217" s="28">
        <f>H217/H210-1</f>
        <v>1.0119047619047619</v>
      </c>
      <c r="J217" s="28">
        <f t="shared" si="14"/>
        <v>1.9166666666666665</v>
      </c>
      <c r="K217">
        <f t="shared" si="15"/>
        <v>107</v>
      </c>
    </row>
    <row r="218" spans="1:11">
      <c r="A218" s="3">
        <v>22</v>
      </c>
      <c r="B218" t="s">
        <v>170</v>
      </c>
      <c r="C218" t="s">
        <v>8</v>
      </c>
      <c r="E218" s="3">
        <f t="shared" si="12"/>
        <v>2</v>
      </c>
      <c r="F218" s="5">
        <v>44047.625</v>
      </c>
      <c r="G218" s="19" t="str">
        <f t="shared" si="13"/>
        <v/>
      </c>
      <c r="J218" s="28">
        <f t="shared" si="14"/>
        <v>1.4444444444444446</v>
      </c>
      <c r="K218">
        <f t="shared" si="15"/>
        <v>120</v>
      </c>
    </row>
    <row r="219" spans="1:11">
      <c r="A219" s="3">
        <v>29</v>
      </c>
      <c r="B219" t="s">
        <v>171</v>
      </c>
      <c r="C219" t="s">
        <v>8</v>
      </c>
      <c r="E219" s="3">
        <f t="shared" si="12"/>
        <v>3</v>
      </c>
      <c r="F219" s="5">
        <v>44048.625</v>
      </c>
      <c r="G219" s="19" t="str">
        <f t="shared" si="13"/>
        <v/>
      </c>
      <c r="J219" s="28">
        <f t="shared" si="14"/>
        <v>1.4166666666666665</v>
      </c>
      <c r="K219">
        <f t="shared" si="15"/>
        <v>137</v>
      </c>
    </row>
    <row r="220" spans="1:11">
      <c r="A220" s="3">
        <v>22</v>
      </c>
      <c r="B220" t="s">
        <v>172</v>
      </c>
      <c r="C220" t="s">
        <v>8</v>
      </c>
      <c r="E220" s="3">
        <f t="shared" si="12"/>
        <v>4</v>
      </c>
      <c r="F220" s="5">
        <v>44049.625</v>
      </c>
      <c r="G220" s="19" t="str">
        <f t="shared" si="13"/>
        <v/>
      </c>
      <c r="J220" s="28">
        <f t="shared" si="14"/>
        <v>1.75</v>
      </c>
      <c r="K220">
        <f t="shared" si="15"/>
        <v>151</v>
      </c>
    </row>
    <row r="221" spans="1:11">
      <c r="A221" s="3">
        <v>17</v>
      </c>
      <c r="B221" t="s">
        <v>173</v>
      </c>
      <c r="C221" t="s">
        <v>8</v>
      </c>
      <c r="E221" s="3">
        <f t="shared" si="12"/>
        <v>5</v>
      </c>
      <c r="F221" s="5">
        <v>44050.625</v>
      </c>
      <c r="G221" s="19" t="str">
        <f t="shared" si="13"/>
        <v/>
      </c>
      <c r="J221" s="28">
        <f t="shared" si="14"/>
        <v>-5.555555555555558E-2</v>
      </c>
      <c r="K221">
        <f t="shared" si="15"/>
        <v>150</v>
      </c>
    </row>
    <row r="222" spans="1:11">
      <c r="A222" s="3">
        <v>9</v>
      </c>
      <c r="B222" t="s">
        <v>174</v>
      </c>
      <c r="C222" t="s">
        <v>8</v>
      </c>
      <c r="E222" s="3">
        <f t="shared" si="12"/>
        <v>6</v>
      </c>
      <c r="F222" s="5">
        <v>44051.625</v>
      </c>
      <c r="G222" s="19" t="str">
        <f t="shared" si="13"/>
        <v/>
      </c>
      <c r="J222" s="28">
        <f t="shared" si="14"/>
        <v>-0.4</v>
      </c>
      <c r="K222">
        <f t="shared" si="15"/>
        <v>144</v>
      </c>
    </row>
    <row r="223" spans="1:11">
      <c r="A223" s="3">
        <v>35</v>
      </c>
      <c r="B223" t="s">
        <v>175</v>
      </c>
      <c r="C223" t="s">
        <v>8</v>
      </c>
      <c r="E223" s="3">
        <f t="shared" si="12"/>
        <v>7</v>
      </c>
      <c r="F223" s="5">
        <v>44052.625</v>
      </c>
      <c r="G223" s="19" t="str">
        <f t="shared" si="13"/>
        <v/>
      </c>
      <c r="J223" s="28">
        <f t="shared" si="14"/>
        <v>2.5</v>
      </c>
      <c r="K223">
        <f t="shared" si="15"/>
        <v>169</v>
      </c>
    </row>
    <row r="224" spans="1:11">
      <c r="A224" s="3">
        <v>15</v>
      </c>
      <c r="B224" t="s">
        <v>176</v>
      </c>
      <c r="C224" t="s">
        <v>8</v>
      </c>
      <c r="E224" s="3">
        <f t="shared" si="12"/>
        <v>1</v>
      </c>
      <c r="F224" s="5">
        <v>44053.625</v>
      </c>
      <c r="G224" s="19" t="str">
        <f t="shared" si="13"/>
        <v>2020-W33</v>
      </c>
      <c r="H224">
        <f>SUM(A224:A230)</f>
        <v>175</v>
      </c>
      <c r="I224" s="28">
        <f>H224/H217-1</f>
        <v>3.5502958579881616E-2</v>
      </c>
      <c r="J224" s="28">
        <f t="shared" si="14"/>
        <v>-0.5714285714285714</v>
      </c>
      <c r="K224">
        <f t="shared" si="15"/>
        <v>149</v>
      </c>
    </row>
    <row r="225" spans="1:11">
      <c r="A225" s="3">
        <v>28</v>
      </c>
      <c r="B225" t="s">
        <v>177</v>
      </c>
      <c r="C225" t="s">
        <v>8</v>
      </c>
      <c r="E225" s="3">
        <f t="shared" si="12"/>
        <v>2</v>
      </c>
      <c r="F225" s="5">
        <v>44054.625</v>
      </c>
      <c r="G225" s="19" t="str">
        <f t="shared" si="13"/>
        <v/>
      </c>
      <c r="J225" s="28">
        <f t="shared" si="14"/>
        <v>0.27272727272727271</v>
      </c>
      <c r="K225">
        <f t="shared" si="15"/>
        <v>155</v>
      </c>
    </row>
    <row r="226" spans="1:11">
      <c r="A226" s="3">
        <v>27</v>
      </c>
      <c r="B226" t="s">
        <v>178</v>
      </c>
      <c r="C226" t="s">
        <v>8</v>
      </c>
      <c r="E226" s="3">
        <f t="shared" si="12"/>
        <v>3</v>
      </c>
      <c r="F226" s="5">
        <v>44055.625</v>
      </c>
      <c r="G226" s="19" t="str">
        <f t="shared" si="13"/>
        <v/>
      </c>
      <c r="J226" s="28">
        <f t="shared" si="14"/>
        <v>-6.8965517241379337E-2</v>
      </c>
      <c r="K226">
        <f t="shared" si="15"/>
        <v>153</v>
      </c>
    </row>
    <row r="227" spans="1:11">
      <c r="A227" s="3">
        <v>21</v>
      </c>
      <c r="B227" t="s">
        <v>179</v>
      </c>
      <c r="C227" t="s">
        <v>8</v>
      </c>
      <c r="E227" s="3">
        <f t="shared" si="12"/>
        <v>4</v>
      </c>
      <c r="F227" s="5">
        <v>44056.625</v>
      </c>
      <c r="G227" s="19" t="str">
        <f t="shared" si="13"/>
        <v/>
      </c>
      <c r="J227" s="28">
        <f t="shared" si="14"/>
        <v>-4.5454545454545414E-2</v>
      </c>
      <c r="K227">
        <f t="shared" si="15"/>
        <v>152</v>
      </c>
    </row>
    <row r="228" spans="1:11">
      <c r="A228" s="3">
        <v>27</v>
      </c>
      <c r="B228" t="s">
        <v>180</v>
      </c>
      <c r="C228" t="s">
        <v>8</v>
      </c>
      <c r="E228" s="3">
        <f t="shared" si="12"/>
        <v>5</v>
      </c>
      <c r="F228" s="5">
        <v>44057.625</v>
      </c>
      <c r="G228" s="19" t="str">
        <f t="shared" si="13"/>
        <v/>
      </c>
      <c r="J228" s="28">
        <f t="shared" si="14"/>
        <v>0.58823529411764697</v>
      </c>
      <c r="K228">
        <f t="shared" si="15"/>
        <v>162</v>
      </c>
    </row>
    <row r="229" spans="1:11">
      <c r="A229" s="3">
        <v>14</v>
      </c>
      <c r="B229" t="s">
        <v>181</v>
      </c>
      <c r="C229" t="s">
        <v>8</v>
      </c>
      <c r="E229" s="3">
        <f t="shared" si="12"/>
        <v>6</v>
      </c>
      <c r="F229" s="5">
        <v>44058.625</v>
      </c>
      <c r="G229" s="19" t="str">
        <f t="shared" si="13"/>
        <v/>
      </c>
      <c r="J229" s="28">
        <f t="shared" si="14"/>
        <v>0.55555555555555558</v>
      </c>
      <c r="K229">
        <f t="shared" si="15"/>
        <v>167</v>
      </c>
    </row>
    <row r="230" spans="1:11">
      <c r="A230" s="3">
        <v>43</v>
      </c>
      <c r="B230" t="s">
        <v>182</v>
      </c>
      <c r="C230" t="s">
        <v>8</v>
      </c>
      <c r="E230" s="3">
        <f t="shared" si="12"/>
        <v>7</v>
      </c>
      <c r="F230" s="5">
        <v>44059.625</v>
      </c>
      <c r="G230" s="19" t="str">
        <f t="shared" si="13"/>
        <v/>
      </c>
      <c r="J230" s="28">
        <f t="shared" si="14"/>
        <v>0.22857142857142865</v>
      </c>
      <c r="K230">
        <f t="shared" si="15"/>
        <v>175</v>
      </c>
    </row>
    <row r="231" spans="1:11">
      <c r="A231" s="3">
        <v>27</v>
      </c>
      <c r="B231" t="s">
        <v>183</v>
      </c>
      <c r="C231" t="s">
        <v>8</v>
      </c>
      <c r="E231" s="3">
        <f t="shared" si="12"/>
        <v>1</v>
      </c>
      <c r="F231" s="5">
        <v>44060.625</v>
      </c>
      <c r="G231" s="19" t="str">
        <f t="shared" si="13"/>
        <v>2020-W34</v>
      </c>
      <c r="H231">
        <f>SUM(A231:A237)</f>
        <v>192</v>
      </c>
      <c r="I231" s="28">
        <f>H231/H224-1</f>
        <v>9.7142857142857197E-2</v>
      </c>
      <c r="J231" s="28">
        <f t="shared" si="14"/>
        <v>0.8</v>
      </c>
      <c r="K231">
        <f t="shared" si="15"/>
        <v>187</v>
      </c>
    </row>
    <row r="232" spans="1:11">
      <c r="A232" s="3">
        <v>39</v>
      </c>
      <c r="B232" t="s">
        <v>184</v>
      </c>
      <c r="C232" t="s">
        <v>8</v>
      </c>
      <c r="E232" s="3">
        <f t="shared" si="12"/>
        <v>2</v>
      </c>
      <c r="F232" s="5">
        <v>44061.625</v>
      </c>
      <c r="G232" s="19" t="str">
        <f t="shared" si="13"/>
        <v/>
      </c>
      <c r="J232" s="28">
        <f t="shared" si="14"/>
        <v>0.39285714285714279</v>
      </c>
      <c r="K232">
        <f t="shared" si="15"/>
        <v>198</v>
      </c>
    </row>
    <row r="233" spans="1:11">
      <c r="A233" s="3">
        <v>47</v>
      </c>
      <c r="B233" t="s">
        <v>185</v>
      </c>
      <c r="C233" t="s">
        <v>8</v>
      </c>
      <c r="E233" s="3">
        <f t="shared" si="12"/>
        <v>3</v>
      </c>
      <c r="F233" s="5">
        <v>44062.625</v>
      </c>
      <c r="G233" s="19" t="str">
        <f t="shared" si="13"/>
        <v/>
      </c>
      <c r="J233" s="28">
        <f t="shared" si="14"/>
        <v>0.7407407407407407</v>
      </c>
      <c r="K233">
        <f t="shared" si="15"/>
        <v>218</v>
      </c>
    </row>
    <row r="234" spans="1:11">
      <c r="A234" s="3">
        <v>27</v>
      </c>
      <c r="B234" t="s">
        <v>186</v>
      </c>
      <c r="C234" t="s">
        <v>8</v>
      </c>
      <c r="E234" s="3">
        <f t="shared" si="12"/>
        <v>4</v>
      </c>
      <c r="F234" s="5">
        <v>44063.625</v>
      </c>
      <c r="G234" s="19" t="str">
        <f t="shared" si="13"/>
        <v/>
      </c>
      <c r="J234" s="28">
        <f t="shared" si="14"/>
        <v>0.28571428571428581</v>
      </c>
      <c r="K234">
        <f t="shared" si="15"/>
        <v>224</v>
      </c>
    </row>
    <row r="235" spans="1:11">
      <c r="A235" s="3">
        <v>25</v>
      </c>
      <c r="B235" t="s">
        <v>187</v>
      </c>
      <c r="C235" t="s">
        <v>8</v>
      </c>
      <c r="E235" s="3">
        <f t="shared" si="12"/>
        <v>5</v>
      </c>
      <c r="F235" s="5">
        <v>44064.625</v>
      </c>
      <c r="G235" s="19" t="str">
        <f t="shared" si="13"/>
        <v/>
      </c>
      <c r="J235" s="28">
        <f t="shared" si="14"/>
        <v>-7.407407407407407E-2</v>
      </c>
      <c r="K235">
        <f t="shared" si="15"/>
        <v>222</v>
      </c>
    </row>
    <row r="236" spans="1:11">
      <c r="A236" s="3">
        <v>16</v>
      </c>
      <c r="B236" t="s">
        <v>188</v>
      </c>
      <c r="C236" t="s">
        <v>8</v>
      </c>
      <c r="E236" s="3">
        <f t="shared" si="12"/>
        <v>6</v>
      </c>
      <c r="F236" s="5">
        <v>44065.625</v>
      </c>
      <c r="G236" s="19" t="str">
        <f t="shared" si="13"/>
        <v/>
      </c>
      <c r="J236" s="28">
        <f t="shared" si="14"/>
        <v>0.14285714285714279</v>
      </c>
      <c r="K236">
        <f t="shared" si="15"/>
        <v>224</v>
      </c>
    </row>
    <row r="237" spans="1:11">
      <c r="A237" s="3">
        <v>11</v>
      </c>
      <c r="B237" t="s">
        <v>189</v>
      </c>
      <c r="C237" t="s">
        <v>8</v>
      </c>
      <c r="E237" s="3">
        <f t="shared" si="12"/>
        <v>7</v>
      </c>
      <c r="F237" s="5">
        <v>44066.625</v>
      </c>
      <c r="G237" s="19" t="str">
        <f t="shared" si="13"/>
        <v/>
      </c>
      <c r="J237" s="28">
        <f t="shared" si="14"/>
        <v>-0.7441860465116279</v>
      </c>
      <c r="K237">
        <f t="shared" si="15"/>
        <v>192</v>
      </c>
    </row>
    <row r="238" spans="1:11">
      <c r="A238" s="3">
        <v>17</v>
      </c>
      <c r="B238" t="s">
        <v>190</v>
      </c>
      <c r="C238" t="s">
        <v>8</v>
      </c>
      <c r="E238" s="3">
        <f t="shared" si="12"/>
        <v>1</v>
      </c>
      <c r="F238" s="5">
        <v>44067.625</v>
      </c>
      <c r="G238" s="19" t="str">
        <f t="shared" si="13"/>
        <v>2020-W35</v>
      </c>
      <c r="H238">
        <f>SUM(A238:A244)</f>
        <v>156</v>
      </c>
      <c r="I238" s="28">
        <f>H238/H231-1</f>
        <v>-0.1875</v>
      </c>
      <c r="J238" s="28">
        <f t="shared" si="14"/>
        <v>-0.37037037037037035</v>
      </c>
      <c r="K238">
        <f t="shared" si="15"/>
        <v>182</v>
      </c>
    </row>
    <row r="239" spans="1:11">
      <c r="A239" s="3">
        <v>15</v>
      </c>
      <c r="B239" t="s">
        <v>191</v>
      </c>
      <c r="C239" t="s">
        <v>8</v>
      </c>
      <c r="E239" s="3">
        <f t="shared" si="12"/>
        <v>2</v>
      </c>
      <c r="F239" s="5">
        <v>44068.625</v>
      </c>
      <c r="G239" s="19" t="str">
        <f t="shared" si="13"/>
        <v/>
      </c>
      <c r="J239" s="28">
        <f t="shared" si="14"/>
        <v>-0.61538461538461542</v>
      </c>
      <c r="K239">
        <f t="shared" si="15"/>
        <v>158</v>
      </c>
    </row>
    <row r="240" spans="1:11">
      <c r="A240" s="3">
        <v>20</v>
      </c>
      <c r="B240" t="s">
        <v>192</v>
      </c>
      <c r="C240" t="s">
        <v>8</v>
      </c>
      <c r="E240" s="3">
        <f t="shared" si="12"/>
        <v>3</v>
      </c>
      <c r="F240" s="5">
        <v>44069.625</v>
      </c>
      <c r="G240" s="19" t="str">
        <f t="shared" si="13"/>
        <v/>
      </c>
      <c r="J240" s="28">
        <f t="shared" si="14"/>
        <v>-0.57446808510638303</v>
      </c>
      <c r="K240">
        <f t="shared" si="15"/>
        <v>131</v>
      </c>
    </row>
    <row r="241" spans="1:11">
      <c r="A241" s="3">
        <v>32</v>
      </c>
      <c r="B241" t="s">
        <v>193</v>
      </c>
      <c r="C241" t="s">
        <v>8</v>
      </c>
      <c r="E241" s="3">
        <f t="shared" si="12"/>
        <v>4</v>
      </c>
      <c r="F241" s="5">
        <v>44070.625</v>
      </c>
      <c r="G241" s="19" t="str">
        <f t="shared" si="13"/>
        <v/>
      </c>
      <c r="J241" s="28">
        <f t="shared" si="14"/>
        <v>0.18518518518518512</v>
      </c>
      <c r="K241">
        <f t="shared" si="15"/>
        <v>136</v>
      </c>
    </row>
    <row r="242" spans="1:11">
      <c r="A242" s="3">
        <v>35</v>
      </c>
      <c r="B242" t="s">
        <v>194</v>
      </c>
      <c r="C242" t="s">
        <v>8</v>
      </c>
      <c r="E242" s="3">
        <f t="shared" si="12"/>
        <v>5</v>
      </c>
      <c r="F242" s="5">
        <v>44071.625</v>
      </c>
      <c r="G242" s="19" t="str">
        <f t="shared" si="13"/>
        <v/>
      </c>
      <c r="J242" s="28">
        <f t="shared" si="14"/>
        <v>0.39999999999999991</v>
      </c>
      <c r="K242">
        <f t="shared" si="15"/>
        <v>146</v>
      </c>
    </row>
    <row r="243" spans="1:11">
      <c r="A243" s="3">
        <v>19</v>
      </c>
      <c r="B243" t="s">
        <v>195</v>
      </c>
      <c r="C243" t="s">
        <v>8</v>
      </c>
      <c r="E243" s="3">
        <f t="shared" si="12"/>
        <v>6</v>
      </c>
      <c r="F243" s="5">
        <v>44072.625</v>
      </c>
      <c r="G243" s="19" t="str">
        <f t="shared" si="13"/>
        <v/>
      </c>
      <c r="J243" s="28">
        <f t="shared" si="14"/>
        <v>0.1875</v>
      </c>
      <c r="K243">
        <f t="shared" si="15"/>
        <v>149</v>
      </c>
    </row>
    <row r="244" spans="1:11">
      <c r="A244" s="3">
        <v>18</v>
      </c>
      <c r="B244" t="s">
        <v>196</v>
      </c>
      <c r="C244" t="s">
        <v>8</v>
      </c>
      <c r="E244" s="3">
        <f t="shared" si="12"/>
        <v>7</v>
      </c>
      <c r="F244" s="5">
        <v>44073.625</v>
      </c>
      <c r="G244" s="19" t="str">
        <f t="shared" si="13"/>
        <v/>
      </c>
      <c r="J244" s="28">
        <f t="shared" si="14"/>
        <v>0.63636363636363646</v>
      </c>
      <c r="K244">
        <f t="shared" si="15"/>
        <v>156</v>
      </c>
    </row>
    <row r="245" spans="1:11">
      <c r="A245" s="3">
        <v>48</v>
      </c>
      <c r="B245" t="s">
        <v>197</v>
      </c>
      <c r="C245" t="s">
        <v>8</v>
      </c>
      <c r="E245" s="3">
        <f t="shared" si="12"/>
        <v>1</v>
      </c>
      <c r="F245" s="5">
        <v>44074.625</v>
      </c>
      <c r="G245" s="19" t="str">
        <f t="shared" si="13"/>
        <v>2020-W36</v>
      </c>
      <c r="H245">
        <f>SUM(A245:A251)</f>
        <v>236</v>
      </c>
      <c r="I245" s="28">
        <f>H245/H238-1</f>
        <v>0.51282051282051277</v>
      </c>
      <c r="J245" s="28">
        <f t="shared" si="14"/>
        <v>1.8235294117647061</v>
      </c>
      <c r="K245">
        <f t="shared" si="15"/>
        <v>187</v>
      </c>
    </row>
    <row r="246" spans="1:11">
      <c r="A246" s="3">
        <v>29</v>
      </c>
      <c r="B246" t="s">
        <v>198</v>
      </c>
      <c r="C246" t="s">
        <v>8</v>
      </c>
      <c r="E246" s="3">
        <f t="shared" si="12"/>
        <v>2</v>
      </c>
      <c r="F246" s="5">
        <v>44075.625</v>
      </c>
      <c r="G246" s="19" t="str">
        <f t="shared" si="13"/>
        <v/>
      </c>
      <c r="J246" s="28">
        <f t="shared" si="14"/>
        <v>0.93333333333333335</v>
      </c>
      <c r="K246">
        <f t="shared" si="15"/>
        <v>201</v>
      </c>
    </row>
    <row r="247" spans="1:11">
      <c r="A247" s="3">
        <v>26</v>
      </c>
      <c r="B247" t="s">
        <v>199</v>
      </c>
      <c r="C247" t="s">
        <v>8</v>
      </c>
      <c r="E247" s="3">
        <f t="shared" si="12"/>
        <v>3</v>
      </c>
      <c r="F247" s="5">
        <v>44076.625</v>
      </c>
      <c r="G247" s="19" t="str">
        <f t="shared" si="13"/>
        <v/>
      </c>
      <c r="J247" s="28">
        <f t="shared" si="14"/>
        <v>0.30000000000000004</v>
      </c>
      <c r="K247">
        <f t="shared" si="15"/>
        <v>207</v>
      </c>
    </row>
    <row r="248" spans="1:11">
      <c r="A248" s="3">
        <v>36</v>
      </c>
      <c r="B248" t="s">
        <v>200</v>
      </c>
      <c r="C248" t="s">
        <v>8</v>
      </c>
      <c r="E248" s="3">
        <f t="shared" si="12"/>
        <v>4</v>
      </c>
      <c r="F248" s="5">
        <v>44077.625</v>
      </c>
      <c r="G248" s="19" t="str">
        <f t="shared" si="13"/>
        <v/>
      </c>
      <c r="J248" s="28">
        <f t="shared" si="14"/>
        <v>0.125</v>
      </c>
      <c r="K248">
        <f t="shared" si="15"/>
        <v>211</v>
      </c>
    </row>
    <row r="249" spans="1:11">
      <c r="A249" s="3">
        <v>42</v>
      </c>
      <c r="B249" t="s">
        <v>201</v>
      </c>
      <c r="C249" t="s">
        <v>8</v>
      </c>
      <c r="E249" s="3">
        <f t="shared" si="12"/>
        <v>5</v>
      </c>
      <c r="F249" s="5">
        <v>44078.625</v>
      </c>
      <c r="G249" s="19" t="str">
        <f t="shared" si="13"/>
        <v/>
      </c>
      <c r="J249" s="28">
        <f t="shared" si="14"/>
        <v>0.19999999999999996</v>
      </c>
      <c r="K249">
        <f t="shared" si="15"/>
        <v>218</v>
      </c>
    </row>
    <row r="250" spans="1:11">
      <c r="A250" s="3">
        <v>22</v>
      </c>
      <c r="B250" t="s">
        <v>202</v>
      </c>
      <c r="C250" t="s">
        <v>8</v>
      </c>
      <c r="E250" s="3">
        <f t="shared" si="12"/>
        <v>6</v>
      </c>
      <c r="F250" s="5">
        <v>44079.625</v>
      </c>
      <c r="G250" s="19" t="str">
        <f t="shared" si="13"/>
        <v/>
      </c>
      <c r="J250" s="28">
        <f t="shared" si="14"/>
        <v>0.15789473684210531</v>
      </c>
      <c r="K250">
        <f t="shared" si="15"/>
        <v>221</v>
      </c>
    </row>
    <row r="251" spans="1:11">
      <c r="A251" s="3">
        <v>33</v>
      </c>
      <c r="B251" t="s">
        <v>203</v>
      </c>
      <c r="C251" t="s">
        <v>8</v>
      </c>
      <c r="E251" s="3">
        <f t="shared" si="12"/>
        <v>7</v>
      </c>
      <c r="F251" s="5">
        <v>44080.625</v>
      </c>
      <c r="G251" s="19" t="str">
        <f t="shared" si="13"/>
        <v/>
      </c>
      <c r="J251" s="28">
        <f t="shared" si="14"/>
        <v>0.83333333333333326</v>
      </c>
      <c r="K251">
        <f t="shared" si="15"/>
        <v>236</v>
      </c>
    </row>
    <row r="252" spans="1:11">
      <c r="A252" s="3">
        <v>45</v>
      </c>
      <c r="B252" t="s">
        <v>204</v>
      </c>
      <c r="C252" t="s">
        <v>8</v>
      </c>
      <c r="E252" s="3">
        <f t="shared" si="12"/>
        <v>1</v>
      </c>
      <c r="F252" s="5">
        <v>44081.625</v>
      </c>
      <c r="G252" s="19" t="str">
        <f t="shared" si="13"/>
        <v>2020-W37</v>
      </c>
      <c r="H252">
        <f>SUM(A252:A258)</f>
        <v>355</v>
      </c>
      <c r="I252" s="28">
        <f>H252/H245-1</f>
        <v>0.50423728813559321</v>
      </c>
      <c r="J252" s="28">
        <f t="shared" si="14"/>
        <v>-6.25E-2</v>
      </c>
      <c r="K252">
        <f t="shared" si="15"/>
        <v>233</v>
      </c>
    </row>
    <row r="253" spans="1:11">
      <c r="A253" s="3">
        <v>57</v>
      </c>
      <c r="B253" t="s">
        <v>205</v>
      </c>
      <c r="C253" t="s">
        <v>8</v>
      </c>
      <c r="E253" s="3">
        <f t="shared" si="12"/>
        <v>2</v>
      </c>
      <c r="F253" s="5">
        <v>44082.625</v>
      </c>
      <c r="G253" s="19" t="str">
        <f t="shared" si="13"/>
        <v/>
      </c>
      <c r="J253" s="28">
        <f t="shared" si="14"/>
        <v>0.96551724137931028</v>
      </c>
      <c r="K253">
        <f t="shared" si="15"/>
        <v>261</v>
      </c>
    </row>
    <row r="254" spans="1:11">
      <c r="A254" s="3">
        <v>55</v>
      </c>
      <c r="B254" t="s">
        <v>206</v>
      </c>
      <c r="C254" t="s">
        <v>8</v>
      </c>
      <c r="E254" s="3">
        <f t="shared" si="12"/>
        <v>3</v>
      </c>
      <c r="F254" s="5">
        <v>44083.625</v>
      </c>
      <c r="G254" s="19" t="str">
        <f t="shared" si="13"/>
        <v/>
      </c>
      <c r="J254" s="28">
        <f t="shared" si="14"/>
        <v>1.1153846153846154</v>
      </c>
      <c r="K254">
        <f t="shared" si="15"/>
        <v>290</v>
      </c>
    </row>
    <row r="255" spans="1:11">
      <c r="A255" s="3">
        <v>54</v>
      </c>
      <c r="B255" t="s">
        <v>207</v>
      </c>
      <c r="C255" t="s">
        <v>8</v>
      </c>
      <c r="E255" s="3">
        <f t="shared" si="12"/>
        <v>4</v>
      </c>
      <c r="F255" s="5">
        <v>44084.625</v>
      </c>
      <c r="G255" s="19" t="str">
        <f t="shared" si="13"/>
        <v/>
      </c>
      <c r="J255" s="28">
        <f t="shared" si="14"/>
        <v>0.5</v>
      </c>
      <c r="K255">
        <f t="shared" si="15"/>
        <v>308</v>
      </c>
    </row>
    <row r="256" spans="1:11">
      <c r="A256" s="3">
        <v>58</v>
      </c>
      <c r="B256" t="s">
        <v>208</v>
      </c>
      <c r="C256" t="s">
        <v>8</v>
      </c>
      <c r="E256" s="3">
        <f t="shared" si="12"/>
        <v>5</v>
      </c>
      <c r="F256" s="5">
        <v>44085.625</v>
      </c>
      <c r="G256" s="19" t="str">
        <f t="shared" si="13"/>
        <v/>
      </c>
      <c r="J256" s="28">
        <f t="shared" si="14"/>
        <v>0.38095238095238093</v>
      </c>
      <c r="K256">
        <f t="shared" si="15"/>
        <v>324</v>
      </c>
    </row>
    <row r="257" spans="1:11">
      <c r="A257" s="3">
        <v>40</v>
      </c>
      <c r="B257" t="s">
        <v>209</v>
      </c>
      <c r="C257" t="s">
        <v>8</v>
      </c>
      <c r="E257" s="3">
        <f t="shared" si="12"/>
        <v>6</v>
      </c>
      <c r="F257" s="5">
        <v>44086.625</v>
      </c>
      <c r="G257" s="19" t="str">
        <f t="shared" si="13"/>
        <v/>
      </c>
      <c r="J257" s="28">
        <f t="shared" si="14"/>
        <v>0.81818181818181812</v>
      </c>
      <c r="K257">
        <f t="shared" si="15"/>
        <v>342</v>
      </c>
    </row>
    <row r="258" spans="1:11">
      <c r="A258" s="3">
        <v>46</v>
      </c>
      <c r="B258" t="s">
        <v>210</v>
      </c>
      <c r="C258" t="s">
        <v>8</v>
      </c>
      <c r="E258" s="3">
        <f t="shared" si="12"/>
        <v>7</v>
      </c>
      <c r="F258" s="5">
        <v>44087.625</v>
      </c>
      <c r="G258" s="19" t="str">
        <f t="shared" si="13"/>
        <v/>
      </c>
      <c r="J258" s="28">
        <f t="shared" si="14"/>
        <v>0.39393939393939403</v>
      </c>
      <c r="K258">
        <f t="shared" si="15"/>
        <v>355</v>
      </c>
    </row>
    <row r="259" spans="1:11">
      <c r="A259" s="3">
        <v>59</v>
      </c>
      <c r="B259" t="s">
        <v>211</v>
      </c>
      <c r="C259" t="s">
        <v>8</v>
      </c>
      <c r="E259" s="3">
        <f t="shared" ref="E259:E324" si="16">WEEKDAY(F259,2)</f>
        <v>1</v>
      </c>
      <c r="F259" s="5">
        <v>44088.625</v>
      </c>
      <c r="G259" s="19" t="str">
        <f t="shared" ref="G259:G322" si="17">IF(WEEKDAY(F259,2)=1,YEAR(F259)&amp;"-W"&amp;TEXT(WEEKNUM(F259,14),"00"),"")</f>
        <v>2020-W38</v>
      </c>
      <c r="H259">
        <f>SUM(A259:A265)</f>
        <v>469</v>
      </c>
      <c r="I259" s="28">
        <f>H259/H252-1</f>
        <v>0.3211267605633803</v>
      </c>
      <c r="J259" s="28">
        <f t="shared" si="14"/>
        <v>0.31111111111111112</v>
      </c>
      <c r="K259">
        <f t="shared" si="15"/>
        <v>369</v>
      </c>
    </row>
    <row r="260" spans="1:11">
      <c r="A260" s="3">
        <v>53</v>
      </c>
      <c r="B260" t="s">
        <v>212</v>
      </c>
      <c r="C260" t="s">
        <v>8</v>
      </c>
      <c r="E260" s="3">
        <f t="shared" si="16"/>
        <v>2</v>
      </c>
      <c r="F260" s="5">
        <v>44089.625</v>
      </c>
      <c r="G260" s="19" t="str">
        <f t="shared" si="17"/>
        <v/>
      </c>
      <c r="J260" s="28">
        <f t="shared" si="14"/>
        <v>-7.0175438596491224E-2</v>
      </c>
      <c r="K260">
        <f t="shared" si="15"/>
        <v>365</v>
      </c>
    </row>
    <row r="261" spans="1:11">
      <c r="A261" s="3">
        <v>57</v>
      </c>
      <c r="B261" t="s">
        <v>213</v>
      </c>
      <c r="C261" t="s">
        <v>8</v>
      </c>
      <c r="E261" s="3">
        <f t="shared" si="16"/>
        <v>3</v>
      </c>
      <c r="F261" s="5">
        <v>44090.625</v>
      </c>
      <c r="G261" s="19" t="str">
        <f t="shared" si="17"/>
        <v/>
      </c>
      <c r="J261" s="28">
        <f t="shared" si="14"/>
        <v>3.6363636363636376E-2</v>
      </c>
      <c r="K261">
        <f t="shared" si="15"/>
        <v>367</v>
      </c>
    </row>
    <row r="262" spans="1:11">
      <c r="A262" s="3">
        <v>85</v>
      </c>
      <c r="B262" t="s">
        <v>214</v>
      </c>
      <c r="C262" t="s">
        <v>8</v>
      </c>
      <c r="E262" s="3">
        <f t="shared" si="16"/>
        <v>4</v>
      </c>
      <c r="F262" s="5">
        <v>44091.625</v>
      </c>
      <c r="G262" s="19" t="str">
        <f t="shared" si="17"/>
        <v/>
      </c>
      <c r="J262" s="28">
        <f t="shared" si="14"/>
        <v>0.57407407407407418</v>
      </c>
      <c r="K262">
        <f t="shared" si="15"/>
        <v>398</v>
      </c>
    </row>
    <row r="263" spans="1:11">
      <c r="A263" s="3">
        <v>77</v>
      </c>
      <c r="B263" t="s">
        <v>215</v>
      </c>
      <c r="C263" t="s">
        <v>8</v>
      </c>
      <c r="E263" s="3">
        <f t="shared" si="16"/>
        <v>5</v>
      </c>
      <c r="F263" s="5">
        <v>44092.625</v>
      </c>
      <c r="G263" s="19" t="str">
        <f t="shared" si="17"/>
        <v/>
      </c>
      <c r="J263" s="28">
        <f t="shared" si="14"/>
        <v>0.32758620689655182</v>
      </c>
      <c r="K263">
        <f t="shared" si="15"/>
        <v>417</v>
      </c>
    </row>
    <row r="264" spans="1:11">
      <c r="A264" s="3">
        <v>64</v>
      </c>
      <c r="B264" t="s">
        <v>216</v>
      </c>
      <c r="C264" t="s">
        <v>8</v>
      </c>
      <c r="E264" s="3">
        <f t="shared" si="16"/>
        <v>6</v>
      </c>
      <c r="F264" s="5">
        <v>44093.625</v>
      </c>
      <c r="G264" s="19" t="str">
        <f t="shared" si="17"/>
        <v/>
      </c>
      <c r="J264" s="28">
        <f t="shared" si="14"/>
        <v>0.60000000000000009</v>
      </c>
      <c r="K264">
        <f t="shared" si="15"/>
        <v>441</v>
      </c>
    </row>
    <row r="265" spans="1:11">
      <c r="A265" s="3">
        <v>74</v>
      </c>
      <c r="B265" t="s">
        <v>217</v>
      </c>
      <c r="C265" t="s">
        <v>8</v>
      </c>
      <c r="E265" s="3">
        <f t="shared" si="16"/>
        <v>7</v>
      </c>
      <c r="F265" s="5">
        <v>44094.625</v>
      </c>
      <c r="G265" s="19" t="str">
        <f t="shared" si="17"/>
        <v/>
      </c>
      <c r="J265" s="28">
        <f t="shared" ref="J265:J328" si="18">A265/A258-1</f>
        <v>0.60869565217391308</v>
      </c>
      <c r="K265">
        <f t="shared" si="15"/>
        <v>469</v>
      </c>
    </row>
    <row r="266" spans="1:11">
      <c r="A266" s="3">
        <v>120</v>
      </c>
      <c r="B266" t="s">
        <v>218</v>
      </c>
      <c r="C266" t="s">
        <v>8</v>
      </c>
      <c r="E266" s="3">
        <f t="shared" si="16"/>
        <v>1</v>
      </c>
      <c r="F266" s="5">
        <v>44095.625</v>
      </c>
      <c r="G266" s="19" t="str">
        <f t="shared" si="17"/>
        <v>2020-W39</v>
      </c>
      <c r="H266">
        <f>SUM(A266:A272)</f>
        <v>717</v>
      </c>
      <c r="I266" s="28">
        <f>H266/H259-1</f>
        <v>0.52878464818763327</v>
      </c>
      <c r="J266" s="28">
        <f t="shared" si="18"/>
        <v>1.0338983050847457</v>
      </c>
      <c r="K266">
        <f t="shared" si="15"/>
        <v>530</v>
      </c>
    </row>
    <row r="267" spans="1:11">
      <c r="A267" s="3">
        <v>110</v>
      </c>
      <c r="B267" t="s">
        <v>219</v>
      </c>
      <c r="C267" t="s">
        <v>8</v>
      </c>
      <c r="E267" s="3">
        <f t="shared" si="16"/>
        <v>2</v>
      </c>
      <c r="F267" s="5">
        <v>44096.625</v>
      </c>
      <c r="G267" s="19" t="str">
        <f t="shared" si="17"/>
        <v/>
      </c>
      <c r="J267" s="28">
        <f t="shared" si="18"/>
        <v>1.0754716981132075</v>
      </c>
      <c r="K267">
        <f t="shared" si="15"/>
        <v>587</v>
      </c>
    </row>
    <row r="268" spans="1:11">
      <c r="A268" s="3">
        <v>117</v>
      </c>
      <c r="B268" t="s">
        <v>220</v>
      </c>
      <c r="C268" t="s">
        <v>8</v>
      </c>
      <c r="E268" s="3">
        <f t="shared" si="16"/>
        <v>3</v>
      </c>
      <c r="F268" s="5">
        <v>44097.625</v>
      </c>
      <c r="G268" s="19" t="str">
        <f t="shared" si="17"/>
        <v/>
      </c>
      <c r="J268" s="28">
        <f t="shared" si="18"/>
        <v>1.0526315789473686</v>
      </c>
      <c r="K268">
        <f t="shared" si="15"/>
        <v>647</v>
      </c>
    </row>
    <row r="269" spans="1:11">
      <c r="A269" s="3">
        <v>98</v>
      </c>
      <c r="B269" t="s">
        <v>221</v>
      </c>
      <c r="C269" t="s">
        <v>8</v>
      </c>
      <c r="E269" s="3">
        <f t="shared" si="16"/>
        <v>4</v>
      </c>
      <c r="F269" s="5">
        <v>44098.625</v>
      </c>
      <c r="G269" s="19" t="str">
        <f t="shared" si="17"/>
        <v/>
      </c>
      <c r="J269" s="28">
        <f t="shared" si="18"/>
        <v>0.15294117647058814</v>
      </c>
      <c r="K269">
        <f t="shared" si="15"/>
        <v>660</v>
      </c>
    </row>
    <row r="270" spans="1:11">
      <c r="A270" s="3">
        <v>128</v>
      </c>
      <c r="B270" t="s">
        <v>222</v>
      </c>
      <c r="C270" t="s">
        <v>8</v>
      </c>
      <c r="E270" s="3">
        <f t="shared" si="16"/>
        <v>5</v>
      </c>
      <c r="F270" s="5">
        <v>44099.625</v>
      </c>
      <c r="G270" s="19" t="str">
        <f t="shared" si="17"/>
        <v/>
      </c>
      <c r="J270" s="28">
        <f t="shared" si="18"/>
        <v>0.66233766233766245</v>
      </c>
      <c r="K270">
        <f t="shared" si="15"/>
        <v>711</v>
      </c>
    </row>
    <row r="271" spans="1:11">
      <c r="A271" s="3">
        <v>74</v>
      </c>
      <c r="B271" t="s">
        <v>223</v>
      </c>
      <c r="C271" t="s">
        <v>8</v>
      </c>
      <c r="E271" s="3">
        <f t="shared" si="16"/>
        <v>6</v>
      </c>
      <c r="F271" s="5">
        <v>44100.625</v>
      </c>
      <c r="G271" s="19" t="str">
        <f t="shared" si="17"/>
        <v/>
      </c>
      <c r="J271" s="28">
        <f t="shared" si="18"/>
        <v>0.15625</v>
      </c>
      <c r="K271">
        <f t="shared" si="15"/>
        <v>721</v>
      </c>
    </row>
    <row r="272" spans="1:11">
      <c r="A272" s="3">
        <v>70</v>
      </c>
      <c r="B272" t="s">
        <v>224</v>
      </c>
      <c r="C272" t="s">
        <v>8</v>
      </c>
      <c r="E272" s="3">
        <f t="shared" si="16"/>
        <v>7</v>
      </c>
      <c r="F272" s="5">
        <v>44101.625</v>
      </c>
      <c r="G272" s="19" t="str">
        <f t="shared" si="17"/>
        <v/>
      </c>
      <c r="J272" s="28">
        <f t="shared" si="18"/>
        <v>-5.4054054054054057E-2</v>
      </c>
      <c r="K272">
        <f t="shared" si="15"/>
        <v>717</v>
      </c>
    </row>
    <row r="273" spans="1:11">
      <c r="A273" s="3">
        <v>124</v>
      </c>
      <c r="B273" t="s">
        <v>225</v>
      </c>
      <c r="C273" t="s">
        <v>8</v>
      </c>
      <c r="E273" s="3">
        <f t="shared" si="16"/>
        <v>1</v>
      </c>
      <c r="F273" s="5">
        <v>44102.625</v>
      </c>
      <c r="G273" s="19" t="str">
        <f t="shared" si="17"/>
        <v>2020-W40</v>
      </c>
      <c r="H273">
        <f>SUM(A273:A279)</f>
        <v>1129</v>
      </c>
      <c r="I273" s="28">
        <f>H273/H266-1</f>
        <v>0.57461645746164569</v>
      </c>
      <c r="J273" s="28">
        <f t="shared" si="18"/>
        <v>3.3333333333333437E-2</v>
      </c>
      <c r="K273">
        <f t="shared" si="15"/>
        <v>721</v>
      </c>
    </row>
    <row r="274" spans="1:11">
      <c r="A274" s="3">
        <v>134</v>
      </c>
      <c r="B274" t="s">
        <v>226</v>
      </c>
      <c r="C274" t="s">
        <v>8</v>
      </c>
      <c r="E274" s="3">
        <f t="shared" si="16"/>
        <v>2</v>
      </c>
      <c r="F274" s="5">
        <v>44103.625</v>
      </c>
      <c r="G274" s="19" t="str">
        <f t="shared" si="17"/>
        <v/>
      </c>
      <c r="J274" s="28">
        <f t="shared" si="18"/>
        <v>0.21818181818181825</v>
      </c>
      <c r="K274">
        <f t="shared" si="15"/>
        <v>745</v>
      </c>
    </row>
    <row r="275" spans="1:11">
      <c r="A275" s="3">
        <v>167</v>
      </c>
      <c r="B275" t="s">
        <v>228</v>
      </c>
      <c r="C275" t="s">
        <v>8</v>
      </c>
      <c r="E275" s="3">
        <f t="shared" si="16"/>
        <v>3</v>
      </c>
      <c r="F275" s="5">
        <v>44104.625</v>
      </c>
      <c r="G275" s="19" t="str">
        <f t="shared" si="17"/>
        <v/>
      </c>
      <c r="J275" s="28">
        <f t="shared" si="18"/>
        <v>0.42735042735042739</v>
      </c>
      <c r="K275">
        <f t="shared" si="15"/>
        <v>795</v>
      </c>
    </row>
    <row r="276" spans="1:11">
      <c r="A276" s="3">
        <v>191</v>
      </c>
      <c r="B276" t="s">
        <v>230</v>
      </c>
      <c r="C276" t="s">
        <v>8</v>
      </c>
      <c r="E276" s="3">
        <f t="shared" si="16"/>
        <v>4</v>
      </c>
      <c r="F276" s="5">
        <v>44105.625</v>
      </c>
      <c r="G276" s="19" t="str">
        <f t="shared" si="17"/>
        <v/>
      </c>
      <c r="J276" s="28">
        <f t="shared" si="18"/>
        <v>0.94897959183673475</v>
      </c>
      <c r="K276">
        <f t="shared" si="15"/>
        <v>888</v>
      </c>
    </row>
    <row r="277" spans="1:11">
      <c r="A277" s="3">
        <v>187</v>
      </c>
      <c r="B277" t="s">
        <v>231</v>
      </c>
      <c r="C277" t="s">
        <v>8</v>
      </c>
      <c r="E277" s="3">
        <f t="shared" si="16"/>
        <v>5</v>
      </c>
      <c r="F277" s="5">
        <v>44106.625</v>
      </c>
      <c r="G277" s="19" t="str">
        <f t="shared" si="17"/>
        <v/>
      </c>
      <c r="J277" s="28">
        <f t="shared" si="18"/>
        <v>0.4609375</v>
      </c>
      <c r="K277">
        <f t="shared" ref="K277:K340" si="19">SUM(A271:A277)</f>
        <v>947</v>
      </c>
    </row>
    <row r="278" spans="1:11">
      <c r="A278" s="3">
        <v>178</v>
      </c>
      <c r="B278" t="s">
        <v>233</v>
      </c>
      <c r="C278" t="s">
        <v>8</v>
      </c>
      <c r="E278" s="3">
        <f t="shared" si="16"/>
        <v>6</v>
      </c>
      <c r="F278" s="5">
        <v>44107.625</v>
      </c>
      <c r="G278" s="19" t="str">
        <f t="shared" si="17"/>
        <v/>
      </c>
      <c r="J278" s="28">
        <f t="shared" si="18"/>
        <v>1.4054054054054053</v>
      </c>
      <c r="K278">
        <f t="shared" si="19"/>
        <v>1051</v>
      </c>
    </row>
    <row r="279" spans="1:11">
      <c r="A279" s="3">
        <v>148</v>
      </c>
      <c r="B279" t="s">
        <v>292</v>
      </c>
      <c r="C279" t="s">
        <v>8</v>
      </c>
      <c r="E279" s="3">
        <f t="shared" si="16"/>
        <v>7</v>
      </c>
      <c r="F279" s="5">
        <v>44108.625</v>
      </c>
      <c r="G279" s="19" t="str">
        <f t="shared" si="17"/>
        <v/>
      </c>
      <c r="J279" s="28">
        <f t="shared" si="18"/>
        <v>1.1142857142857143</v>
      </c>
      <c r="K279">
        <f t="shared" si="19"/>
        <v>1129</v>
      </c>
    </row>
    <row r="280" spans="1:11" s="10" customFormat="1">
      <c r="A280" s="14">
        <v>291</v>
      </c>
      <c r="B280" s="10" t="s">
        <v>293</v>
      </c>
      <c r="C280" s="10" t="s">
        <v>8</v>
      </c>
      <c r="E280" s="14">
        <f t="shared" si="16"/>
        <v>1</v>
      </c>
      <c r="F280" s="18">
        <v>44109.625</v>
      </c>
      <c r="G280" s="19" t="str">
        <f t="shared" si="17"/>
        <v>2020-W41</v>
      </c>
      <c r="H280">
        <f>SUM(A280:A286)</f>
        <v>1625</v>
      </c>
      <c r="I280" s="28">
        <f>H280/H273-1</f>
        <v>0.43932683790965465</v>
      </c>
      <c r="J280" s="28">
        <f t="shared" si="18"/>
        <v>1.346774193548387</v>
      </c>
      <c r="K280">
        <f t="shared" si="19"/>
        <v>1296</v>
      </c>
    </row>
    <row r="281" spans="1:11">
      <c r="A281" s="3">
        <v>302</v>
      </c>
      <c r="B281" t="s">
        <v>294</v>
      </c>
      <c r="C281" t="s">
        <v>8</v>
      </c>
      <c r="E281" s="3">
        <f t="shared" si="16"/>
        <v>2</v>
      </c>
      <c r="F281" s="5">
        <v>44110.625</v>
      </c>
      <c r="G281" s="19" t="str">
        <f t="shared" si="17"/>
        <v/>
      </c>
      <c r="J281" s="28">
        <f t="shared" si="18"/>
        <v>1.2537313432835822</v>
      </c>
      <c r="K281">
        <f t="shared" si="19"/>
        <v>1464</v>
      </c>
    </row>
    <row r="282" spans="1:11" s="41" customFormat="1">
      <c r="A282" s="40">
        <v>306</v>
      </c>
      <c r="B282" s="41" t="s">
        <v>295</v>
      </c>
      <c r="C282" s="41" t="s">
        <v>8</v>
      </c>
      <c r="E282" s="40">
        <f t="shared" si="16"/>
        <v>3</v>
      </c>
      <c r="F282" s="42">
        <v>44111.625</v>
      </c>
      <c r="G282" s="43" t="str">
        <f t="shared" si="17"/>
        <v/>
      </c>
      <c r="J282" s="44">
        <f t="shared" si="18"/>
        <v>0.83233532934131738</v>
      </c>
      <c r="K282">
        <f t="shared" si="19"/>
        <v>1603</v>
      </c>
    </row>
    <row r="283" spans="1:11">
      <c r="A283" s="3">
        <v>259</v>
      </c>
      <c r="B283" t="s">
        <v>296</v>
      </c>
      <c r="C283" t="s">
        <v>8</v>
      </c>
      <c r="E283" s="3">
        <f t="shared" si="16"/>
        <v>4</v>
      </c>
      <c r="F283" s="5">
        <v>44112.625</v>
      </c>
      <c r="G283" s="19" t="str">
        <f t="shared" si="17"/>
        <v/>
      </c>
      <c r="J283" s="28">
        <f t="shared" si="18"/>
        <v>0.35602094240837689</v>
      </c>
      <c r="K283">
        <f t="shared" si="19"/>
        <v>1671</v>
      </c>
    </row>
    <row r="284" spans="1:11">
      <c r="A284" s="3">
        <v>226</v>
      </c>
      <c r="B284" t="s">
        <v>297</v>
      </c>
      <c r="C284" t="s">
        <v>8</v>
      </c>
      <c r="E284" s="3">
        <f t="shared" si="16"/>
        <v>5</v>
      </c>
      <c r="F284" s="5">
        <v>44113.625</v>
      </c>
      <c r="G284" s="19" t="str">
        <f t="shared" si="17"/>
        <v/>
      </c>
      <c r="J284" s="28">
        <f t="shared" si="18"/>
        <v>0.20855614973262027</v>
      </c>
      <c r="K284">
        <f t="shared" si="19"/>
        <v>1710</v>
      </c>
    </row>
    <row r="285" spans="1:11">
      <c r="A285" s="3">
        <v>110</v>
      </c>
      <c r="B285" t="s">
        <v>300</v>
      </c>
      <c r="C285" t="s">
        <v>8</v>
      </c>
      <c r="E285" s="3">
        <f t="shared" si="16"/>
        <v>6</v>
      </c>
      <c r="F285" s="5">
        <v>44114.625</v>
      </c>
      <c r="G285" s="19" t="str">
        <f t="shared" si="17"/>
        <v/>
      </c>
      <c r="J285" s="28">
        <f t="shared" si="18"/>
        <v>-0.3820224719101124</v>
      </c>
      <c r="K285">
        <f t="shared" si="19"/>
        <v>1642</v>
      </c>
    </row>
    <row r="286" spans="1:11">
      <c r="A286" s="3">
        <v>131</v>
      </c>
      <c r="B286" t="s">
        <v>301</v>
      </c>
      <c r="C286" t="s">
        <v>8</v>
      </c>
      <c r="E286" s="3">
        <f t="shared" si="16"/>
        <v>7</v>
      </c>
      <c r="F286" s="5">
        <v>44115.625</v>
      </c>
      <c r="G286" s="19" t="str">
        <f t="shared" si="17"/>
        <v/>
      </c>
      <c r="J286" s="28">
        <f t="shared" si="18"/>
        <v>-0.11486486486486491</v>
      </c>
      <c r="K286">
        <f t="shared" si="19"/>
        <v>1625</v>
      </c>
    </row>
    <row r="287" spans="1:11" s="10" customFormat="1">
      <c r="A287" s="14">
        <v>256</v>
      </c>
      <c r="B287" s="10" t="s">
        <v>305</v>
      </c>
      <c r="C287" s="10" t="s">
        <v>8</v>
      </c>
      <c r="E287" s="14">
        <f t="shared" si="16"/>
        <v>1</v>
      </c>
      <c r="F287" s="18">
        <v>44116.625</v>
      </c>
      <c r="G287" s="19" t="str">
        <f t="shared" si="17"/>
        <v>2020-W42</v>
      </c>
      <c r="H287">
        <f>SUM(A287:A293)</f>
        <v>1275</v>
      </c>
      <c r="I287" s="28">
        <f>H287/H280-1</f>
        <v>-0.2153846153846154</v>
      </c>
      <c r="J287" s="28">
        <f t="shared" si="18"/>
        <v>-0.1202749140893471</v>
      </c>
      <c r="K287">
        <f t="shared" si="19"/>
        <v>1590</v>
      </c>
    </row>
    <row r="288" spans="1:11">
      <c r="A288" s="3">
        <v>199</v>
      </c>
      <c r="B288" t="s">
        <v>306</v>
      </c>
      <c r="C288" t="s">
        <v>8</v>
      </c>
      <c r="E288" s="3">
        <f t="shared" si="16"/>
        <v>2</v>
      </c>
      <c r="F288" s="5">
        <v>44117.625</v>
      </c>
      <c r="G288" s="19" t="str">
        <f t="shared" si="17"/>
        <v/>
      </c>
      <c r="J288" s="28">
        <f t="shared" si="18"/>
        <v>-0.34105960264900659</v>
      </c>
      <c r="K288">
        <f t="shared" si="19"/>
        <v>1487</v>
      </c>
    </row>
    <row r="289" spans="1:11">
      <c r="A289" s="3">
        <v>202</v>
      </c>
      <c r="B289" t="s">
        <v>307</v>
      </c>
      <c r="C289" t="s">
        <v>8</v>
      </c>
      <c r="E289" s="3">
        <f t="shared" si="16"/>
        <v>3</v>
      </c>
      <c r="F289" s="5">
        <v>44118.625</v>
      </c>
      <c r="G289" s="19" t="str">
        <f t="shared" si="17"/>
        <v/>
      </c>
      <c r="J289" s="28">
        <f t="shared" si="18"/>
        <v>-0.33986928104575165</v>
      </c>
      <c r="K289">
        <f t="shared" si="19"/>
        <v>1383</v>
      </c>
    </row>
    <row r="290" spans="1:11">
      <c r="A290" s="3">
        <v>190</v>
      </c>
      <c r="B290" t="s">
        <v>308</v>
      </c>
      <c r="C290" t="s">
        <v>8</v>
      </c>
      <c r="E290" s="3">
        <f t="shared" si="16"/>
        <v>4</v>
      </c>
      <c r="F290" s="5">
        <v>44119.625</v>
      </c>
      <c r="G290" s="19" t="str">
        <f t="shared" si="17"/>
        <v/>
      </c>
      <c r="J290" s="28">
        <f t="shared" si="18"/>
        <v>-0.26640926640926643</v>
      </c>
      <c r="K290">
        <f t="shared" si="19"/>
        <v>1314</v>
      </c>
    </row>
    <row r="291" spans="1:11">
      <c r="A291" s="3">
        <v>195</v>
      </c>
      <c r="B291" t="s">
        <v>309</v>
      </c>
      <c r="C291" t="s">
        <v>8</v>
      </c>
      <c r="E291" s="3">
        <f t="shared" si="16"/>
        <v>5</v>
      </c>
      <c r="F291" s="5">
        <v>44120.625</v>
      </c>
      <c r="G291" s="19" t="str">
        <f t="shared" si="17"/>
        <v/>
      </c>
      <c r="J291" s="28">
        <f t="shared" si="18"/>
        <v>-0.13716814159292035</v>
      </c>
      <c r="K291">
        <f t="shared" si="19"/>
        <v>1283</v>
      </c>
    </row>
    <row r="292" spans="1:11">
      <c r="A292" s="3">
        <v>104</v>
      </c>
      <c r="B292" t="s">
        <v>310</v>
      </c>
      <c r="C292" t="s">
        <v>8</v>
      </c>
      <c r="E292" s="3">
        <f t="shared" si="16"/>
        <v>6</v>
      </c>
      <c r="F292" s="5">
        <v>44121.625</v>
      </c>
      <c r="G292" s="19" t="str">
        <f t="shared" si="17"/>
        <v/>
      </c>
      <c r="J292" s="28">
        <f t="shared" si="18"/>
        <v>-5.4545454545454564E-2</v>
      </c>
      <c r="K292">
        <f t="shared" si="19"/>
        <v>1277</v>
      </c>
    </row>
    <row r="293" spans="1:11">
      <c r="A293" s="3">
        <v>129</v>
      </c>
      <c r="B293" t="s">
        <v>311</v>
      </c>
      <c r="C293" t="s">
        <v>8</v>
      </c>
      <c r="E293" s="3">
        <f t="shared" si="16"/>
        <v>7</v>
      </c>
      <c r="F293" s="5">
        <v>44122.625</v>
      </c>
      <c r="G293" s="19" t="str">
        <f t="shared" si="17"/>
        <v/>
      </c>
      <c r="J293" s="28">
        <f t="shared" si="18"/>
        <v>-1.5267175572519109E-2</v>
      </c>
      <c r="K293">
        <f t="shared" si="19"/>
        <v>1275</v>
      </c>
    </row>
    <row r="294" spans="1:11" s="10" customFormat="1">
      <c r="A294" s="14">
        <v>243</v>
      </c>
      <c r="B294" s="10" t="s">
        <v>312</v>
      </c>
      <c r="C294" s="10" t="s">
        <v>8</v>
      </c>
      <c r="E294" s="14">
        <f t="shared" si="16"/>
        <v>1</v>
      </c>
      <c r="F294" s="18">
        <v>44123.625</v>
      </c>
      <c r="G294" s="19" t="str">
        <f t="shared" si="17"/>
        <v>2020-W43</v>
      </c>
      <c r="H294">
        <f>SUM(A294:A300)</f>
        <v>1243</v>
      </c>
      <c r="I294" s="28">
        <f>H294/H287-1</f>
        <v>-2.5098039215686319E-2</v>
      </c>
      <c r="J294" s="28">
        <f t="shared" si="18"/>
        <v>-5.078125E-2</v>
      </c>
      <c r="K294">
        <f t="shared" si="19"/>
        <v>1262</v>
      </c>
    </row>
    <row r="295" spans="1:11">
      <c r="A295" s="3">
        <v>167</v>
      </c>
      <c r="B295" t="s">
        <v>313</v>
      </c>
      <c r="C295" t="s">
        <v>8</v>
      </c>
      <c r="E295" s="3">
        <f t="shared" si="16"/>
        <v>2</v>
      </c>
      <c r="F295" s="5">
        <v>44124.625</v>
      </c>
      <c r="G295" s="19" t="str">
        <f t="shared" si="17"/>
        <v/>
      </c>
      <c r="J295" s="28">
        <f t="shared" si="18"/>
        <v>-0.16080402010050254</v>
      </c>
      <c r="K295">
        <f t="shared" si="19"/>
        <v>1230</v>
      </c>
    </row>
    <row r="296" spans="1:11">
      <c r="A296" s="3">
        <v>188</v>
      </c>
      <c r="B296" t="s">
        <v>314</v>
      </c>
      <c r="C296" t="s">
        <v>8</v>
      </c>
      <c r="E296" s="3">
        <f t="shared" si="16"/>
        <v>3</v>
      </c>
      <c r="F296" s="5">
        <v>44125.625</v>
      </c>
      <c r="G296" s="19" t="str">
        <f t="shared" si="17"/>
        <v/>
      </c>
      <c r="J296" s="28">
        <f t="shared" si="18"/>
        <v>-6.9306930693069257E-2</v>
      </c>
      <c r="K296">
        <f t="shared" si="19"/>
        <v>1216</v>
      </c>
    </row>
    <row r="297" spans="1:11">
      <c r="A297" s="3">
        <v>220</v>
      </c>
      <c r="B297" t="s">
        <v>315</v>
      </c>
      <c r="C297" t="s">
        <v>8</v>
      </c>
      <c r="E297" s="3">
        <f t="shared" si="16"/>
        <v>4</v>
      </c>
      <c r="F297" s="5">
        <v>44126.625</v>
      </c>
      <c r="G297" s="19" t="str">
        <f t="shared" si="17"/>
        <v/>
      </c>
      <c r="J297" s="28">
        <f t="shared" si="18"/>
        <v>0.15789473684210531</v>
      </c>
      <c r="K297">
        <f t="shared" si="19"/>
        <v>1246</v>
      </c>
    </row>
    <row r="298" spans="1:11">
      <c r="A298" s="3">
        <v>194</v>
      </c>
      <c r="B298" t="s">
        <v>316</v>
      </c>
      <c r="C298" t="s">
        <v>8</v>
      </c>
      <c r="E298" s="3">
        <f t="shared" si="16"/>
        <v>5</v>
      </c>
      <c r="F298" s="5">
        <v>44127.625</v>
      </c>
      <c r="G298" s="19" t="str">
        <f t="shared" si="17"/>
        <v/>
      </c>
      <c r="J298" s="28">
        <f t="shared" si="18"/>
        <v>-5.12820512820511E-3</v>
      </c>
      <c r="K298">
        <f t="shared" si="19"/>
        <v>1245</v>
      </c>
    </row>
    <row r="299" spans="1:11">
      <c r="A299" s="3">
        <v>107</v>
      </c>
      <c r="B299" t="s">
        <v>317</v>
      </c>
      <c r="C299" t="s">
        <v>8</v>
      </c>
      <c r="E299" s="3">
        <f t="shared" si="16"/>
        <v>6</v>
      </c>
      <c r="F299" s="5">
        <v>44128.625</v>
      </c>
      <c r="G299" s="19" t="str">
        <f t="shared" si="17"/>
        <v/>
      </c>
      <c r="J299" s="28">
        <f t="shared" si="18"/>
        <v>2.8846153846153744E-2</v>
      </c>
      <c r="K299">
        <f t="shared" si="19"/>
        <v>1248</v>
      </c>
    </row>
    <row r="300" spans="1:11">
      <c r="A300" s="3">
        <v>124</v>
      </c>
      <c r="B300" t="s">
        <v>318</v>
      </c>
      <c r="C300" t="s">
        <v>8</v>
      </c>
      <c r="E300" s="3">
        <f t="shared" si="16"/>
        <v>7</v>
      </c>
      <c r="F300" s="5">
        <v>44129.625</v>
      </c>
      <c r="G300" s="19" t="str">
        <f t="shared" si="17"/>
        <v/>
      </c>
      <c r="J300" s="28">
        <f t="shared" si="18"/>
        <v>-3.8759689922480578E-2</v>
      </c>
      <c r="K300">
        <f t="shared" si="19"/>
        <v>1243</v>
      </c>
    </row>
    <row r="301" spans="1:11" s="10" customFormat="1">
      <c r="A301" s="14">
        <v>255</v>
      </c>
      <c r="B301" s="10" t="s">
        <v>319</v>
      </c>
      <c r="C301" s="10" t="s">
        <v>8</v>
      </c>
      <c r="E301" s="14">
        <f t="shared" si="16"/>
        <v>1</v>
      </c>
      <c r="F301" s="18">
        <v>44130.625</v>
      </c>
      <c r="G301" s="19" t="str">
        <f t="shared" si="17"/>
        <v>2020-W44</v>
      </c>
      <c r="H301">
        <f>SUM(A301:A307)</f>
        <v>1456</v>
      </c>
      <c r="I301" s="28">
        <f>H301/H294-1</f>
        <v>0.17135961383748999</v>
      </c>
      <c r="J301" s="28">
        <f t="shared" si="18"/>
        <v>4.9382716049382713E-2</v>
      </c>
      <c r="K301">
        <f t="shared" si="19"/>
        <v>1255</v>
      </c>
    </row>
    <row r="302" spans="1:11">
      <c r="A302" s="3">
        <v>232</v>
      </c>
      <c r="B302" t="s">
        <v>320</v>
      </c>
      <c r="C302" t="s">
        <v>8</v>
      </c>
      <c r="E302" s="3">
        <f t="shared" si="16"/>
        <v>2</v>
      </c>
      <c r="F302" s="5">
        <v>44131.625</v>
      </c>
      <c r="G302" s="19" t="str">
        <f t="shared" si="17"/>
        <v/>
      </c>
      <c r="J302" s="28">
        <f t="shared" si="18"/>
        <v>0.38922155688622762</v>
      </c>
      <c r="K302">
        <f t="shared" si="19"/>
        <v>1320</v>
      </c>
    </row>
    <row r="303" spans="1:11">
      <c r="A303" s="3">
        <v>240</v>
      </c>
      <c r="B303" t="s">
        <v>321</v>
      </c>
      <c r="C303" t="s">
        <v>8</v>
      </c>
      <c r="E303" s="3">
        <f t="shared" si="16"/>
        <v>3</v>
      </c>
      <c r="F303" s="5">
        <v>44132.625</v>
      </c>
      <c r="G303" s="19" t="str">
        <f t="shared" si="17"/>
        <v/>
      </c>
      <c r="J303" s="28">
        <f t="shared" si="18"/>
        <v>0.27659574468085113</v>
      </c>
      <c r="K303">
        <f t="shared" si="19"/>
        <v>1372</v>
      </c>
    </row>
    <row r="304" spans="1:11">
      <c r="A304" s="3">
        <v>237</v>
      </c>
      <c r="B304" t="s">
        <v>322</v>
      </c>
      <c r="C304" t="s">
        <v>8</v>
      </c>
      <c r="E304" s="3">
        <f t="shared" si="16"/>
        <v>4</v>
      </c>
      <c r="F304" s="5">
        <v>44133.625</v>
      </c>
      <c r="G304" s="19" t="str">
        <f t="shared" si="17"/>
        <v/>
      </c>
      <c r="J304" s="28">
        <f t="shared" si="18"/>
        <v>7.7272727272727382E-2</v>
      </c>
      <c r="K304">
        <f t="shared" si="19"/>
        <v>1389</v>
      </c>
    </row>
    <row r="305" spans="1:11">
      <c r="A305" s="3">
        <v>220</v>
      </c>
      <c r="B305" t="s">
        <v>323</v>
      </c>
      <c r="C305" t="s">
        <v>8</v>
      </c>
      <c r="E305" s="3">
        <f t="shared" si="16"/>
        <v>5</v>
      </c>
      <c r="F305" s="5">
        <v>44134.625</v>
      </c>
      <c r="G305" s="19" t="str">
        <f t="shared" si="17"/>
        <v/>
      </c>
      <c r="J305" s="28">
        <f t="shared" si="18"/>
        <v>0.134020618556701</v>
      </c>
      <c r="K305">
        <f t="shared" si="19"/>
        <v>1415</v>
      </c>
    </row>
    <row r="306" spans="1:11">
      <c r="A306" s="3">
        <v>121</v>
      </c>
      <c r="B306" t="s">
        <v>324</v>
      </c>
      <c r="C306" t="s">
        <v>8</v>
      </c>
      <c r="E306" s="3">
        <f t="shared" si="16"/>
        <v>6</v>
      </c>
      <c r="F306" s="5">
        <v>44135.625</v>
      </c>
      <c r="G306" s="19" t="str">
        <f t="shared" si="17"/>
        <v/>
      </c>
      <c r="J306" s="28">
        <f t="shared" si="18"/>
        <v>0.13084112149532712</v>
      </c>
      <c r="K306">
        <f t="shared" si="19"/>
        <v>1429</v>
      </c>
    </row>
    <row r="307" spans="1:11">
      <c r="A307" s="3">
        <v>151</v>
      </c>
      <c r="B307" t="s">
        <v>325</v>
      </c>
      <c r="C307" t="s">
        <v>8</v>
      </c>
      <c r="E307" s="3">
        <f t="shared" si="16"/>
        <v>7</v>
      </c>
      <c r="F307" s="5">
        <v>44136.625</v>
      </c>
      <c r="G307" s="19" t="str">
        <f t="shared" si="17"/>
        <v/>
      </c>
      <c r="J307" s="28">
        <f t="shared" si="18"/>
        <v>0.217741935483871</v>
      </c>
      <c r="K307">
        <f t="shared" si="19"/>
        <v>1456</v>
      </c>
    </row>
    <row r="308" spans="1:11" s="10" customFormat="1">
      <c r="A308" s="14">
        <v>287</v>
      </c>
      <c r="B308" s="10" t="s">
        <v>326</v>
      </c>
      <c r="C308" s="10" t="s">
        <v>8</v>
      </c>
      <c r="E308" s="14">
        <f t="shared" si="16"/>
        <v>1</v>
      </c>
      <c r="F308" s="18">
        <v>44137.625</v>
      </c>
      <c r="G308" s="19" t="str">
        <f t="shared" si="17"/>
        <v>2020-W45</v>
      </c>
      <c r="H308">
        <f>SUM(A308:A314)</f>
        <v>1416</v>
      </c>
      <c r="I308" s="28">
        <f>H308/H301-1</f>
        <v>-2.7472527472527486E-2</v>
      </c>
      <c r="J308" s="28">
        <f t="shared" si="18"/>
        <v>0.12549019607843137</v>
      </c>
      <c r="K308">
        <f t="shared" si="19"/>
        <v>1488</v>
      </c>
    </row>
    <row r="309" spans="1:11">
      <c r="A309" s="3">
        <v>241</v>
      </c>
      <c r="B309" t="s">
        <v>327</v>
      </c>
      <c r="C309" t="s">
        <v>8</v>
      </c>
      <c r="E309" s="3">
        <f t="shared" si="16"/>
        <v>2</v>
      </c>
      <c r="F309" s="5">
        <v>44138.625</v>
      </c>
      <c r="G309" s="19" t="str">
        <f t="shared" si="17"/>
        <v/>
      </c>
      <c r="J309" s="28">
        <f t="shared" si="18"/>
        <v>3.8793103448275801E-2</v>
      </c>
      <c r="K309">
        <f t="shared" si="19"/>
        <v>1497</v>
      </c>
    </row>
    <row r="310" spans="1:11">
      <c r="A310" s="3">
        <v>213</v>
      </c>
      <c r="B310" t="s">
        <v>328</v>
      </c>
      <c r="C310" t="s">
        <v>8</v>
      </c>
      <c r="E310" s="3">
        <f t="shared" si="16"/>
        <v>3</v>
      </c>
      <c r="F310" s="5">
        <v>44139.625</v>
      </c>
      <c r="G310" s="19" t="str">
        <f t="shared" si="17"/>
        <v/>
      </c>
      <c r="J310" s="28">
        <f t="shared" si="18"/>
        <v>-0.11250000000000004</v>
      </c>
      <c r="K310">
        <f t="shared" si="19"/>
        <v>1470</v>
      </c>
    </row>
    <row r="311" spans="1:11">
      <c r="A311" s="3">
        <v>219</v>
      </c>
      <c r="B311" t="s">
        <v>329</v>
      </c>
      <c r="C311" t="s">
        <v>8</v>
      </c>
      <c r="E311" s="3">
        <f t="shared" si="16"/>
        <v>4</v>
      </c>
      <c r="F311" s="5">
        <v>44140.625</v>
      </c>
      <c r="G311" s="19" t="str">
        <f t="shared" si="17"/>
        <v/>
      </c>
      <c r="J311" s="28">
        <f t="shared" si="18"/>
        <v>-7.5949367088607556E-2</v>
      </c>
      <c r="K311">
        <f t="shared" si="19"/>
        <v>1452</v>
      </c>
    </row>
    <row r="312" spans="1:11">
      <c r="A312" s="3">
        <v>196</v>
      </c>
      <c r="B312" t="s">
        <v>330</v>
      </c>
      <c r="C312" t="s">
        <v>8</v>
      </c>
      <c r="E312" s="3">
        <f t="shared" si="16"/>
        <v>5</v>
      </c>
      <c r="F312" s="5">
        <v>44141.625</v>
      </c>
      <c r="G312" s="19" t="str">
        <f t="shared" si="17"/>
        <v/>
      </c>
      <c r="J312" s="28">
        <f t="shared" si="18"/>
        <v>-0.10909090909090913</v>
      </c>
      <c r="K312">
        <f t="shared" si="19"/>
        <v>1428</v>
      </c>
    </row>
    <row r="313" spans="1:11">
      <c r="A313" s="3">
        <v>128</v>
      </c>
      <c r="B313" t="s">
        <v>331</v>
      </c>
      <c r="C313" t="s">
        <v>8</v>
      </c>
      <c r="E313" s="3">
        <f t="shared" si="16"/>
        <v>6</v>
      </c>
      <c r="F313" s="5">
        <v>44142.625</v>
      </c>
      <c r="G313" s="19" t="str">
        <f t="shared" si="17"/>
        <v/>
      </c>
      <c r="J313" s="28">
        <f t="shared" si="18"/>
        <v>5.7851239669421517E-2</v>
      </c>
      <c r="K313">
        <f t="shared" si="19"/>
        <v>1435</v>
      </c>
    </row>
    <row r="314" spans="1:11">
      <c r="A314" s="3">
        <v>132</v>
      </c>
      <c r="B314" t="s">
        <v>332</v>
      </c>
      <c r="C314" t="s">
        <v>8</v>
      </c>
      <c r="E314" s="3">
        <f t="shared" si="16"/>
        <v>7</v>
      </c>
      <c r="F314" s="5">
        <v>44143.625</v>
      </c>
      <c r="G314" s="19" t="str">
        <f t="shared" si="17"/>
        <v/>
      </c>
      <c r="J314" s="28">
        <f t="shared" si="18"/>
        <v>-0.1258278145695364</v>
      </c>
      <c r="K314">
        <f t="shared" si="19"/>
        <v>1416</v>
      </c>
    </row>
    <row r="315" spans="1:11">
      <c r="A315" s="3">
        <v>273</v>
      </c>
      <c r="B315" t="s">
        <v>333</v>
      </c>
      <c r="C315" t="s">
        <v>8</v>
      </c>
      <c r="E315" s="3">
        <f t="shared" si="16"/>
        <v>1</v>
      </c>
      <c r="F315" s="5">
        <v>44144.625</v>
      </c>
      <c r="G315" s="19" t="str">
        <f t="shared" si="17"/>
        <v>2020-W46</v>
      </c>
      <c r="H315">
        <f>SUM(A315:A321)</f>
        <v>1649</v>
      </c>
      <c r="I315" s="28">
        <f>H315/H308-1</f>
        <v>0.16454802259887003</v>
      </c>
      <c r="J315" s="28">
        <f t="shared" si="18"/>
        <v>-4.8780487804878092E-2</v>
      </c>
      <c r="K315">
        <f t="shared" si="19"/>
        <v>1402</v>
      </c>
    </row>
    <row r="316" spans="1:11">
      <c r="A316" s="3">
        <v>206</v>
      </c>
      <c r="B316" t="s">
        <v>334</v>
      </c>
      <c r="C316" t="s">
        <v>8</v>
      </c>
      <c r="E316" s="3">
        <f t="shared" si="16"/>
        <v>2</v>
      </c>
      <c r="F316" s="5">
        <v>44145.625</v>
      </c>
      <c r="G316" s="19" t="str">
        <f t="shared" si="17"/>
        <v/>
      </c>
      <c r="J316" s="28">
        <f t="shared" si="18"/>
        <v>-0.14522821576763489</v>
      </c>
      <c r="K316">
        <f t="shared" si="19"/>
        <v>1367</v>
      </c>
    </row>
    <row r="317" spans="1:11">
      <c r="A317" s="3">
        <v>294</v>
      </c>
      <c r="B317" t="s">
        <v>335</v>
      </c>
      <c r="C317" t="s">
        <v>8</v>
      </c>
      <c r="E317" s="3">
        <f t="shared" si="16"/>
        <v>3</v>
      </c>
      <c r="F317" s="5">
        <v>44146.625</v>
      </c>
      <c r="G317" s="19" t="str">
        <f t="shared" si="17"/>
        <v/>
      </c>
      <c r="J317" s="28">
        <f t="shared" si="18"/>
        <v>0.38028169014084501</v>
      </c>
      <c r="K317">
        <f t="shared" si="19"/>
        <v>1448</v>
      </c>
    </row>
    <row r="318" spans="1:11">
      <c r="A318" s="3">
        <v>282</v>
      </c>
      <c r="B318" t="s">
        <v>336</v>
      </c>
      <c r="C318" t="s">
        <v>8</v>
      </c>
      <c r="E318" s="3">
        <f t="shared" si="16"/>
        <v>4</v>
      </c>
      <c r="F318" s="5">
        <v>44147.625</v>
      </c>
      <c r="G318" s="19" t="str">
        <f t="shared" si="17"/>
        <v/>
      </c>
      <c r="J318" s="28">
        <f t="shared" si="18"/>
        <v>0.28767123287671237</v>
      </c>
      <c r="K318">
        <f t="shared" si="19"/>
        <v>1511</v>
      </c>
    </row>
    <row r="319" spans="1:11">
      <c r="A319" s="3">
        <v>268</v>
      </c>
      <c r="B319" t="s">
        <v>337</v>
      </c>
      <c r="C319" t="s">
        <v>8</v>
      </c>
      <c r="E319" s="3">
        <f t="shared" si="16"/>
        <v>5</v>
      </c>
      <c r="F319" s="5">
        <v>44148.625</v>
      </c>
      <c r="G319" s="19" t="str">
        <f t="shared" si="17"/>
        <v/>
      </c>
      <c r="J319" s="28">
        <f t="shared" si="18"/>
        <v>0.36734693877551017</v>
      </c>
      <c r="K319">
        <f t="shared" si="19"/>
        <v>1583</v>
      </c>
    </row>
    <row r="320" spans="1:11">
      <c r="A320" s="3">
        <v>145</v>
      </c>
      <c r="B320" t="s">
        <v>338</v>
      </c>
      <c r="C320" t="s">
        <v>8</v>
      </c>
      <c r="E320" s="3">
        <f t="shared" si="16"/>
        <v>6</v>
      </c>
      <c r="F320" s="5">
        <v>44149.625</v>
      </c>
      <c r="G320" s="19" t="str">
        <f t="shared" si="17"/>
        <v/>
      </c>
      <c r="J320" s="28">
        <f t="shared" si="18"/>
        <v>0.1328125</v>
      </c>
      <c r="K320">
        <f t="shared" si="19"/>
        <v>1600</v>
      </c>
    </row>
    <row r="321" spans="1:11">
      <c r="A321" s="3">
        <v>181</v>
      </c>
      <c r="B321" t="s">
        <v>339</v>
      </c>
      <c r="C321" t="s">
        <v>8</v>
      </c>
      <c r="E321" s="3">
        <f t="shared" si="16"/>
        <v>7</v>
      </c>
      <c r="F321" s="5">
        <v>44150.625</v>
      </c>
      <c r="G321" s="19" t="str">
        <f t="shared" si="17"/>
        <v/>
      </c>
      <c r="J321" s="28">
        <f t="shared" si="18"/>
        <v>0.3712121212121211</v>
      </c>
      <c r="K321">
        <f t="shared" si="19"/>
        <v>1649</v>
      </c>
    </row>
    <row r="322" spans="1:11">
      <c r="A322" s="3">
        <v>392</v>
      </c>
      <c r="B322" t="s">
        <v>340</v>
      </c>
      <c r="C322" t="s">
        <v>8</v>
      </c>
      <c r="E322" s="3">
        <f t="shared" si="16"/>
        <v>1</v>
      </c>
      <c r="F322" s="5">
        <v>44151.625</v>
      </c>
      <c r="G322" s="19" t="str">
        <f t="shared" si="17"/>
        <v>2020-W47</v>
      </c>
      <c r="H322">
        <f>SUM(A322:A328)</f>
        <v>2600</v>
      </c>
      <c r="I322" s="28">
        <f>H322/H315-1</f>
        <v>0.57671315949060031</v>
      </c>
      <c r="J322" s="28">
        <f t="shared" si="18"/>
        <v>0.4358974358974359</v>
      </c>
      <c r="K322">
        <f t="shared" si="19"/>
        <v>1768</v>
      </c>
    </row>
    <row r="323" spans="1:11">
      <c r="A323" s="3">
        <v>389</v>
      </c>
      <c r="B323" t="s">
        <v>341</v>
      </c>
      <c r="C323" t="s">
        <v>8</v>
      </c>
      <c r="E323" s="3">
        <f>WEEKDAY(F323,2)</f>
        <v>2</v>
      </c>
      <c r="F323" s="5">
        <v>44152.625</v>
      </c>
      <c r="G323" s="19" t="str">
        <f t="shared" ref="G323:G386" si="20">IF(WEEKDAY(F323,2)=1,YEAR(F323)&amp;"-W"&amp;TEXT(WEEKNUM(F323,14),"00"),"")</f>
        <v/>
      </c>
      <c r="J323" s="28">
        <f t="shared" si="18"/>
        <v>0.88834951456310685</v>
      </c>
      <c r="K323">
        <f t="shared" si="19"/>
        <v>1951</v>
      </c>
    </row>
    <row r="324" spans="1:11">
      <c r="A324" s="3">
        <v>376</v>
      </c>
      <c r="B324" t="s">
        <v>342</v>
      </c>
      <c r="C324" t="s">
        <v>8</v>
      </c>
      <c r="E324" s="3">
        <f t="shared" si="16"/>
        <v>3</v>
      </c>
      <c r="F324" s="5">
        <v>44153.625</v>
      </c>
      <c r="G324" s="19" t="str">
        <f t="shared" si="20"/>
        <v/>
      </c>
      <c r="J324" s="28">
        <f t="shared" si="18"/>
        <v>0.27891156462585043</v>
      </c>
      <c r="K324">
        <f t="shared" si="19"/>
        <v>2033</v>
      </c>
    </row>
    <row r="325" spans="1:11">
      <c r="A325" s="3">
        <v>478</v>
      </c>
      <c r="B325" t="s">
        <v>343</v>
      </c>
      <c r="C325" t="s">
        <v>8</v>
      </c>
      <c r="E325" s="3">
        <f t="shared" ref="E325:E382" si="21">WEEKDAY(F325,2)</f>
        <v>4</v>
      </c>
      <c r="F325" s="5">
        <v>44154.625</v>
      </c>
      <c r="G325" s="19" t="str">
        <f t="shared" si="20"/>
        <v/>
      </c>
      <c r="J325" s="28">
        <f t="shared" si="18"/>
        <v>0.69503546099290769</v>
      </c>
      <c r="K325">
        <f t="shared" si="19"/>
        <v>2229</v>
      </c>
    </row>
    <row r="326" spans="1:11">
      <c r="A326" s="3">
        <v>428</v>
      </c>
      <c r="B326" t="s">
        <v>344</v>
      </c>
      <c r="C326" t="s">
        <v>8</v>
      </c>
      <c r="E326" s="3">
        <f t="shared" si="21"/>
        <v>5</v>
      </c>
      <c r="F326" s="5">
        <v>44155.625</v>
      </c>
      <c r="G326" s="19" t="str">
        <f t="shared" si="20"/>
        <v/>
      </c>
      <c r="J326" s="28">
        <f t="shared" si="18"/>
        <v>0.59701492537313428</v>
      </c>
      <c r="K326">
        <f t="shared" si="19"/>
        <v>2389</v>
      </c>
    </row>
    <row r="327" spans="1:11">
      <c r="A327" s="3">
        <v>270</v>
      </c>
      <c r="B327" t="s">
        <v>347</v>
      </c>
      <c r="C327" t="s">
        <v>8</v>
      </c>
      <c r="E327" s="3">
        <f t="shared" si="21"/>
        <v>6</v>
      </c>
      <c r="F327" s="5">
        <v>44156.625</v>
      </c>
      <c r="G327" s="19" t="str">
        <f t="shared" si="20"/>
        <v/>
      </c>
      <c r="J327" s="28">
        <f t="shared" si="18"/>
        <v>0.86206896551724133</v>
      </c>
      <c r="K327">
        <f t="shared" si="19"/>
        <v>2514</v>
      </c>
    </row>
    <row r="328" spans="1:11">
      <c r="A328" s="3">
        <v>267</v>
      </c>
      <c r="B328" t="s">
        <v>348</v>
      </c>
      <c r="C328" t="s">
        <v>8</v>
      </c>
      <c r="E328" s="3">
        <f t="shared" si="21"/>
        <v>7</v>
      </c>
      <c r="F328" s="5">
        <v>44157.625</v>
      </c>
      <c r="G328" s="19" t="str">
        <f t="shared" si="20"/>
        <v/>
      </c>
      <c r="J328" s="28">
        <f t="shared" si="18"/>
        <v>0.47513812154696122</v>
      </c>
      <c r="K328">
        <f t="shared" si="19"/>
        <v>2600</v>
      </c>
    </row>
    <row r="329" spans="1:11">
      <c r="A329" s="3">
        <v>504</v>
      </c>
      <c r="B329" t="s">
        <v>349</v>
      </c>
      <c r="C329" t="s">
        <v>8</v>
      </c>
      <c r="E329" s="3">
        <f t="shared" si="21"/>
        <v>1</v>
      </c>
      <c r="F329" s="5">
        <v>44158.625</v>
      </c>
      <c r="G329" s="19" t="str">
        <f t="shared" si="20"/>
        <v>2020-W48</v>
      </c>
      <c r="H329">
        <f>SUM(A329:A335)</f>
        <v>3136</v>
      </c>
      <c r="I329" s="28">
        <f>H329/H322-1</f>
        <v>0.20615384615384613</v>
      </c>
      <c r="J329" s="28">
        <f t="shared" ref="J329:J392" si="22">A329/A322-1</f>
        <v>0.28571428571428581</v>
      </c>
      <c r="K329">
        <f t="shared" si="19"/>
        <v>2712</v>
      </c>
    </row>
    <row r="330" spans="1:11">
      <c r="A330" s="3">
        <v>471</v>
      </c>
      <c r="B330" t="s">
        <v>350</v>
      </c>
      <c r="C330" t="s">
        <v>8</v>
      </c>
      <c r="E330" s="3">
        <f t="shared" si="21"/>
        <v>2</v>
      </c>
      <c r="F330" s="5">
        <v>44159.625</v>
      </c>
      <c r="G330" s="19" t="str">
        <f t="shared" si="20"/>
        <v/>
      </c>
      <c r="J330" s="28">
        <f t="shared" si="22"/>
        <v>0.2107969151670952</v>
      </c>
      <c r="K330">
        <f t="shared" si="19"/>
        <v>2794</v>
      </c>
    </row>
    <row r="331" spans="1:11">
      <c r="A331" s="3">
        <v>619</v>
      </c>
      <c r="B331" t="s">
        <v>351</v>
      </c>
      <c r="C331" t="s">
        <v>8</v>
      </c>
      <c r="E331" s="3">
        <f t="shared" si="21"/>
        <v>3</v>
      </c>
      <c r="F331" s="5">
        <v>44160.625</v>
      </c>
      <c r="G331" s="19" t="str">
        <f t="shared" si="20"/>
        <v/>
      </c>
      <c r="J331" s="28">
        <f t="shared" si="22"/>
        <v>0.64627659574468077</v>
      </c>
      <c r="K331">
        <f t="shared" si="19"/>
        <v>3037</v>
      </c>
    </row>
    <row r="332" spans="1:11">
      <c r="A332" s="3">
        <v>509</v>
      </c>
      <c r="B332" t="s">
        <v>354</v>
      </c>
      <c r="C332" t="s">
        <v>8</v>
      </c>
      <c r="E332" s="3">
        <f t="shared" si="21"/>
        <v>4</v>
      </c>
      <c r="F332" s="5">
        <v>44161.625</v>
      </c>
      <c r="G332" s="19" t="str">
        <f t="shared" si="20"/>
        <v/>
      </c>
      <c r="J332" s="28">
        <f t="shared" si="22"/>
        <v>6.4853556485355623E-2</v>
      </c>
      <c r="K332">
        <f t="shared" si="19"/>
        <v>3068</v>
      </c>
    </row>
    <row r="333" spans="1:11">
      <c r="A333" s="3">
        <v>456</v>
      </c>
      <c r="B333" t="s">
        <v>355</v>
      </c>
      <c r="C333" t="s">
        <v>8</v>
      </c>
      <c r="E333" s="3">
        <f t="shared" si="21"/>
        <v>5</v>
      </c>
      <c r="F333" s="5">
        <v>44162.625</v>
      </c>
      <c r="G333" s="19" t="str">
        <f t="shared" si="20"/>
        <v/>
      </c>
      <c r="J333" s="28">
        <f t="shared" si="22"/>
        <v>6.5420560747663448E-2</v>
      </c>
      <c r="K333">
        <f t="shared" si="19"/>
        <v>3096</v>
      </c>
    </row>
    <row r="334" spans="1:11">
      <c r="A334" s="3">
        <v>284</v>
      </c>
      <c r="B334" t="s">
        <v>356</v>
      </c>
      <c r="C334" t="s">
        <v>8</v>
      </c>
      <c r="E334" s="3">
        <f t="shared" si="21"/>
        <v>6</v>
      </c>
      <c r="F334" s="5">
        <v>44163.625</v>
      </c>
      <c r="G334" s="19" t="str">
        <f t="shared" si="20"/>
        <v/>
      </c>
      <c r="J334" s="28">
        <f t="shared" si="22"/>
        <v>5.1851851851851816E-2</v>
      </c>
      <c r="K334">
        <f t="shared" si="19"/>
        <v>3110</v>
      </c>
    </row>
    <row r="335" spans="1:11">
      <c r="A335" s="3">
        <v>293</v>
      </c>
      <c r="B335" t="s">
        <v>357</v>
      </c>
      <c r="C335" t="s">
        <v>8</v>
      </c>
      <c r="E335" s="3">
        <f t="shared" si="21"/>
        <v>7</v>
      </c>
      <c r="F335" s="5">
        <v>44164.625</v>
      </c>
      <c r="G335" s="19" t="str">
        <f t="shared" si="20"/>
        <v/>
      </c>
      <c r="J335" s="28">
        <f t="shared" si="22"/>
        <v>9.7378277153558068E-2</v>
      </c>
      <c r="K335">
        <f t="shared" si="19"/>
        <v>3136</v>
      </c>
    </row>
    <row r="336" spans="1:11">
      <c r="A336" s="3">
        <v>595</v>
      </c>
      <c r="B336" t="s">
        <v>358</v>
      </c>
      <c r="C336" t="s">
        <v>8</v>
      </c>
      <c r="E336" s="3">
        <f t="shared" si="21"/>
        <v>1</v>
      </c>
      <c r="F336" s="5">
        <v>44165.625</v>
      </c>
      <c r="G336" s="19" t="str">
        <f t="shared" si="20"/>
        <v>2020-W49</v>
      </c>
      <c r="H336">
        <f>SUM(A336:A342)</f>
        <v>3015</v>
      </c>
      <c r="I336" s="28">
        <f>H336/H329-1</f>
        <v>-3.8584183673469385E-2</v>
      </c>
      <c r="J336" s="28">
        <f t="shared" si="22"/>
        <v>0.18055555555555558</v>
      </c>
      <c r="K336">
        <f t="shared" si="19"/>
        <v>3227</v>
      </c>
    </row>
    <row r="337" spans="1:11">
      <c r="A337" s="3">
        <v>440</v>
      </c>
      <c r="B337" t="s">
        <v>360</v>
      </c>
      <c r="C337" t="s">
        <v>8</v>
      </c>
      <c r="E337" s="3">
        <f t="shared" si="21"/>
        <v>2</v>
      </c>
      <c r="F337" s="5">
        <v>44166.625</v>
      </c>
      <c r="G337" s="19" t="str">
        <f t="shared" si="20"/>
        <v/>
      </c>
      <c r="J337" s="28">
        <f t="shared" si="22"/>
        <v>-6.5817409766454338E-2</v>
      </c>
      <c r="K337">
        <f t="shared" si="19"/>
        <v>3196</v>
      </c>
    </row>
    <row r="338" spans="1:11">
      <c r="A338" s="3">
        <v>495</v>
      </c>
      <c r="B338" t="s">
        <v>361</v>
      </c>
      <c r="C338" t="s">
        <v>8</v>
      </c>
      <c r="E338" s="3">
        <f t="shared" si="21"/>
        <v>3</v>
      </c>
      <c r="F338" s="5">
        <v>44167.625</v>
      </c>
      <c r="G338" s="19" t="str">
        <f t="shared" si="20"/>
        <v/>
      </c>
      <c r="J338" s="28">
        <f t="shared" si="22"/>
        <v>-0.20032310177705981</v>
      </c>
      <c r="K338">
        <f t="shared" si="19"/>
        <v>3072</v>
      </c>
    </row>
    <row r="339" spans="1:11">
      <c r="A339" s="3">
        <v>478</v>
      </c>
      <c r="B339" t="s">
        <v>362</v>
      </c>
      <c r="C339" t="s">
        <v>8</v>
      </c>
      <c r="E339" s="3">
        <f t="shared" si="21"/>
        <v>4</v>
      </c>
      <c r="F339" s="5">
        <v>44168.625</v>
      </c>
      <c r="G339" s="19" t="str">
        <f t="shared" si="20"/>
        <v/>
      </c>
      <c r="J339" s="28">
        <f t="shared" si="22"/>
        <v>-6.0903732809430289E-2</v>
      </c>
      <c r="K339">
        <f t="shared" si="19"/>
        <v>3041</v>
      </c>
    </row>
    <row r="340" spans="1:11">
      <c r="A340" s="3">
        <v>473</v>
      </c>
      <c r="B340" t="s">
        <v>363</v>
      </c>
      <c r="C340" t="s">
        <v>8</v>
      </c>
      <c r="E340" s="3">
        <f t="shared" si="21"/>
        <v>5</v>
      </c>
      <c r="F340" s="5">
        <v>44169.625</v>
      </c>
      <c r="G340" s="19" t="str">
        <f t="shared" si="20"/>
        <v/>
      </c>
      <c r="J340" s="28">
        <f t="shared" si="22"/>
        <v>3.7280701754385914E-2</v>
      </c>
      <c r="K340">
        <f t="shared" si="19"/>
        <v>3058</v>
      </c>
    </row>
    <row r="341" spans="1:11">
      <c r="A341" s="3">
        <v>250</v>
      </c>
      <c r="B341" t="s">
        <v>364</v>
      </c>
      <c r="C341" t="s">
        <v>8</v>
      </c>
      <c r="E341" s="3">
        <f t="shared" si="21"/>
        <v>6</v>
      </c>
      <c r="F341" s="5">
        <v>44170.625</v>
      </c>
      <c r="G341" s="19" t="str">
        <f t="shared" si="20"/>
        <v/>
      </c>
      <c r="J341" s="28">
        <f t="shared" si="22"/>
        <v>-0.11971830985915488</v>
      </c>
      <c r="K341">
        <f t="shared" ref="K341:K404" si="23">SUM(A335:A341)</f>
        <v>3024</v>
      </c>
    </row>
    <row r="342" spans="1:11">
      <c r="A342" s="3">
        <v>284</v>
      </c>
      <c r="B342" t="s">
        <v>365</v>
      </c>
      <c r="C342" t="s">
        <v>8</v>
      </c>
      <c r="E342" s="3">
        <f t="shared" si="21"/>
        <v>7</v>
      </c>
      <c r="F342" s="5">
        <v>44171.625</v>
      </c>
      <c r="G342" s="19" t="str">
        <f t="shared" si="20"/>
        <v/>
      </c>
      <c r="J342" s="28">
        <f t="shared" si="22"/>
        <v>-3.0716723549488067E-2</v>
      </c>
      <c r="K342">
        <f t="shared" si="23"/>
        <v>3015</v>
      </c>
    </row>
    <row r="343" spans="1:11">
      <c r="A343" s="3">
        <v>587</v>
      </c>
      <c r="B343" t="s">
        <v>366</v>
      </c>
      <c r="C343" t="s">
        <v>8</v>
      </c>
      <c r="E343" s="3">
        <f t="shared" si="21"/>
        <v>1</v>
      </c>
      <c r="F343" s="5">
        <v>44172.625</v>
      </c>
      <c r="G343" s="19" t="str">
        <f t="shared" si="20"/>
        <v>2020-W50</v>
      </c>
      <c r="H343">
        <f>SUM(A343:A349)</f>
        <v>2904</v>
      </c>
      <c r="I343" s="28">
        <f>H343/H336-1</f>
        <v>-3.681592039800996E-2</v>
      </c>
      <c r="J343" s="28">
        <f t="shared" si="22"/>
        <v>-1.3445378151260456E-2</v>
      </c>
      <c r="K343">
        <f t="shared" si="23"/>
        <v>3007</v>
      </c>
    </row>
    <row r="344" spans="1:11">
      <c r="A344" s="3">
        <v>478</v>
      </c>
      <c r="B344" t="s">
        <v>367</v>
      </c>
      <c r="C344" t="s">
        <v>8</v>
      </c>
      <c r="E344" s="3">
        <f t="shared" si="21"/>
        <v>2</v>
      </c>
      <c r="F344" s="5">
        <v>44173.625</v>
      </c>
      <c r="G344" s="19" t="str">
        <f t="shared" si="20"/>
        <v/>
      </c>
      <c r="J344" s="28">
        <f t="shared" si="22"/>
        <v>8.636363636363642E-2</v>
      </c>
      <c r="K344">
        <f t="shared" si="23"/>
        <v>3045</v>
      </c>
    </row>
    <row r="345" spans="1:11">
      <c r="A345" s="3">
        <v>462</v>
      </c>
      <c r="B345" t="s">
        <v>368</v>
      </c>
      <c r="C345" t="s">
        <v>8</v>
      </c>
      <c r="E345" s="3">
        <f t="shared" si="21"/>
        <v>3</v>
      </c>
      <c r="F345" s="5">
        <v>44174.625</v>
      </c>
      <c r="G345" s="19" t="str">
        <f t="shared" si="20"/>
        <v/>
      </c>
      <c r="J345" s="28">
        <f t="shared" si="22"/>
        <v>-6.6666666666666652E-2</v>
      </c>
      <c r="K345">
        <f t="shared" si="23"/>
        <v>3012</v>
      </c>
    </row>
    <row r="346" spans="1:11">
      <c r="A346" s="3">
        <v>407</v>
      </c>
      <c r="B346" t="s">
        <v>369</v>
      </c>
      <c r="C346" t="s">
        <v>8</v>
      </c>
      <c r="E346" s="3">
        <f t="shared" si="21"/>
        <v>4</v>
      </c>
      <c r="F346" s="5">
        <v>44175.625</v>
      </c>
      <c r="G346" s="19" t="str">
        <f t="shared" si="20"/>
        <v/>
      </c>
      <c r="J346" s="28">
        <f t="shared" si="22"/>
        <v>-0.14853556485355646</v>
      </c>
      <c r="K346">
        <f t="shared" si="23"/>
        <v>2941</v>
      </c>
    </row>
    <row r="347" spans="1:11">
      <c r="A347" s="3">
        <v>445</v>
      </c>
      <c r="B347" t="s">
        <v>370</v>
      </c>
      <c r="C347" t="s">
        <v>8</v>
      </c>
      <c r="E347" s="3">
        <f t="shared" si="21"/>
        <v>5</v>
      </c>
      <c r="F347" s="5">
        <v>44176.625</v>
      </c>
      <c r="G347" s="19" t="str">
        <f t="shared" si="20"/>
        <v/>
      </c>
      <c r="J347" s="28">
        <f t="shared" si="22"/>
        <v>-5.9196617336152224E-2</v>
      </c>
      <c r="K347">
        <f t="shared" si="23"/>
        <v>2913</v>
      </c>
    </row>
    <row r="348" spans="1:11">
      <c r="A348" s="3">
        <v>249</v>
      </c>
      <c r="B348" t="s">
        <v>371</v>
      </c>
      <c r="C348" t="s">
        <v>8</v>
      </c>
      <c r="E348" s="3">
        <f t="shared" si="21"/>
        <v>6</v>
      </c>
      <c r="F348" s="5">
        <v>44177.625</v>
      </c>
      <c r="G348" s="19" t="str">
        <f t="shared" si="20"/>
        <v/>
      </c>
      <c r="J348" s="28">
        <f t="shared" si="22"/>
        <v>-4.0000000000000036E-3</v>
      </c>
      <c r="K348">
        <f t="shared" si="23"/>
        <v>2912</v>
      </c>
    </row>
    <row r="349" spans="1:11">
      <c r="A349" s="3">
        <v>276</v>
      </c>
      <c r="B349" t="s">
        <v>372</v>
      </c>
      <c r="C349" t="s">
        <v>8</v>
      </c>
      <c r="E349" s="3">
        <f t="shared" si="21"/>
        <v>7</v>
      </c>
      <c r="F349" s="5">
        <v>44178.625</v>
      </c>
      <c r="G349" s="19" t="str">
        <f t="shared" si="20"/>
        <v/>
      </c>
      <c r="J349" s="28">
        <f t="shared" si="22"/>
        <v>-2.8169014084507005E-2</v>
      </c>
      <c r="K349">
        <f t="shared" si="23"/>
        <v>2904</v>
      </c>
    </row>
    <row r="350" spans="1:11">
      <c r="A350" s="3">
        <v>463</v>
      </c>
      <c r="B350" t="s">
        <v>373</v>
      </c>
      <c r="C350" t="s">
        <v>8</v>
      </c>
      <c r="E350" s="3">
        <f t="shared" si="21"/>
        <v>1</v>
      </c>
      <c r="F350" s="5">
        <v>44179.625</v>
      </c>
      <c r="G350" s="19" t="str">
        <f t="shared" si="20"/>
        <v>2020-W51</v>
      </c>
      <c r="H350">
        <f>SUM(A350:A356)</f>
        <v>2326</v>
      </c>
      <c r="I350" s="28">
        <f>H350/H343-1</f>
        <v>-0.19903581267217629</v>
      </c>
      <c r="J350" s="28">
        <f t="shared" si="22"/>
        <v>-0.21124361158432714</v>
      </c>
      <c r="K350">
        <f t="shared" si="23"/>
        <v>2780</v>
      </c>
    </row>
    <row r="351" spans="1:11">
      <c r="A351" s="3">
        <v>359</v>
      </c>
      <c r="B351" t="s">
        <v>374</v>
      </c>
      <c r="C351" t="s">
        <v>8</v>
      </c>
      <c r="E351" s="3">
        <f t="shared" si="21"/>
        <v>2</v>
      </c>
      <c r="F351" s="5">
        <v>44180.625</v>
      </c>
      <c r="G351" s="19" t="str">
        <f t="shared" si="20"/>
        <v/>
      </c>
      <c r="J351" s="28">
        <f t="shared" si="22"/>
        <v>-0.2489539748953975</v>
      </c>
      <c r="K351">
        <f t="shared" si="23"/>
        <v>2661</v>
      </c>
    </row>
    <row r="352" spans="1:11">
      <c r="A352" s="3">
        <v>352</v>
      </c>
      <c r="B352" t="s">
        <v>375</v>
      </c>
      <c r="C352" t="s">
        <v>8</v>
      </c>
      <c r="E352" s="3">
        <f t="shared" si="21"/>
        <v>3</v>
      </c>
      <c r="F352" s="5">
        <v>44181.625</v>
      </c>
      <c r="G352" s="19" t="str">
        <f t="shared" si="20"/>
        <v/>
      </c>
      <c r="J352" s="28">
        <f t="shared" si="22"/>
        <v>-0.23809523809523814</v>
      </c>
      <c r="K352">
        <f t="shared" si="23"/>
        <v>2551</v>
      </c>
    </row>
    <row r="353" spans="1:11">
      <c r="A353" s="3">
        <v>323</v>
      </c>
      <c r="B353" t="s">
        <v>376</v>
      </c>
      <c r="C353" t="s">
        <v>8</v>
      </c>
      <c r="E353" s="3">
        <f t="shared" si="21"/>
        <v>4</v>
      </c>
      <c r="F353" s="5">
        <v>44182.625</v>
      </c>
      <c r="G353" s="19" t="str">
        <f t="shared" si="20"/>
        <v/>
      </c>
      <c r="J353" s="28">
        <f t="shared" si="22"/>
        <v>-0.20638820638820643</v>
      </c>
      <c r="K353">
        <f t="shared" si="23"/>
        <v>2467</v>
      </c>
    </row>
    <row r="354" spans="1:11">
      <c r="A354" s="3">
        <v>394</v>
      </c>
      <c r="B354" t="s">
        <v>377</v>
      </c>
      <c r="C354" t="s">
        <v>8</v>
      </c>
      <c r="E354" s="3">
        <f t="shared" si="21"/>
        <v>5</v>
      </c>
      <c r="F354" s="5">
        <v>44183.625</v>
      </c>
      <c r="G354" s="19" t="str">
        <f t="shared" si="20"/>
        <v/>
      </c>
      <c r="J354" s="28">
        <f t="shared" si="22"/>
        <v>-0.11460674157303374</v>
      </c>
      <c r="K354">
        <f t="shared" si="23"/>
        <v>2416</v>
      </c>
    </row>
    <row r="355" spans="1:11">
      <c r="A355" s="3">
        <v>191</v>
      </c>
      <c r="B355" t="s">
        <v>378</v>
      </c>
      <c r="C355" t="s">
        <v>8</v>
      </c>
      <c r="E355" s="3">
        <f t="shared" si="21"/>
        <v>6</v>
      </c>
      <c r="F355" s="5">
        <v>44184.625</v>
      </c>
      <c r="G355" s="19" t="str">
        <f t="shared" si="20"/>
        <v/>
      </c>
      <c r="J355" s="28">
        <f t="shared" si="22"/>
        <v>-0.23293172690763053</v>
      </c>
      <c r="K355">
        <f t="shared" si="23"/>
        <v>2358</v>
      </c>
    </row>
    <row r="356" spans="1:11">
      <c r="A356" s="3">
        <v>244</v>
      </c>
      <c r="B356" t="s">
        <v>379</v>
      </c>
      <c r="C356" t="s">
        <v>8</v>
      </c>
      <c r="E356" s="3">
        <f t="shared" si="21"/>
        <v>7</v>
      </c>
      <c r="F356" s="5">
        <v>44185.625</v>
      </c>
      <c r="G356" s="19" t="str">
        <f t="shared" si="20"/>
        <v/>
      </c>
      <c r="J356" s="28">
        <f t="shared" si="22"/>
        <v>-0.11594202898550721</v>
      </c>
      <c r="K356">
        <f t="shared" si="23"/>
        <v>2326</v>
      </c>
    </row>
    <row r="357" spans="1:11">
      <c r="A357" s="3">
        <v>375</v>
      </c>
      <c r="B357" t="s">
        <v>380</v>
      </c>
      <c r="C357" t="s">
        <v>8</v>
      </c>
      <c r="E357" s="3">
        <f t="shared" si="21"/>
        <v>1</v>
      </c>
      <c r="F357" s="5">
        <v>44186.625</v>
      </c>
      <c r="G357" s="19" t="str">
        <f t="shared" si="20"/>
        <v>2020-W52</v>
      </c>
      <c r="H357">
        <f>SUM(A357:A363)</f>
        <v>1653</v>
      </c>
      <c r="I357" s="28">
        <f>H357/H350-1</f>
        <v>-0.28933791917454854</v>
      </c>
      <c r="J357" s="28">
        <f t="shared" si="22"/>
        <v>-0.19006479481641469</v>
      </c>
      <c r="K357">
        <f t="shared" si="23"/>
        <v>2238</v>
      </c>
    </row>
    <row r="358" spans="1:11">
      <c r="A358" s="3">
        <v>332</v>
      </c>
      <c r="B358" t="s">
        <v>381</v>
      </c>
      <c r="C358" t="s">
        <v>8</v>
      </c>
      <c r="E358" s="3">
        <f t="shared" si="21"/>
        <v>2</v>
      </c>
      <c r="F358" s="5">
        <v>44187.625</v>
      </c>
      <c r="G358" s="19" t="str">
        <f t="shared" si="20"/>
        <v/>
      </c>
      <c r="J358" s="28">
        <f t="shared" si="22"/>
        <v>-7.5208913649025044E-2</v>
      </c>
      <c r="K358">
        <f t="shared" si="23"/>
        <v>2211</v>
      </c>
    </row>
    <row r="359" spans="1:11">
      <c r="A359" s="3">
        <v>277</v>
      </c>
      <c r="B359" t="s">
        <v>382</v>
      </c>
      <c r="C359" t="s">
        <v>8</v>
      </c>
      <c r="E359" s="3">
        <f t="shared" si="21"/>
        <v>3</v>
      </c>
      <c r="F359" s="5">
        <v>44188.625</v>
      </c>
      <c r="G359" s="19" t="str">
        <f t="shared" si="20"/>
        <v/>
      </c>
      <c r="J359" s="28">
        <f t="shared" si="22"/>
        <v>-0.21306818181818177</v>
      </c>
      <c r="K359">
        <f t="shared" si="23"/>
        <v>2136</v>
      </c>
    </row>
    <row r="360" spans="1:11">
      <c r="A360" s="3">
        <v>138</v>
      </c>
      <c r="B360" t="s">
        <v>383</v>
      </c>
      <c r="C360" t="s">
        <v>8</v>
      </c>
      <c r="E360" s="3">
        <f t="shared" si="21"/>
        <v>4</v>
      </c>
      <c r="F360" s="5">
        <v>44189.625</v>
      </c>
      <c r="G360" s="19" t="str">
        <f t="shared" si="20"/>
        <v/>
      </c>
      <c r="J360" s="28">
        <f t="shared" si="22"/>
        <v>-0.5727554179566563</v>
      </c>
      <c r="K360">
        <f t="shared" si="23"/>
        <v>1951</v>
      </c>
    </row>
    <row r="361" spans="1:11">
      <c r="A361" s="3">
        <v>157</v>
      </c>
      <c r="B361" t="s">
        <v>384</v>
      </c>
      <c r="C361" t="s">
        <v>8</v>
      </c>
      <c r="E361" s="3">
        <f t="shared" si="21"/>
        <v>5</v>
      </c>
      <c r="F361" s="5">
        <v>44190.625</v>
      </c>
      <c r="G361" s="19" t="str">
        <f t="shared" si="20"/>
        <v/>
      </c>
      <c r="J361" s="28">
        <f t="shared" si="22"/>
        <v>-0.60152284263959399</v>
      </c>
      <c r="K361">
        <f t="shared" si="23"/>
        <v>1714</v>
      </c>
    </row>
    <row r="362" spans="1:11">
      <c r="A362" s="3">
        <v>183</v>
      </c>
      <c r="B362" t="s">
        <v>385</v>
      </c>
      <c r="C362" t="s">
        <v>8</v>
      </c>
      <c r="E362" s="3">
        <f t="shared" si="21"/>
        <v>6</v>
      </c>
      <c r="F362" s="5">
        <v>44191.625</v>
      </c>
      <c r="G362" s="19" t="str">
        <f t="shared" si="20"/>
        <v/>
      </c>
      <c r="J362" s="28">
        <f t="shared" si="22"/>
        <v>-4.1884816753926746E-2</v>
      </c>
      <c r="K362">
        <f t="shared" si="23"/>
        <v>1706</v>
      </c>
    </row>
    <row r="363" spans="1:11">
      <c r="A363" s="3">
        <v>191</v>
      </c>
      <c r="B363" t="s">
        <v>386</v>
      </c>
      <c r="C363" t="s">
        <v>8</v>
      </c>
      <c r="E363" s="3">
        <f t="shared" si="21"/>
        <v>7</v>
      </c>
      <c r="F363" s="5">
        <v>44192.625</v>
      </c>
      <c r="G363" s="19" t="str">
        <f t="shared" si="20"/>
        <v/>
      </c>
      <c r="J363" s="28">
        <f t="shared" si="22"/>
        <v>-0.21721311475409832</v>
      </c>
      <c r="K363">
        <f t="shared" si="23"/>
        <v>1653</v>
      </c>
    </row>
    <row r="364" spans="1:11">
      <c r="A364" s="3">
        <v>435</v>
      </c>
      <c r="B364" t="s">
        <v>387</v>
      </c>
      <c r="C364" t="s">
        <v>8</v>
      </c>
      <c r="E364" s="3">
        <f t="shared" si="21"/>
        <v>1</v>
      </c>
      <c r="F364" s="5">
        <v>44193.625</v>
      </c>
      <c r="G364" s="19" t="str">
        <f t="shared" si="20"/>
        <v>2020-W53</v>
      </c>
      <c r="H364">
        <f>SUM(A364:A370)</f>
        <v>1754</v>
      </c>
      <c r="I364" s="28">
        <f>H364/H357-1</f>
        <v>6.1101028433151905E-2</v>
      </c>
      <c r="J364" s="28">
        <f t="shared" si="22"/>
        <v>0.15999999999999992</v>
      </c>
      <c r="K364">
        <f t="shared" si="23"/>
        <v>1713</v>
      </c>
    </row>
    <row r="365" spans="1:11">
      <c r="A365" s="3">
        <v>307</v>
      </c>
      <c r="B365" t="s">
        <v>388</v>
      </c>
      <c r="C365" t="s">
        <v>8</v>
      </c>
      <c r="E365" s="3">
        <f t="shared" si="21"/>
        <v>2</v>
      </c>
      <c r="F365" s="5">
        <v>44194.625</v>
      </c>
      <c r="G365" s="19" t="str">
        <f t="shared" si="20"/>
        <v/>
      </c>
      <c r="J365" s="28">
        <f t="shared" si="22"/>
        <v>-7.5301204819277157E-2</v>
      </c>
      <c r="K365">
        <f t="shared" si="23"/>
        <v>1688</v>
      </c>
    </row>
    <row r="366" spans="1:11">
      <c r="A366" s="3">
        <v>255</v>
      </c>
      <c r="B366" t="s">
        <v>389</v>
      </c>
      <c r="C366" t="s">
        <v>8</v>
      </c>
      <c r="E366" s="3">
        <f t="shared" si="21"/>
        <v>3</v>
      </c>
      <c r="F366" s="5">
        <v>44195.625</v>
      </c>
      <c r="G366" s="19" t="str">
        <f t="shared" si="20"/>
        <v/>
      </c>
      <c r="J366" s="28">
        <f t="shared" si="22"/>
        <v>-7.9422382671480163E-2</v>
      </c>
      <c r="K366">
        <f t="shared" si="23"/>
        <v>1666</v>
      </c>
    </row>
    <row r="367" spans="1:11">
      <c r="A367" s="3">
        <v>254</v>
      </c>
      <c r="B367" t="s">
        <v>390</v>
      </c>
      <c r="C367" t="s">
        <v>8</v>
      </c>
      <c r="E367" s="3">
        <f t="shared" si="21"/>
        <v>4</v>
      </c>
      <c r="F367" s="5">
        <v>44196.625</v>
      </c>
      <c r="G367" s="19" t="str">
        <f t="shared" si="20"/>
        <v/>
      </c>
      <c r="J367" s="28">
        <f t="shared" si="22"/>
        <v>0.84057971014492749</v>
      </c>
      <c r="K367">
        <f t="shared" si="23"/>
        <v>1782</v>
      </c>
    </row>
    <row r="368" spans="1:11">
      <c r="A368" s="3">
        <v>128</v>
      </c>
      <c r="B368" t="s">
        <v>391</v>
      </c>
      <c r="C368" t="s">
        <v>8</v>
      </c>
      <c r="E368" s="3">
        <f t="shared" si="21"/>
        <v>5</v>
      </c>
      <c r="F368" s="5">
        <v>44197.625</v>
      </c>
      <c r="G368" s="19" t="str">
        <f t="shared" si="20"/>
        <v/>
      </c>
      <c r="J368" s="28">
        <f t="shared" si="22"/>
        <v>-0.1847133757961783</v>
      </c>
      <c r="K368">
        <f t="shared" si="23"/>
        <v>1753</v>
      </c>
    </row>
    <row r="369" spans="1:11">
      <c r="A369" s="3">
        <v>206</v>
      </c>
      <c r="B369" t="s">
        <v>392</v>
      </c>
      <c r="C369" t="s">
        <v>8</v>
      </c>
      <c r="E369" s="3">
        <f t="shared" si="21"/>
        <v>6</v>
      </c>
      <c r="F369" s="5">
        <v>44198.625</v>
      </c>
      <c r="G369" s="19" t="str">
        <f t="shared" si="20"/>
        <v/>
      </c>
      <c r="J369" s="28">
        <f t="shared" si="22"/>
        <v>0.12568306010928953</v>
      </c>
      <c r="K369">
        <f t="shared" si="23"/>
        <v>1776</v>
      </c>
    </row>
    <row r="370" spans="1:11">
      <c r="A370" s="3">
        <v>169</v>
      </c>
      <c r="B370" t="s">
        <v>393</v>
      </c>
      <c r="C370" t="s">
        <v>8</v>
      </c>
      <c r="E370" s="3">
        <f t="shared" si="21"/>
        <v>7</v>
      </c>
      <c r="F370" s="5">
        <v>44199.625</v>
      </c>
      <c r="G370" s="19" t="str">
        <f t="shared" si="20"/>
        <v/>
      </c>
      <c r="J370" s="28">
        <f t="shared" si="22"/>
        <v>-0.11518324607329844</v>
      </c>
      <c r="K370">
        <f t="shared" si="23"/>
        <v>1754</v>
      </c>
    </row>
    <row r="371" spans="1:11">
      <c r="A371" s="3">
        <v>397</v>
      </c>
      <c r="B371" t="s">
        <v>394</v>
      </c>
      <c r="C371" t="s">
        <v>8</v>
      </c>
      <c r="E371" s="3">
        <f t="shared" si="21"/>
        <v>1</v>
      </c>
      <c r="F371" s="5">
        <v>44200.625</v>
      </c>
      <c r="G371" s="19" t="str">
        <f t="shared" si="20"/>
        <v>2021-W01</v>
      </c>
      <c r="H371">
        <f>SUM(A371:A377)</f>
        <v>1830</v>
      </c>
      <c r="I371" s="28">
        <f>H371/H364-1</f>
        <v>4.3329532497149437E-2</v>
      </c>
      <c r="J371" s="28">
        <f t="shared" si="22"/>
        <v>-8.7356321839080486E-2</v>
      </c>
      <c r="K371">
        <f t="shared" si="23"/>
        <v>1716</v>
      </c>
    </row>
    <row r="372" spans="1:11">
      <c r="A372" s="3">
        <v>261</v>
      </c>
      <c r="B372" t="s">
        <v>395</v>
      </c>
      <c r="C372" t="s">
        <v>8</v>
      </c>
      <c r="E372" s="3">
        <f t="shared" si="21"/>
        <v>2</v>
      </c>
      <c r="F372" s="5">
        <v>44201.625</v>
      </c>
      <c r="G372" s="19" t="str">
        <f t="shared" si="20"/>
        <v/>
      </c>
      <c r="J372" s="28">
        <f t="shared" si="22"/>
        <v>-0.14983713355048855</v>
      </c>
      <c r="K372">
        <f t="shared" si="23"/>
        <v>1670</v>
      </c>
    </row>
    <row r="373" spans="1:11">
      <c r="A373" s="3">
        <v>208</v>
      </c>
      <c r="B373" t="s">
        <v>396</v>
      </c>
      <c r="C373" t="s">
        <v>8</v>
      </c>
      <c r="E373" s="3">
        <f t="shared" si="21"/>
        <v>3</v>
      </c>
      <c r="F373" s="5">
        <v>44202.625</v>
      </c>
      <c r="G373" s="19" t="str">
        <f t="shared" si="20"/>
        <v/>
      </c>
      <c r="J373" s="28">
        <f t="shared" si="22"/>
        <v>-0.18431372549019609</v>
      </c>
      <c r="K373">
        <f t="shared" si="23"/>
        <v>1623</v>
      </c>
    </row>
    <row r="374" spans="1:11">
      <c r="A374" s="3">
        <v>332</v>
      </c>
      <c r="B374" t="s">
        <v>397</v>
      </c>
      <c r="C374" t="s">
        <v>8</v>
      </c>
      <c r="E374" s="3">
        <f t="shared" si="21"/>
        <v>4</v>
      </c>
      <c r="F374" s="5">
        <v>44203.625</v>
      </c>
      <c r="G374" s="19" t="str">
        <f t="shared" si="20"/>
        <v/>
      </c>
      <c r="J374" s="28">
        <f t="shared" si="22"/>
        <v>0.30708661417322825</v>
      </c>
      <c r="K374">
        <f t="shared" si="23"/>
        <v>1701</v>
      </c>
    </row>
    <row r="375" spans="1:11">
      <c r="A375" s="3">
        <v>252</v>
      </c>
      <c r="B375" t="s">
        <v>398</v>
      </c>
      <c r="C375" t="s">
        <v>8</v>
      </c>
      <c r="E375" s="3">
        <f t="shared" si="21"/>
        <v>5</v>
      </c>
      <c r="F375" s="5">
        <v>44204.625</v>
      </c>
      <c r="G375" s="19" t="str">
        <f t="shared" si="20"/>
        <v/>
      </c>
      <c r="J375" s="28">
        <f t="shared" si="22"/>
        <v>0.96875</v>
      </c>
      <c r="K375">
        <f t="shared" si="23"/>
        <v>1825</v>
      </c>
    </row>
    <row r="376" spans="1:11">
      <c r="A376" s="3">
        <v>193</v>
      </c>
      <c r="B376" t="s">
        <v>399</v>
      </c>
      <c r="C376" t="s">
        <v>8</v>
      </c>
      <c r="E376" s="3">
        <f t="shared" si="21"/>
        <v>6</v>
      </c>
      <c r="F376" s="5">
        <v>44205.625</v>
      </c>
      <c r="G376" s="19" t="str">
        <f t="shared" si="20"/>
        <v/>
      </c>
      <c r="J376" s="28">
        <f t="shared" si="22"/>
        <v>-6.3106796116504826E-2</v>
      </c>
      <c r="K376">
        <f t="shared" si="23"/>
        <v>1812</v>
      </c>
    </row>
    <row r="377" spans="1:11">
      <c r="A377" s="3">
        <v>187</v>
      </c>
      <c r="B377" t="s">
        <v>400</v>
      </c>
      <c r="C377" t="s">
        <v>8</v>
      </c>
      <c r="E377" s="3">
        <f t="shared" si="21"/>
        <v>7</v>
      </c>
      <c r="F377" s="5">
        <v>44206.625</v>
      </c>
      <c r="G377" s="19" t="str">
        <f t="shared" si="20"/>
        <v/>
      </c>
      <c r="J377" s="28">
        <f t="shared" si="22"/>
        <v>0.10650887573964507</v>
      </c>
      <c r="K377">
        <f t="shared" si="23"/>
        <v>1830</v>
      </c>
    </row>
    <row r="378" spans="1:11">
      <c r="A378" s="3">
        <v>386</v>
      </c>
      <c r="B378" t="s">
        <v>401</v>
      </c>
      <c r="C378" t="s">
        <v>8</v>
      </c>
      <c r="E378" s="3">
        <f t="shared" si="21"/>
        <v>1</v>
      </c>
      <c r="F378" s="5">
        <v>44207.625</v>
      </c>
      <c r="G378" s="19" t="str">
        <f t="shared" si="20"/>
        <v>2021-W02</v>
      </c>
      <c r="H378">
        <f>SUM(A378:A384)</f>
        <v>1757</v>
      </c>
      <c r="I378" s="28">
        <f>H378/H371-1</f>
        <v>-3.9890710382513683E-2</v>
      </c>
      <c r="J378" s="28">
        <f t="shared" si="22"/>
        <v>-2.7707808564231717E-2</v>
      </c>
      <c r="K378">
        <f t="shared" si="23"/>
        <v>1819</v>
      </c>
    </row>
    <row r="379" spans="1:11">
      <c r="A379" s="3">
        <v>229</v>
      </c>
      <c r="B379" t="s">
        <v>402</v>
      </c>
      <c r="C379" t="s">
        <v>8</v>
      </c>
      <c r="E379" s="3">
        <f t="shared" si="21"/>
        <v>2</v>
      </c>
      <c r="F379" s="5">
        <v>44208.625</v>
      </c>
      <c r="G379" s="19" t="str">
        <f t="shared" si="20"/>
        <v/>
      </c>
      <c r="J379" s="28">
        <f t="shared" si="22"/>
        <v>-0.12260536398467436</v>
      </c>
      <c r="K379">
        <f t="shared" si="23"/>
        <v>1787</v>
      </c>
    </row>
    <row r="380" spans="1:11">
      <c r="A380" s="3">
        <v>259</v>
      </c>
      <c r="B380" t="s">
        <v>403</v>
      </c>
      <c r="C380" t="s">
        <v>8</v>
      </c>
      <c r="E380" s="3">
        <f t="shared" si="21"/>
        <v>3</v>
      </c>
      <c r="F380" s="5">
        <v>44209.625</v>
      </c>
      <c r="G380" s="19" t="str">
        <f t="shared" si="20"/>
        <v/>
      </c>
      <c r="J380" s="28">
        <f t="shared" si="22"/>
        <v>0.24519230769230771</v>
      </c>
      <c r="K380">
        <f t="shared" si="23"/>
        <v>1838</v>
      </c>
    </row>
    <row r="381" spans="1:11">
      <c r="A381" s="3">
        <v>249</v>
      </c>
      <c r="B381" t="s">
        <v>404</v>
      </c>
      <c r="C381" t="s">
        <v>8</v>
      </c>
      <c r="E381" s="3">
        <f t="shared" si="21"/>
        <v>4</v>
      </c>
      <c r="F381" s="5">
        <v>44210.625</v>
      </c>
      <c r="G381" s="19" t="str">
        <f t="shared" si="20"/>
        <v/>
      </c>
      <c r="J381" s="28">
        <f t="shared" si="22"/>
        <v>-0.25</v>
      </c>
      <c r="K381">
        <f t="shared" si="23"/>
        <v>1755</v>
      </c>
    </row>
    <row r="382" spans="1:11">
      <c r="A382" s="3">
        <v>266</v>
      </c>
      <c r="B382" t="s">
        <v>405</v>
      </c>
      <c r="C382" t="s">
        <v>8</v>
      </c>
      <c r="E382" s="3">
        <f t="shared" si="21"/>
        <v>5</v>
      </c>
      <c r="F382" s="5">
        <v>44211.625</v>
      </c>
      <c r="G382" s="19" t="str">
        <f t="shared" si="20"/>
        <v/>
      </c>
      <c r="J382" s="28">
        <f t="shared" si="22"/>
        <v>5.555555555555558E-2</v>
      </c>
      <c r="K382">
        <f t="shared" si="23"/>
        <v>1769</v>
      </c>
    </row>
    <row r="383" spans="1:11">
      <c r="A383" s="3">
        <v>171</v>
      </c>
      <c r="B383" t="s">
        <v>406</v>
      </c>
      <c r="C383" t="s">
        <v>8</v>
      </c>
      <c r="E383" s="3">
        <f t="shared" ref="E383:E446" si="24">WEEKDAY(F383,2)</f>
        <v>6</v>
      </c>
      <c r="F383" s="5">
        <v>44212.625</v>
      </c>
      <c r="G383" s="19" t="str">
        <f t="shared" si="20"/>
        <v/>
      </c>
      <c r="J383" s="28">
        <f t="shared" si="22"/>
        <v>-0.11398963730569944</v>
      </c>
      <c r="K383">
        <f t="shared" si="23"/>
        <v>1747</v>
      </c>
    </row>
    <row r="384" spans="1:11">
      <c r="A384" s="3">
        <v>197</v>
      </c>
      <c r="B384" t="s">
        <v>407</v>
      </c>
      <c r="C384" t="s">
        <v>8</v>
      </c>
      <c r="E384" s="3">
        <f t="shared" si="24"/>
        <v>7</v>
      </c>
      <c r="F384" s="5">
        <v>44213.625</v>
      </c>
      <c r="G384" s="19" t="str">
        <f t="shared" si="20"/>
        <v/>
      </c>
      <c r="J384" s="28">
        <f t="shared" si="22"/>
        <v>5.3475935828876997E-2</v>
      </c>
      <c r="K384">
        <f t="shared" si="23"/>
        <v>1757</v>
      </c>
    </row>
    <row r="385" spans="1:11">
      <c r="A385" s="3">
        <v>448</v>
      </c>
      <c r="B385" t="s">
        <v>408</v>
      </c>
      <c r="C385" t="s">
        <v>8</v>
      </c>
      <c r="E385" s="3">
        <f t="shared" si="24"/>
        <v>1</v>
      </c>
      <c r="F385" s="5">
        <v>44214.625</v>
      </c>
      <c r="G385" s="19" t="str">
        <f t="shared" si="20"/>
        <v>2021-W03</v>
      </c>
      <c r="H385">
        <f>SUM(A385:A391)</f>
        <v>2350</v>
      </c>
      <c r="I385" s="28">
        <f>H385/H378-1</f>
        <v>0.33750711439954473</v>
      </c>
      <c r="J385" s="28">
        <f t="shared" si="22"/>
        <v>0.16062176165803099</v>
      </c>
      <c r="K385">
        <f t="shared" si="23"/>
        <v>1819</v>
      </c>
    </row>
    <row r="386" spans="1:11">
      <c r="A386" s="3">
        <v>342</v>
      </c>
      <c r="B386" t="s">
        <v>409</v>
      </c>
      <c r="C386" t="s">
        <v>8</v>
      </c>
      <c r="E386" s="3">
        <f t="shared" si="24"/>
        <v>2</v>
      </c>
      <c r="F386" s="5">
        <v>44215.625</v>
      </c>
      <c r="G386" s="19" t="str">
        <f t="shared" si="20"/>
        <v/>
      </c>
      <c r="J386" s="28">
        <f t="shared" si="22"/>
        <v>0.49344978165938858</v>
      </c>
      <c r="K386">
        <f t="shared" si="23"/>
        <v>1932</v>
      </c>
    </row>
    <row r="387" spans="1:11">
      <c r="A387" s="3">
        <v>407</v>
      </c>
      <c r="B387" t="s">
        <v>410</v>
      </c>
      <c r="C387" t="s">
        <v>8</v>
      </c>
      <c r="E387" s="3">
        <f t="shared" si="24"/>
        <v>3</v>
      </c>
      <c r="F387" s="5">
        <v>44216.625</v>
      </c>
      <c r="G387" s="19" t="str">
        <f t="shared" ref="G387:G450" si="25">IF(WEEKDAY(F387,2)=1,YEAR(F387)&amp;"-W"&amp;TEXT(WEEKNUM(F387,14),"00"),"")</f>
        <v/>
      </c>
      <c r="J387" s="28">
        <f t="shared" si="22"/>
        <v>0.5714285714285714</v>
      </c>
      <c r="K387">
        <f t="shared" si="23"/>
        <v>2080</v>
      </c>
    </row>
    <row r="388" spans="1:11">
      <c r="A388" s="3">
        <v>377</v>
      </c>
      <c r="B388" t="s">
        <v>411</v>
      </c>
      <c r="C388" t="s">
        <v>8</v>
      </c>
      <c r="E388" s="3">
        <f t="shared" si="24"/>
        <v>4</v>
      </c>
      <c r="F388" s="5">
        <v>44217.625</v>
      </c>
      <c r="G388" s="19" t="str">
        <f t="shared" si="25"/>
        <v/>
      </c>
      <c r="J388" s="28">
        <f t="shared" si="22"/>
        <v>0.51405622489959835</v>
      </c>
      <c r="K388">
        <f t="shared" si="23"/>
        <v>2208</v>
      </c>
    </row>
    <row r="389" spans="1:11">
      <c r="A389" s="3">
        <v>361</v>
      </c>
      <c r="B389" t="s">
        <v>412</v>
      </c>
      <c r="C389" t="s">
        <v>8</v>
      </c>
      <c r="E389" s="3">
        <f t="shared" si="24"/>
        <v>5</v>
      </c>
      <c r="F389" s="5">
        <v>44218.625</v>
      </c>
      <c r="G389" s="19" t="str">
        <f t="shared" si="25"/>
        <v/>
      </c>
      <c r="J389" s="28">
        <f t="shared" si="22"/>
        <v>0.35714285714285721</v>
      </c>
      <c r="K389">
        <f t="shared" si="23"/>
        <v>2303</v>
      </c>
    </row>
    <row r="390" spans="1:11">
      <c r="A390" s="3">
        <v>168</v>
      </c>
      <c r="B390" t="s">
        <v>413</v>
      </c>
      <c r="C390" t="s">
        <v>8</v>
      </c>
      <c r="E390" s="3">
        <f t="shared" si="24"/>
        <v>6</v>
      </c>
      <c r="F390" s="5">
        <v>44219.625</v>
      </c>
      <c r="G390" s="19" t="str">
        <f t="shared" si="25"/>
        <v/>
      </c>
      <c r="J390" s="28">
        <f t="shared" si="22"/>
        <v>-1.7543859649122862E-2</v>
      </c>
      <c r="K390">
        <f t="shared" si="23"/>
        <v>2300</v>
      </c>
    </row>
    <row r="391" spans="1:11">
      <c r="A391" s="3">
        <v>247</v>
      </c>
      <c r="B391" t="s">
        <v>414</v>
      </c>
      <c r="C391" t="s">
        <v>8</v>
      </c>
      <c r="E391" s="3">
        <f t="shared" si="24"/>
        <v>7</v>
      </c>
      <c r="F391" s="5">
        <v>44220.625</v>
      </c>
      <c r="G391" s="19" t="str">
        <f t="shared" si="25"/>
        <v/>
      </c>
      <c r="J391" s="28">
        <f t="shared" si="22"/>
        <v>0.25380710659898487</v>
      </c>
      <c r="K391">
        <f t="shared" si="23"/>
        <v>2350</v>
      </c>
    </row>
    <row r="392" spans="1:11">
      <c r="A392" s="3">
        <v>605</v>
      </c>
      <c r="B392" t="s">
        <v>415</v>
      </c>
      <c r="C392" t="s">
        <v>8</v>
      </c>
      <c r="E392" s="3">
        <f t="shared" si="24"/>
        <v>1</v>
      </c>
      <c r="F392" s="5">
        <v>44221.625</v>
      </c>
      <c r="G392" s="19" t="str">
        <f t="shared" si="25"/>
        <v>2021-W04</v>
      </c>
      <c r="H392">
        <f>SUM(A392:A398)</f>
        <v>2704</v>
      </c>
      <c r="I392" s="28">
        <f>H392/H385-1</f>
        <v>0.1506382978723404</v>
      </c>
      <c r="J392" s="28">
        <f t="shared" si="22"/>
        <v>0.3504464285714286</v>
      </c>
      <c r="K392">
        <f t="shared" si="23"/>
        <v>2507</v>
      </c>
    </row>
    <row r="393" spans="1:11">
      <c r="A393" s="3">
        <v>397</v>
      </c>
      <c r="B393" t="s">
        <v>416</v>
      </c>
      <c r="C393" t="s">
        <v>8</v>
      </c>
      <c r="E393" s="3">
        <f t="shared" si="24"/>
        <v>2</v>
      </c>
      <c r="F393" s="5">
        <v>44222.625</v>
      </c>
      <c r="G393" s="19" t="str">
        <f t="shared" si="25"/>
        <v/>
      </c>
      <c r="J393" s="28">
        <f t="shared" ref="J393:J456" si="26">A393/A386-1</f>
        <v>0.16081871345029231</v>
      </c>
      <c r="K393">
        <f t="shared" si="23"/>
        <v>2562</v>
      </c>
    </row>
    <row r="394" spans="1:11">
      <c r="A394" s="3">
        <v>382</v>
      </c>
      <c r="B394" t="s">
        <v>417</v>
      </c>
      <c r="C394" t="s">
        <v>8</v>
      </c>
      <c r="E394" s="3">
        <f t="shared" si="24"/>
        <v>3</v>
      </c>
      <c r="F394" s="5">
        <v>44223.625</v>
      </c>
      <c r="G394" s="19" t="str">
        <f t="shared" si="25"/>
        <v/>
      </c>
      <c r="J394" s="28">
        <f t="shared" si="26"/>
        <v>-6.1425061425061434E-2</v>
      </c>
      <c r="K394">
        <f t="shared" si="23"/>
        <v>2537</v>
      </c>
    </row>
    <row r="395" spans="1:11">
      <c r="A395" s="3">
        <v>435</v>
      </c>
      <c r="B395" t="s">
        <v>418</v>
      </c>
      <c r="C395" t="s">
        <v>8</v>
      </c>
      <c r="E395" s="3">
        <f t="shared" si="24"/>
        <v>4</v>
      </c>
      <c r="F395" s="5">
        <v>44224.625</v>
      </c>
      <c r="G395" s="19" t="str">
        <f t="shared" si="25"/>
        <v/>
      </c>
      <c r="J395" s="28">
        <f t="shared" si="26"/>
        <v>0.15384615384615374</v>
      </c>
      <c r="K395">
        <f t="shared" si="23"/>
        <v>2595</v>
      </c>
    </row>
    <row r="396" spans="1:11">
      <c r="A396" s="3">
        <v>378</v>
      </c>
      <c r="B396" t="s">
        <v>419</v>
      </c>
      <c r="C396" t="s">
        <v>8</v>
      </c>
      <c r="E396" s="3">
        <f t="shared" si="24"/>
        <v>5</v>
      </c>
      <c r="F396" s="5">
        <v>44225.625</v>
      </c>
      <c r="G396" s="19" t="str">
        <f t="shared" si="25"/>
        <v/>
      </c>
      <c r="J396" s="28">
        <f t="shared" si="26"/>
        <v>4.7091412742382266E-2</v>
      </c>
      <c r="K396">
        <f t="shared" si="23"/>
        <v>2612</v>
      </c>
    </row>
    <row r="397" spans="1:11">
      <c r="A397" s="3">
        <v>233</v>
      </c>
      <c r="B397" t="s">
        <v>421</v>
      </c>
      <c r="C397" t="s">
        <v>8</v>
      </c>
      <c r="E397" s="3">
        <f t="shared" si="24"/>
        <v>6</v>
      </c>
      <c r="F397" s="5">
        <v>44226.625</v>
      </c>
      <c r="G397" s="19" t="str">
        <f t="shared" si="25"/>
        <v/>
      </c>
      <c r="J397" s="28">
        <f t="shared" si="26"/>
        <v>0.38690476190476186</v>
      </c>
      <c r="K397">
        <f t="shared" si="23"/>
        <v>2677</v>
      </c>
    </row>
    <row r="398" spans="1:11">
      <c r="A398" s="3">
        <v>274</v>
      </c>
      <c r="B398" t="s">
        <v>422</v>
      </c>
      <c r="C398" t="s">
        <v>8</v>
      </c>
      <c r="E398" s="3">
        <f t="shared" si="24"/>
        <v>7</v>
      </c>
      <c r="F398" s="5">
        <v>44227.625</v>
      </c>
      <c r="G398" s="19" t="str">
        <f t="shared" si="25"/>
        <v/>
      </c>
      <c r="J398" s="28">
        <f t="shared" si="26"/>
        <v>0.10931174089068829</v>
      </c>
      <c r="K398">
        <f t="shared" si="23"/>
        <v>2704</v>
      </c>
    </row>
    <row r="399" spans="1:11">
      <c r="A399" s="3">
        <v>534</v>
      </c>
      <c r="B399" t="s">
        <v>423</v>
      </c>
      <c r="C399" t="s">
        <v>8</v>
      </c>
      <c r="E399" s="3">
        <f t="shared" si="24"/>
        <v>1</v>
      </c>
      <c r="F399" s="5">
        <v>44228.625</v>
      </c>
      <c r="G399" s="19" t="str">
        <f t="shared" si="25"/>
        <v>2021-W05</v>
      </c>
      <c r="H399">
        <f>SUM(A399:A405)</f>
        <v>2613</v>
      </c>
      <c r="I399" s="28">
        <f>H399/H392-1</f>
        <v>-3.3653846153846145E-2</v>
      </c>
      <c r="J399" s="28">
        <f t="shared" si="26"/>
        <v>-0.11735537190082646</v>
      </c>
      <c r="K399">
        <f t="shared" si="23"/>
        <v>2633</v>
      </c>
    </row>
    <row r="400" spans="1:11">
      <c r="A400" s="3">
        <v>396</v>
      </c>
      <c r="B400" t="s">
        <v>424</v>
      </c>
      <c r="C400" t="s">
        <v>8</v>
      </c>
      <c r="E400" s="3">
        <f t="shared" si="24"/>
        <v>2</v>
      </c>
      <c r="F400" s="5">
        <v>44229.625</v>
      </c>
      <c r="G400" s="19" t="str">
        <f t="shared" si="25"/>
        <v/>
      </c>
      <c r="J400" s="28">
        <f t="shared" si="26"/>
        <v>-2.5188916876573986E-3</v>
      </c>
      <c r="K400">
        <f t="shared" si="23"/>
        <v>2632</v>
      </c>
    </row>
    <row r="401" spans="1:11">
      <c r="A401" s="3">
        <v>441</v>
      </c>
      <c r="B401" t="s">
        <v>425</v>
      </c>
      <c r="C401" t="s">
        <v>8</v>
      </c>
      <c r="E401" s="3">
        <f t="shared" si="24"/>
        <v>3</v>
      </c>
      <c r="F401" s="5">
        <v>44230.625</v>
      </c>
      <c r="G401" s="19" t="str">
        <f t="shared" si="25"/>
        <v/>
      </c>
      <c r="J401" s="28">
        <f t="shared" si="26"/>
        <v>0.15445026178010468</v>
      </c>
      <c r="K401">
        <f t="shared" si="23"/>
        <v>2691</v>
      </c>
    </row>
    <row r="402" spans="1:11">
      <c r="A402" s="3">
        <v>373</v>
      </c>
      <c r="B402" t="s">
        <v>426</v>
      </c>
      <c r="C402" t="s">
        <v>8</v>
      </c>
      <c r="E402" s="3">
        <f t="shared" si="24"/>
        <v>4</v>
      </c>
      <c r="F402" s="5">
        <v>44231.625</v>
      </c>
      <c r="G402" s="19" t="str">
        <f t="shared" si="25"/>
        <v/>
      </c>
      <c r="J402" s="28">
        <f t="shared" si="26"/>
        <v>-0.14252873563218393</v>
      </c>
      <c r="K402">
        <f t="shared" si="23"/>
        <v>2629</v>
      </c>
    </row>
    <row r="403" spans="1:11">
      <c r="A403" s="3">
        <v>367</v>
      </c>
      <c r="B403" t="s">
        <v>427</v>
      </c>
      <c r="C403" t="s">
        <v>8</v>
      </c>
      <c r="E403" s="3">
        <f t="shared" si="24"/>
        <v>5</v>
      </c>
      <c r="F403" s="5">
        <v>44232.625</v>
      </c>
      <c r="G403" s="19" t="str">
        <f t="shared" si="25"/>
        <v/>
      </c>
      <c r="J403" s="28">
        <f t="shared" si="26"/>
        <v>-2.9100529100529071E-2</v>
      </c>
      <c r="K403">
        <f t="shared" si="23"/>
        <v>2618</v>
      </c>
    </row>
    <row r="404" spans="1:11">
      <c r="A404" s="3">
        <v>238</v>
      </c>
      <c r="B404" t="s">
        <v>428</v>
      </c>
      <c r="C404" t="s">
        <v>8</v>
      </c>
      <c r="E404" s="3">
        <f t="shared" si="24"/>
        <v>6</v>
      </c>
      <c r="F404" s="5">
        <v>44233.625</v>
      </c>
      <c r="G404" s="19" t="str">
        <f t="shared" si="25"/>
        <v/>
      </c>
      <c r="J404" s="28">
        <f t="shared" si="26"/>
        <v>2.1459227467811148E-2</v>
      </c>
      <c r="K404">
        <f t="shared" si="23"/>
        <v>2623</v>
      </c>
    </row>
    <row r="405" spans="1:11">
      <c r="A405" s="3">
        <v>264</v>
      </c>
      <c r="B405" t="s">
        <v>429</v>
      </c>
      <c r="C405" t="s">
        <v>8</v>
      </c>
      <c r="E405" s="3">
        <f t="shared" si="24"/>
        <v>7</v>
      </c>
      <c r="F405" s="5">
        <v>44234.625</v>
      </c>
      <c r="G405" s="19" t="str">
        <f t="shared" si="25"/>
        <v/>
      </c>
      <c r="J405" s="28">
        <f t="shared" si="26"/>
        <v>-3.6496350364963459E-2</v>
      </c>
      <c r="K405">
        <f t="shared" ref="K405:K468" si="27">SUM(A399:A405)</f>
        <v>2613</v>
      </c>
    </row>
    <row r="406" spans="1:11">
      <c r="A406" s="3">
        <v>461</v>
      </c>
      <c r="B406" t="s">
        <v>437</v>
      </c>
      <c r="C406" t="s">
        <v>8</v>
      </c>
      <c r="E406" s="3">
        <f t="shared" si="24"/>
        <v>1</v>
      </c>
      <c r="F406" s="5">
        <v>44235.625</v>
      </c>
      <c r="G406" s="19" t="str">
        <f t="shared" si="25"/>
        <v>2021-W06</v>
      </c>
      <c r="H406">
        <f>SUM(A406:A412)</f>
        <v>2557</v>
      </c>
      <c r="I406" s="28">
        <f>H406/H399-1</f>
        <v>-2.1431305013394519E-2</v>
      </c>
      <c r="J406" s="28">
        <f t="shared" si="26"/>
        <v>-0.13670411985018727</v>
      </c>
      <c r="K406">
        <f t="shared" si="27"/>
        <v>2540</v>
      </c>
    </row>
    <row r="407" spans="1:11">
      <c r="A407" s="3">
        <v>372</v>
      </c>
      <c r="B407" t="s">
        <v>438</v>
      </c>
      <c r="C407" t="s">
        <v>8</v>
      </c>
      <c r="E407" s="3">
        <f t="shared" si="24"/>
        <v>2</v>
      </c>
      <c r="F407" s="5">
        <v>44236.625</v>
      </c>
      <c r="G407" s="19" t="str">
        <f t="shared" si="25"/>
        <v/>
      </c>
      <c r="J407" s="28">
        <f t="shared" si="26"/>
        <v>-6.0606060606060552E-2</v>
      </c>
      <c r="K407">
        <f t="shared" si="27"/>
        <v>2516</v>
      </c>
    </row>
    <row r="408" spans="1:11">
      <c r="A408" s="3">
        <v>383</v>
      </c>
      <c r="B408" t="s">
        <v>439</v>
      </c>
      <c r="C408" t="s">
        <v>8</v>
      </c>
      <c r="E408" s="3">
        <f t="shared" si="24"/>
        <v>3</v>
      </c>
      <c r="F408" s="5">
        <v>44237.625</v>
      </c>
      <c r="G408" s="19" t="str">
        <f t="shared" si="25"/>
        <v/>
      </c>
      <c r="J408" s="28">
        <f t="shared" si="26"/>
        <v>-0.13151927437641719</v>
      </c>
      <c r="K408">
        <f t="shared" si="27"/>
        <v>2458</v>
      </c>
    </row>
    <row r="409" spans="1:11">
      <c r="A409" s="3">
        <v>361</v>
      </c>
      <c r="B409" t="s">
        <v>440</v>
      </c>
      <c r="C409" t="s">
        <v>8</v>
      </c>
      <c r="E409" s="3">
        <f t="shared" si="24"/>
        <v>4</v>
      </c>
      <c r="F409" s="5">
        <v>44238.625</v>
      </c>
      <c r="G409" s="19" t="str">
        <f t="shared" si="25"/>
        <v/>
      </c>
      <c r="J409" s="28">
        <f t="shared" si="26"/>
        <v>-3.2171581769437019E-2</v>
      </c>
      <c r="K409">
        <f t="shared" si="27"/>
        <v>2446</v>
      </c>
    </row>
    <row r="410" spans="1:11">
      <c r="A410" s="3">
        <v>419</v>
      </c>
      <c r="B410" t="s">
        <v>441</v>
      </c>
      <c r="C410" t="s">
        <v>8</v>
      </c>
      <c r="E410" s="3">
        <f t="shared" si="24"/>
        <v>5</v>
      </c>
      <c r="F410" s="5">
        <v>44239.625</v>
      </c>
      <c r="G410" s="19" t="str">
        <f t="shared" si="25"/>
        <v/>
      </c>
      <c r="J410" s="28">
        <f t="shared" si="26"/>
        <v>0.14168937329700282</v>
      </c>
      <c r="K410">
        <f t="shared" si="27"/>
        <v>2498</v>
      </c>
    </row>
    <row r="411" spans="1:11">
      <c r="A411" s="3">
        <v>279</v>
      </c>
      <c r="B411" t="s">
        <v>442</v>
      </c>
      <c r="C411" t="s">
        <v>8</v>
      </c>
      <c r="E411" s="3">
        <f t="shared" si="24"/>
        <v>6</v>
      </c>
      <c r="F411" s="5">
        <v>44240.625</v>
      </c>
      <c r="G411" s="19" t="str">
        <f t="shared" si="25"/>
        <v/>
      </c>
      <c r="J411" s="28">
        <f t="shared" si="26"/>
        <v>0.17226890756302526</v>
      </c>
      <c r="K411">
        <f t="shared" si="27"/>
        <v>2539</v>
      </c>
    </row>
    <row r="412" spans="1:11">
      <c r="A412" s="3">
        <v>282</v>
      </c>
      <c r="B412" t="s">
        <v>443</v>
      </c>
      <c r="C412" t="s">
        <v>8</v>
      </c>
      <c r="E412" s="3">
        <f t="shared" si="24"/>
        <v>7</v>
      </c>
      <c r="F412" s="5">
        <v>44241.625</v>
      </c>
      <c r="G412" s="19" t="str">
        <f t="shared" si="25"/>
        <v/>
      </c>
      <c r="J412" s="28">
        <f t="shared" si="26"/>
        <v>6.8181818181818121E-2</v>
      </c>
      <c r="K412">
        <f t="shared" si="27"/>
        <v>2557</v>
      </c>
    </row>
    <row r="413" spans="1:11" s="10" customFormat="1">
      <c r="A413" s="14">
        <v>616</v>
      </c>
      <c r="B413" s="10" t="s">
        <v>444</v>
      </c>
      <c r="C413" s="10" t="s">
        <v>8</v>
      </c>
      <c r="E413" s="14">
        <f t="shared" si="24"/>
        <v>1</v>
      </c>
      <c r="F413" s="18">
        <v>44242.625</v>
      </c>
      <c r="G413" s="19" t="str">
        <f t="shared" si="25"/>
        <v>2021-W07</v>
      </c>
      <c r="H413" s="10">
        <f>SUM(A413:A419)</f>
        <v>3541</v>
      </c>
      <c r="I413" s="34">
        <f>H413/H406-1</f>
        <v>0.38482596793116941</v>
      </c>
      <c r="J413" s="28">
        <f t="shared" si="26"/>
        <v>0.33622559652928419</v>
      </c>
      <c r="K413">
        <f t="shared" si="27"/>
        <v>2712</v>
      </c>
    </row>
    <row r="414" spans="1:11">
      <c r="A414" s="3">
        <v>514</v>
      </c>
      <c r="B414" t="s">
        <v>445</v>
      </c>
      <c r="C414" t="s">
        <v>8</v>
      </c>
      <c r="E414" s="3">
        <f t="shared" si="24"/>
        <v>2</v>
      </c>
      <c r="F414" s="5">
        <v>44243.625</v>
      </c>
      <c r="G414" s="19" t="str">
        <f t="shared" si="25"/>
        <v/>
      </c>
      <c r="J414" s="28">
        <f t="shared" si="26"/>
        <v>0.38172043010752699</v>
      </c>
      <c r="K414">
        <f t="shared" si="27"/>
        <v>2854</v>
      </c>
    </row>
    <row r="415" spans="1:11">
      <c r="A415" s="3">
        <v>553</v>
      </c>
      <c r="B415" t="s">
        <v>446</v>
      </c>
      <c r="C415" t="s">
        <v>8</v>
      </c>
      <c r="E415" s="3">
        <f t="shared" si="24"/>
        <v>3</v>
      </c>
      <c r="F415" s="5">
        <v>44244.625</v>
      </c>
      <c r="G415" s="19" t="str">
        <f t="shared" si="25"/>
        <v/>
      </c>
      <c r="J415" s="28">
        <f t="shared" si="26"/>
        <v>0.44386422976501305</v>
      </c>
      <c r="K415">
        <f t="shared" si="27"/>
        <v>3024</v>
      </c>
    </row>
    <row r="416" spans="1:11">
      <c r="A416" s="3">
        <v>611</v>
      </c>
      <c r="B416" t="s">
        <v>447</v>
      </c>
      <c r="C416" t="s">
        <v>8</v>
      </c>
      <c r="E416" s="3">
        <f t="shared" si="24"/>
        <v>4</v>
      </c>
      <c r="F416" s="5">
        <v>44245.625</v>
      </c>
      <c r="G416" s="19" t="str">
        <f t="shared" si="25"/>
        <v/>
      </c>
      <c r="J416" s="28">
        <f t="shared" si="26"/>
        <v>0.69252077562326875</v>
      </c>
      <c r="K416">
        <f t="shared" si="27"/>
        <v>3274</v>
      </c>
    </row>
    <row r="417" spans="1:11">
      <c r="A417" s="3">
        <v>573</v>
      </c>
      <c r="B417" t="s">
        <v>448</v>
      </c>
      <c r="C417" t="s">
        <v>8</v>
      </c>
      <c r="E417" s="3">
        <f t="shared" si="24"/>
        <v>5</v>
      </c>
      <c r="F417" s="5">
        <v>44246.625</v>
      </c>
      <c r="G417" s="19" t="str">
        <f t="shared" si="25"/>
        <v/>
      </c>
      <c r="J417" s="28">
        <f t="shared" si="26"/>
        <v>0.36754176610978528</v>
      </c>
      <c r="K417">
        <f t="shared" si="27"/>
        <v>3428</v>
      </c>
    </row>
    <row r="418" spans="1:11">
      <c r="A418" s="3">
        <v>318</v>
      </c>
      <c r="B418" t="s">
        <v>450</v>
      </c>
      <c r="C418" t="s">
        <v>8</v>
      </c>
      <c r="E418" s="3">
        <f t="shared" si="24"/>
        <v>6</v>
      </c>
      <c r="F418" s="5">
        <v>44247.625</v>
      </c>
      <c r="G418" s="19" t="str">
        <f t="shared" si="25"/>
        <v/>
      </c>
      <c r="J418" s="28">
        <f t="shared" si="26"/>
        <v>0.13978494623655924</v>
      </c>
      <c r="K418">
        <f t="shared" si="27"/>
        <v>3467</v>
      </c>
    </row>
    <row r="419" spans="1:11">
      <c r="A419" s="3">
        <v>356</v>
      </c>
      <c r="B419" t="s">
        <v>451</v>
      </c>
      <c r="C419" t="s">
        <v>8</v>
      </c>
      <c r="E419" s="3">
        <f t="shared" si="24"/>
        <v>7</v>
      </c>
      <c r="F419" s="5">
        <v>44248.625</v>
      </c>
      <c r="G419" s="19" t="str">
        <f t="shared" si="25"/>
        <v/>
      </c>
      <c r="J419" s="28">
        <f t="shared" si="26"/>
        <v>0.26241134751773054</v>
      </c>
      <c r="K419">
        <f t="shared" si="27"/>
        <v>3541</v>
      </c>
    </row>
    <row r="420" spans="1:11">
      <c r="A420" s="3">
        <v>623</v>
      </c>
      <c r="B420" t="s">
        <v>452</v>
      </c>
      <c r="C420" t="s">
        <v>8</v>
      </c>
      <c r="E420" s="3">
        <f t="shared" si="24"/>
        <v>1</v>
      </c>
      <c r="F420" s="5">
        <v>44249.625</v>
      </c>
      <c r="G420" s="19" t="str">
        <f t="shared" si="25"/>
        <v>2021-W08</v>
      </c>
      <c r="H420">
        <f>SUM(A420:A426)</f>
        <v>3993</v>
      </c>
      <c r="I420" s="28">
        <f>H420/H413-1</f>
        <v>0.12764755718723531</v>
      </c>
      <c r="J420" s="28">
        <f t="shared" si="26"/>
        <v>1.1363636363636465E-2</v>
      </c>
      <c r="K420">
        <f t="shared" si="27"/>
        <v>3548</v>
      </c>
    </row>
    <row r="421" spans="1:11">
      <c r="A421" s="3">
        <v>626</v>
      </c>
      <c r="B421" t="s">
        <v>455</v>
      </c>
      <c r="C421" t="s">
        <v>8</v>
      </c>
      <c r="E421" s="3">
        <f t="shared" si="24"/>
        <v>2</v>
      </c>
      <c r="F421" s="5">
        <v>44250.625</v>
      </c>
      <c r="G421" s="19" t="str">
        <f t="shared" si="25"/>
        <v/>
      </c>
      <c r="J421" s="28">
        <f t="shared" si="26"/>
        <v>0.21789883268482479</v>
      </c>
      <c r="K421">
        <f t="shared" si="27"/>
        <v>3660</v>
      </c>
    </row>
    <row r="422" spans="1:11">
      <c r="A422" s="3">
        <v>599</v>
      </c>
      <c r="B422" t="s">
        <v>461</v>
      </c>
      <c r="C422" t="s">
        <v>8</v>
      </c>
      <c r="E422" s="3">
        <f t="shared" si="24"/>
        <v>3</v>
      </c>
      <c r="F422" s="5">
        <v>44251.625</v>
      </c>
      <c r="G422" s="19" t="str">
        <f t="shared" si="25"/>
        <v/>
      </c>
      <c r="J422" s="28">
        <f t="shared" si="26"/>
        <v>8.3182640144665365E-2</v>
      </c>
      <c r="K422">
        <f t="shared" si="27"/>
        <v>3706</v>
      </c>
    </row>
    <row r="423" spans="1:11">
      <c r="A423" s="3">
        <v>629</v>
      </c>
      <c r="B423" t="s">
        <v>463</v>
      </c>
      <c r="C423" t="s">
        <v>8</v>
      </c>
      <c r="E423" s="3">
        <f t="shared" si="24"/>
        <v>4</v>
      </c>
      <c r="F423" s="5">
        <v>44252.625</v>
      </c>
      <c r="G423" s="19" t="str">
        <f t="shared" si="25"/>
        <v/>
      </c>
      <c r="J423" s="28">
        <f t="shared" si="26"/>
        <v>2.9459901800327426E-2</v>
      </c>
      <c r="K423">
        <f t="shared" si="27"/>
        <v>3724</v>
      </c>
    </row>
    <row r="424" spans="1:11">
      <c r="A424" s="3">
        <v>688</v>
      </c>
      <c r="B424" t="s">
        <v>464</v>
      </c>
      <c r="C424" t="s">
        <v>8</v>
      </c>
      <c r="E424" s="3">
        <f t="shared" si="24"/>
        <v>5</v>
      </c>
      <c r="F424" s="5">
        <v>44253.625</v>
      </c>
      <c r="G424" s="19" t="str">
        <f t="shared" si="25"/>
        <v/>
      </c>
      <c r="J424" s="28">
        <f t="shared" si="26"/>
        <v>0.20069808027923219</v>
      </c>
      <c r="K424">
        <f t="shared" si="27"/>
        <v>3839</v>
      </c>
    </row>
    <row r="425" spans="1:11">
      <c r="A425" s="3">
        <v>404</v>
      </c>
      <c r="B425" t="s">
        <v>469</v>
      </c>
      <c r="C425" t="s">
        <v>8</v>
      </c>
      <c r="E425" s="3">
        <f t="shared" si="24"/>
        <v>6</v>
      </c>
      <c r="F425" s="5">
        <v>44254.625</v>
      </c>
      <c r="G425" s="19" t="str">
        <f t="shared" si="25"/>
        <v/>
      </c>
      <c r="J425" s="28">
        <f t="shared" si="26"/>
        <v>0.27044025157232698</v>
      </c>
      <c r="K425">
        <f t="shared" si="27"/>
        <v>3925</v>
      </c>
    </row>
    <row r="426" spans="1:11">
      <c r="A426" s="3">
        <v>424</v>
      </c>
      <c r="B426" t="s">
        <v>470</v>
      </c>
      <c r="C426" t="s">
        <v>8</v>
      </c>
      <c r="E426" s="3">
        <f t="shared" si="24"/>
        <v>7</v>
      </c>
      <c r="F426" s="5">
        <v>44255.625</v>
      </c>
      <c r="G426" s="19" t="str">
        <f t="shared" si="25"/>
        <v/>
      </c>
      <c r="J426" s="28">
        <f t="shared" si="26"/>
        <v>0.1910112359550562</v>
      </c>
      <c r="K426">
        <f t="shared" si="27"/>
        <v>3993</v>
      </c>
    </row>
    <row r="427" spans="1:11">
      <c r="A427" s="3">
        <v>873</v>
      </c>
      <c r="B427" t="s">
        <v>471</v>
      </c>
      <c r="C427" t="s">
        <v>8</v>
      </c>
      <c r="E427" s="3">
        <f t="shared" si="24"/>
        <v>1</v>
      </c>
      <c r="F427" s="5">
        <v>44256.625</v>
      </c>
      <c r="G427" s="19" t="str">
        <f t="shared" si="25"/>
        <v>2021-W09</v>
      </c>
      <c r="H427">
        <f>SUM(A427:A433)</f>
        <v>4461</v>
      </c>
      <c r="I427" s="28">
        <f>H427/H420-1</f>
        <v>0.11720510894064606</v>
      </c>
      <c r="J427" s="28">
        <f t="shared" si="26"/>
        <v>0.40128410914927759</v>
      </c>
      <c r="K427">
        <f t="shared" si="27"/>
        <v>4243</v>
      </c>
    </row>
    <row r="428" spans="1:11">
      <c r="A428" s="3">
        <v>758</v>
      </c>
      <c r="B428" t="s">
        <v>472</v>
      </c>
      <c r="C428" t="s">
        <v>8</v>
      </c>
      <c r="E428" s="3">
        <f t="shared" si="24"/>
        <v>2</v>
      </c>
      <c r="F428" s="5">
        <v>44257.625</v>
      </c>
      <c r="G428" s="19" t="str">
        <f t="shared" si="25"/>
        <v/>
      </c>
      <c r="J428" s="28">
        <f t="shared" si="26"/>
        <v>0.21086261980830678</v>
      </c>
      <c r="K428">
        <f t="shared" si="27"/>
        <v>4375</v>
      </c>
    </row>
    <row r="429" spans="1:11">
      <c r="A429" s="3">
        <v>732</v>
      </c>
      <c r="B429" t="s">
        <v>473</v>
      </c>
      <c r="C429" t="s">
        <v>8</v>
      </c>
      <c r="E429" s="3">
        <f t="shared" si="24"/>
        <v>3</v>
      </c>
      <c r="F429" s="5">
        <v>44258.625</v>
      </c>
      <c r="G429" s="19" t="str">
        <f t="shared" si="25"/>
        <v/>
      </c>
      <c r="J429" s="28">
        <f t="shared" si="26"/>
        <v>0.22203672787979967</v>
      </c>
      <c r="K429">
        <f t="shared" si="27"/>
        <v>4508</v>
      </c>
    </row>
    <row r="430" spans="1:11">
      <c r="A430" s="3">
        <v>640</v>
      </c>
      <c r="B430" t="s">
        <v>474</v>
      </c>
      <c r="C430" t="s">
        <v>8</v>
      </c>
      <c r="E430" s="3">
        <f t="shared" si="24"/>
        <v>4</v>
      </c>
      <c r="F430" s="5">
        <v>44259.625</v>
      </c>
      <c r="G430" s="19" t="str">
        <f t="shared" si="25"/>
        <v/>
      </c>
      <c r="J430" s="28">
        <f t="shared" si="26"/>
        <v>1.7488076311605649E-2</v>
      </c>
      <c r="K430">
        <f t="shared" si="27"/>
        <v>4519</v>
      </c>
    </row>
    <row r="431" spans="1:11">
      <c r="A431" s="3">
        <v>630</v>
      </c>
      <c r="B431" t="s">
        <v>475</v>
      </c>
      <c r="C431" t="s">
        <v>8</v>
      </c>
      <c r="E431" s="3">
        <f t="shared" si="24"/>
        <v>5</v>
      </c>
      <c r="F431" s="5">
        <v>44260.625</v>
      </c>
      <c r="G431" s="19" t="str">
        <f t="shared" si="25"/>
        <v/>
      </c>
      <c r="J431" s="28">
        <f t="shared" si="26"/>
        <v>-8.4302325581395388E-2</v>
      </c>
      <c r="K431">
        <f t="shared" si="27"/>
        <v>4461</v>
      </c>
    </row>
    <row r="432" spans="1:11">
      <c r="A432" s="3">
        <v>433</v>
      </c>
      <c r="B432" t="s">
        <v>476</v>
      </c>
      <c r="C432" t="s">
        <v>8</v>
      </c>
      <c r="E432" s="3">
        <f t="shared" si="24"/>
        <v>6</v>
      </c>
      <c r="F432" s="5">
        <v>44261.625</v>
      </c>
      <c r="G432" s="19" t="str">
        <f t="shared" si="25"/>
        <v/>
      </c>
      <c r="J432" s="28">
        <f t="shared" si="26"/>
        <v>7.1782178217821846E-2</v>
      </c>
      <c r="K432">
        <f t="shared" si="27"/>
        <v>4490</v>
      </c>
    </row>
    <row r="433" spans="1:11">
      <c r="A433" s="3">
        <v>395</v>
      </c>
      <c r="B433" t="s">
        <v>477</v>
      </c>
      <c r="C433" t="s">
        <v>8</v>
      </c>
      <c r="E433" s="3">
        <f t="shared" si="24"/>
        <v>7</v>
      </c>
      <c r="F433" s="5">
        <v>44262.625</v>
      </c>
      <c r="G433" s="19" t="str">
        <f t="shared" si="25"/>
        <v/>
      </c>
      <c r="J433" s="28">
        <f t="shared" si="26"/>
        <v>-6.8396226415094352E-2</v>
      </c>
      <c r="K433">
        <f t="shared" si="27"/>
        <v>4461</v>
      </c>
    </row>
    <row r="434" spans="1:11">
      <c r="A434" s="3">
        <v>834</v>
      </c>
      <c r="B434" t="s">
        <v>478</v>
      </c>
      <c r="C434" t="s">
        <v>8</v>
      </c>
      <c r="E434" s="3">
        <f t="shared" si="24"/>
        <v>1</v>
      </c>
      <c r="F434" s="5">
        <v>44263.625</v>
      </c>
      <c r="G434" s="19" t="str">
        <f t="shared" si="25"/>
        <v>2021-W10</v>
      </c>
      <c r="H434">
        <f>SUM(A434:A440)</f>
        <v>4942</v>
      </c>
      <c r="I434" s="28">
        <f>H434/H427-1</f>
        <v>0.10782335799148179</v>
      </c>
      <c r="J434" s="28">
        <f t="shared" si="26"/>
        <v>-4.4673539518900296E-2</v>
      </c>
      <c r="K434">
        <f t="shared" si="27"/>
        <v>4422</v>
      </c>
    </row>
    <row r="435" spans="1:11">
      <c r="A435" s="3">
        <v>773</v>
      </c>
      <c r="B435" t="s">
        <v>479</v>
      </c>
      <c r="C435" t="s">
        <v>8</v>
      </c>
      <c r="E435" s="3">
        <f t="shared" si="24"/>
        <v>2</v>
      </c>
      <c r="F435" s="5">
        <v>44264.625</v>
      </c>
      <c r="G435" s="19" t="str">
        <f t="shared" si="25"/>
        <v/>
      </c>
      <c r="J435" s="28">
        <f t="shared" si="26"/>
        <v>1.978891820580464E-2</v>
      </c>
      <c r="K435">
        <f t="shared" si="27"/>
        <v>4437</v>
      </c>
    </row>
    <row r="436" spans="1:11">
      <c r="A436" s="3">
        <v>822</v>
      </c>
      <c r="B436" t="s">
        <v>480</v>
      </c>
      <c r="C436" t="s">
        <v>8</v>
      </c>
      <c r="E436" s="3">
        <f t="shared" si="24"/>
        <v>3</v>
      </c>
      <c r="F436" s="5">
        <v>44265.625</v>
      </c>
      <c r="G436" s="19" t="str">
        <f t="shared" si="25"/>
        <v/>
      </c>
      <c r="J436" s="28">
        <f t="shared" si="26"/>
        <v>0.12295081967213117</v>
      </c>
      <c r="K436">
        <f t="shared" si="27"/>
        <v>4527</v>
      </c>
    </row>
    <row r="437" spans="1:11">
      <c r="A437" s="3">
        <v>779</v>
      </c>
      <c r="B437" t="s">
        <v>481</v>
      </c>
      <c r="C437" t="s">
        <v>8</v>
      </c>
      <c r="E437" s="3">
        <f t="shared" si="24"/>
        <v>4</v>
      </c>
      <c r="F437" s="5">
        <v>44266.625</v>
      </c>
      <c r="G437" s="19" t="str">
        <f t="shared" si="25"/>
        <v/>
      </c>
      <c r="J437" s="28">
        <f t="shared" si="26"/>
        <v>0.21718750000000009</v>
      </c>
      <c r="K437">
        <f t="shared" si="27"/>
        <v>4666</v>
      </c>
    </row>
    <row r="438" spans="1:11">
      <c r="A438" s="3">
        <v>808</v>
      </c>
      <c r="B438" t="s">
        <v>482</v>
      </c>
      <c r="C438" t="s">
        <v>8</v>
      </c>
      <c r="E438" s="3">
        <f t="shared" si="24"/>
        <v>5</v>
      </c>
      <c r="F438" s="5">
        <v>44267.625</v>
      </c>
      <c r="G438" s="19" t="str">
        <f t="shared" si="25"/>
        <v/>
      </c>
      <c r="J438" s="28">
        <f t="shared" si="26"/>
        <v>0.28253968253968265</v>
      </c>
      <c r="K438">
        <f t="shared" si="27"/>
        <v>4844</v>
      </c>
    </row>
    <row r="439" spans="1:11">
      <c r="A439" s="3">
        <v>492</v>
      </c>
      <c r="B439" t="s">
        <v>483</v>
      </c>
      <c r="C439" t="s">
        <v>8</v>
      </c>
      <c r="E439" s="3">
        <f t="shared" si="24"/>
        <v>6</v>
      </c>
      <c r="F439" s="5">
        <v>44268.625</v>
      </c>
      <c r="G439" s="19" t="str">
        <f t="shared" si="25"/>
        <v/>
      </c>
      <c r="J439" s="28">
        <f t="shared" si="26"/>
        <v>0.13625866050808311</v>
      </c>
      <c r="K439">
        <f t="shared" si="27"/>
        <v>4903</v>
      </c>
    </row>
    <row r="440" spans="1:11">
      <c r="A440" s="3">
        <v>434</v>
      </c>
      <c r="B440" t="s">
        <v>484</v>
      </c>
      <c r="C440" t="s">
        <v>8</v>
      </c>
      <c r="E440" s="3">
        <f t="shared" si="24"/>
        <v>7</v>
      </c>
      <c r="F440" s="5">
        <v>44269.625</v>
      </c>
      <c r="G440" s="19" t="str">
        <f t="shared" si="25"/>
        <v/>
      </c>
      <c r="J440" s="28">
        <f t="shared" si="26"/>
        <v>9.8734177215189955E-2</v>
      </c>
      <c r="K440">
        <f t="shared" si="27"/>
        <v>4942</v>
      </c>
    </row>
    <row r="441" spans="1:11">
      <c r="A441" s="3">
        <v>892</v>
      </c>
      <c r="B441" t="s">
        <v>485</v>
      </c>
      <c r="C441" t="s">
        <v>8</v>
      </c>
      <c r="E441" s="3">
        <f t="shared" si="24"/>
        <v>1</v>
      </c>
      <c r="F441" s="5">
        <v>44270.625</v>
      </c>
      <c r="G441" s="19" t="str">
        <f t="shared" si="25"/>
        <v>2021-W11</v>
      </c>
      <c r="H441">
        <f>SUM(A441:A447)</f>
        <v>4707</v>
      </c>
      <c r="I441" s="28">
        <f>H441/H434-1</f>
        <v>-4.7551598543099982E-2</v>
      </c>
      <c r="J441" s="28">
        <f t="shared" si="26"/>
        <v>6.9544364508393297E-2</v>
      </c>
      <c r="K441">
        <f t="shared" si="27"/>
        <v>5000</v>
      </c>
    </row>
    <row r="442" spans="1:11">
      <c r="A442" s="3">
        <v>767</v>
      </c>
      <c r="B442" t="s">
        <v>486</v>
      </c>
      <c r="C442" t="s">
        <v>8</v>
      </c>
      <c r="E442" s="3">
        <f t="shared" si="24"/>
        <v>2</v>
      </c>
      <c r="F442" s="5">
        <v>44271.625</v>
      </c>
      <c r="G442" s="19" t="str">
        <f t="shared" si="25"/>
        <v/>
      </c>
      <c r="J442" s="28">
        <f t="shared" si="26"/>
        <v>-7.7619663648124115E-3</v>
      </c>
      <c r="K442">
        <f t="shared" si="27"/>
        <v>4994</v>
      </c>
    </row>
    <row r="443" spans="1:11">
      <c r="A443" s="3">
        <v>744</v>
      </c>
      <c r="B443" t="s">
        <v>487</v>
      </c>
      <c r="C443" t="s">
        <v>8</v>
      </c>
      <c r="E443" s="3">
        <f t="shared" si="24"/>
        <v>3</v>
      </c>
      <c r="F443" s="5">
        <v>44272.625</v>
      </c>
      <c r="G443" s="19" t="str">
        <f t="shared" si="25"/>
        <v/>
      </c>
      <c r="J443" s="28">
        <f t="shared" si="26"/>
        <v>-9.4890510948905105E-2</v>
      </c>
      <c r="K443">
        <f t="shared" si="27"/>
        <v>4916</v>
      </c>
    </row>
    <row r="444" spans="1:11">
      <c r="A444" s="3">
        <v>735</v>
      </c>
      <c r="B444" t="s">
        <v>488</v>
      </c>
      <c r="C444" t="s">
        <v>8</v>
      </c>
      <c r="E444" s="3">
        <f t="shared" si="24"/>
        <v>4</v>
      </c>
      <c r="F444" s="5">
        <v>44273.625</v>
      </c>
      <c r="G444" s="19" t="str">
        <f t="shared" si="25"/>
        <v/>
      </c>
      <c r="J444" s="28">
        <f t="shared" si="26"/>
        <v>-5.6482670089858744E-2</v>
      </c>
      <c r="K444">
        <f t="shared" si="27"/>
        <v>4872</v>
      </c>
    </row>
    <row r="445" spans="1:11">
      <c r="A445" s="3">
        <v>745</v>
      </c>
      <c r="B445" t="s">
        <v>489</v>
      </c>
      <c r="C445" t="s">
        <v>8</v>
      </c>
      <c r="E445" s="3">
        <f t="shared" si="24"/>
        <v>5</v>
      </c>
      <c r="F445" s="5">
        <v>44274.625</v>
      </c>
      <c r="G445" s="19" t="str">
        <f t="shared" si="25"/>
        <v/>
      </c>
      <c r="J445" s="28">
        <f t="shared" si="26"/>
        <v>-7.7970297029702929E-2</v>
      </c>
      <c r="K445">
        <f t="shared" si="27"/>
        <v>4809</v>
      </c>
    </row>
    <row r="446" spans="1:11">
      <c r="A446" s="3">
        <v>404</v>
      </c>
      <c r="B446" t="s">
        <v>490</v>
      </c>
      <c r="C446" t="s">
        <v>8</v>
      </c>
      <c r="E446" s="3">
        <f t="shared" si="24"/>
        <v>6</v>
      </c>
      <c r="F446" s="5">
        <v>44275.625</v>
      </c>
      <c r="G446" s="19" t="str">
        <f t="shared" si="25"/>
        <v/>
      </c>
      <c r="J446" s="28">
        <f t="shared" si="26"/>
        <v>-0.17886178861788615</v>
      </c>
      <c r="K446">
        <f t="shared" si="27"/>
        <v>4721</v>
      </c>
    </row>
    <row r="447" spans="1:11">
      <c r="A447" s="3">
        <v>420</v>
      </c>
      <c r="B447" t="s">
        <v>491</v>
      </c>
      <c r="C447" t="s">
        <v>8</v>
      </c>
      <c r="E447" s="3">
        <f t="shared" ref="E447:E510" si="28">WEEKDAY(F447,2)</f>
        <v>7</v>
      </c>
      <c r="F447" s="5">
        <v>44276.625</v>
      </c>
      <c r="G447" s="19" t="str">
        <f t="shared" si="25"/>
        <v/>
      </c>
      <c r="J447" s="28">
        <f t="shared" si="26"/>
        <v>-3.2258064516129004E-2</v>
      </c>
      <c r="K447">
        <f t="shared" si="27"/>
        <v>4707</v>
      </c>
    </row>
    <row r="448" spans="1:11">
      <c r="A448" s="3">
        <v>768</v>
      </c>
      <c r="B448" t="s">
        <v>492</v>
      </c>
      <c r="C448" t="s">
        <v>8</v>
      </c>
      <c r="E448" s="3">
        <f t="shared" si="28"/>
        <v>1</v>
      </c>
      <c r="F448" s="5">
        <v>44277.625</v>
      </c>
      <c r="G448" s="19" t="str">
        <f t="shared" si="25"/>
        <v>2021-W12</v>
      </c>
      <c r="H448">
        <f>SUM(A448:A454)</f>
        <v>4186</v>
      </c>
      <c r="I448" s="28">
        <f>H448/H441-1</f>
        <v>-0.11068621202464413</v>
      </c>
      <c r="J448" s="28">
        <f t="shared" si="26"/>
        <v>-0.13901345291479816</v>
      </c>
      <c r="K448">
        <f t="shared" si="27"/>
        <v>4583</v>
      </c>
    </row>
    <row r="449" spans="1:11">
      <c r="A449" s="3">
        <v>704</v>
      </c>
      <c r="B449" t="s">
        <v>493</v>
      </c>
      <c r="C449" t="s">
        <v>8</v>
      </c>
      <c r="E449" s="3">
        <f t="shared" si="28"/>
        <v>2</v>
      </c>
      <c r="F449" s="5">
        <v>44278.625</v>
      </c>
      <c r="G449" s="19" t="str">
        <f t="shared" si="25"/>
        <v/>
      </c>
      <c r="J449" s="28">
        <f t="shared" si="26"/>
        <v>-8.2138200782268633E-2</v>
      </c>
      <c r="K449">
        <f t="shared" si="27"/>
        <v>4520</v>
      </c>
    </row>
    <row r="450" spans="1:11">
      <c r="A450" s="3">
        <v>695</v>
      </c>
      <c r="B450" t="s">
        <v>494</v>
      </c>
      <c r="C450" t="s">
        <v>8</v>
      </c>
      <c r="E450" s="3">
        <f t="shared" si="28"/>
        <v>3</v>
      </c>
      <c r="F450" s="5">
        <v>44279.625</v>
      </c>
      <c r="G450" s="19" t="str">
        <f t="shared" si="25"/>
        <v/>
      </c>
      <c r="J450" s="28">
        <f t="shared" si="26"/>
        <v>-6.5860215053763493E-2</v>
      </c>
      <c r="K450">
        <f t="shared" si="27"/>
        <v>4471</v>
      </c>
    </row>
    <row r="451" spans="1:11">
      <c r="A451" s="3">
        <v>606</v>
      </c>
      <c r="B451" t="s">
        <v>495</v>
      </c>
      <c r="C451" t="s">
        <v>8</v>
      </c>
      <c r="E451" s="3">
        <f t="shared" si="28"/>
        <v>4</v>
      </c>
      <c r="F451" s="5">
        <v>44280.625</v>
      </c>
      <c r="G451" s="19" t="str">
        <f t="shared" ref="G451:G514" si="29">IF(WEEKDAY(F451,2)=1,YEAR(F451)&amp;"-W"&amp;TEXT(WEEKNUM(F451,14),"00"),"")</f>
        <v/>
      </c>
      <c r="J451" s="28">
        <f t="shared" si="26"/>
        <v>-0.17551020408163265</v>
      </c>
      <c r="K451">
        <f t="shared" si="27"/>
        <v>4342</v>
      </c>
    </row>
    <row r="452" spans="1:11">
      <c r="A452" s="3">
        <v>688</v>
      </c>
      <c r="B452" t="s">
        <v>496</v>
      </c>
      <c r="C452" t="s">
        <v>8</v>
      </c>
      <c r="E452" s="3">
        <f t="shared" si="28"/>
        <v>5</v>
      </c>
      <c r="F452" s="5">
        <v>44281.625</v>
      </c>
      <c r="G452" s="19" t="str">
        <f t="shared" si="29"/>
        <v/>
      </c>
      <c r="J452" s="28">
        <f t="shared" si="26"/>
        <v>-7.6510067114093916E-2</v>
      </c>
      <c r="K452">
        <f t="shared" si="27"/>
        <v>4285</v>
      </c>
    </row>
    <row r="453" spans="1:11">
      <c r="A453" s="3">
        <v>351</v>
      </c>
      <c r="B453" t="s">
        <v>497</v>
      </c>
      <c r="C453" t="s">
        <v>8</v>
      </c>
      <c r="E453" s="3">
        <f t="shared" si="28"/>
        <v>6</v>
      </c>
      <c r="F453" s="5">
        <v>44282.625</v>
      </c>
      <c r="G453" s="19" t="str">
        <f t="shared" si="29"/>
        <v/>
      </c>
      <c r="J453" s="28">
        <f t="shared" si="26"/>
        <v>-0.13118811881188119</v>
      </c>
      <c r="K453">
        <f t="shared" si="27"/>
        <v>4232</v>
      </c>
    </row>
    <row r="454" spans="1:11">
      <c r="A454" s="3">
        <v>374</v>
      </c>
      <c r="B454" t="s">
        <v>498</v>
      </c>
      <c r="C454" t="s">
        <v>8</v>
      </c>
      <c r="E454" s="3">
        <f t="shared" si="28"/>
        <v>7</v>
      </c>
      <c r="F454" s="5">
        <v>44283.625</v>
      </c>
      <c r="G454" s="19" t="str">
        <f t="shared" si="29"/>
        <v/>
      </c>
      <c r="J454" s="28">
        <f t="shared" si="26"/>
        <v>-0.10952380952380958</v>
      </c>
      <c r="K454">
        <f t="shared" si="27"/>
        <v>4186</v>
      </c>
    </row>
    <row r="455" spans="1:11">
      <c r="A455" s="3">
        <v>655</v>
      </c>
      <c r="B455" t="s">
        <v>499</v>
      </c>
      <c r="C455" t="s">
        <v>8</v>
      </c>
      <c r="E455" s="3">
        <f t="shared" si="28"/>
        <v>1</v>
      </c>
      <c r="F455" s="5">
        <v>44284.625</v>
      </c>
      <c r="G455" s="19" t="str">
        <f t="shared" si="29"/>
        <v>2021-W13</v>
      </c>
      <c r="H455">
        <f>SUM(A455:A461)</f>
        <v>3267</v>
      </c>
      <c r="I455" s="28">
        <f>H455/H448-1</f>
        <v>-0.21954132823698036</v>
      </c>
      <c r="J455" s="28">
        <f t="shared" si="26"/>
        <v>-0.14713541666666663</v>
      </c>
      <c r="K455">
        <f t="shared" si="27"/>
        <v>4073</v>
      </c>
    </row>
    <row r="456" spans="1:11">
      <c r="A456" s="3">
        <v>570</v>
      </c>
      <c r="B456" t="s">
        <v>500</v>
      </c>
      <c r="C456" t="s">
        <v>8</v>
      </c>
      <c r="E456" s="3">
        <f t="shared" si="28"/>
        <v>2</v>
      </c>
      <c r="F456" s="5">
        <v>44285.625</v>
      </c>
      <c r="G456" s="19" t="str">
        <f t="shared" si="29"/>
        <v/>
      </c>
      <c r="J456" s="28">
        <f t="shared" si="26"/>
        <v>-0.19034090909090906</v>
      </c>
      <c r="K456">
        <f t="shared" si="27"/>
        <v>3939</v>
      </c>
    </row>
    <row r="457" spans="1:11">
      <c r="A457" s="3">
        <v>550</v>
      </c>
      <c r="B457" t="s">
        <v>501</v>
      </c>
      <c r="C457" t="s">
        <v>8</v>
      </c>
      <c r="E457" s="3">
        <f t="shared" si="28"/>
        <v>3</v>
      </c>
      <c r="F457" s="5">
        <v>44286.625</v>
      </c>
      <c r="G457" s="19" t="str">
        <f t="shared" si="29"/>
        <v/>
      </c>
      <c r="J457" s="28">
        <f t="shared" ref="J457:J520" si="30">A457/A450-1</f>
        <v>-0.20863309352517989</v>
      </c>
      <c r="K457">
        <f t="shared" si="27"/>
        <v>3794</v>
      </c>
    </row>
    <row r="458" spans="1:11">
      <c r="A458" s="3">
        <v>486</v>
      </c>
      <c r="B458" t="s">
        <v>502</v>
      </c>
      <c r="C458" t="s">
        <v>8</v>
      </c>
      <c r="E458" s="3">
        <f t="shared" si="28"/>
        <v>4</v>
      </c>
      <c r="F458" s="5">
        <v>44287.625</v>
      </c>
      <c r="G458" s="19" t="str">
        <f t="shared" si="29"/>
        <v/>
      </c>
      <c r="J458" s="28">
        <f t="shared" si="30"/>
        <v>-0.19801980198019797</v>
      </c>
      <c r="K458">
        <f t="shared" si="27"/>
        <v>3674</v>
      </c>
    </row>
    <row r="459" spans="1:11">
      <c r="A459" s="3">
        <v>361</v>
      </c>
      <c r="B459" t="s">
        <v>503</v>
      </c>
      <c r="C459" t="s">
        <v>8</v>
      </c>
      <c r="E459" s="3">
        <f t="shared" si="28"/>
        <v>5</v>
      </c>
      <c r="F459" s="5">
        <v>44288.625</v>
      </c>
      <c r="G459" s="19" t="str">
        <f t="shared" si="29"/>
        <v/>
      </c>
      <c r="J459" s="28">
        <f t="shared" si="30"/>
        <v>-0.47529069767441856</v>
      </c>
      <c r="K459">
        <f t="shared" si="27"/>
        <v>3347</v>
      </c>
    </row>
    <row r="460" spans="1:11">
      <c r="A460" s="3">
        <v>323</v>
      </c>
      <c r="B460" t="s">
        <v>504</v>
      </c>
      <c r="C460" t="s">
        <v>8</v>
      </c>
      <c r="E460" s="3">
        <f t="shared" si="28"/>
        <v>6</v>
      </c>
      <c r="F460" s="5">
        <v>44289.625</v>
      </c>
      <c r="G460" s="19" t="str">
        <f t="shared" si="29"/>
        <v/>
      </c>
      <c r="J460" s="28">
        <f t="shared" si="30"/>
        <v>-7.9772079772079785E-2</v>
      </c>
      <c r="K460">
        <f t="shared" si="27"/>
        <v>3319</v>
      </c>
    </row>
    <row r="461" spans="1:11">
      <c r="A461" s="3">
        <v>322</v>
      </c>
      <c r="B461" t="s">
        <v>505</v>
      </c>
      <c r="C461" t="s">
        <v>8</v>
      </c>
      <c r="E461" s="3">
        <f t="shared" si="28"/>
        <v>7</v>
      </c>
      <c r="F461" s="5">
        <v>44290.625</v>
      </c>
      <c r="G461" s="19" t="str">
        <f t="shared" si="29"/>
        <v/>
      </c>
      <c r="J461" s="28">
        <f t="shared" si="30"/>
        <v>-0.13903743315508021</v>
      </c>
      <c r="K461">
        <f t="shared" si="27"/>
        <v>3267</v>
      </c>
    </row>
    <row r="462" spans="1:11">
      <c r="A462" s="3">
        <v>361</v>
      </c>
      <c r="B462" t="s">
        <v>506</v>
      </c>
      <c r="C462" t="s">
        <v>8</v>
      </c>
      <c r="E462" s="3">
        <f t="shared" si="28"/>
        <v>1</v>
      </c>
      <c r="F462" s="5">
        <v>44291.625</v>
      </c>
      <c r="G462" s="19" t="str">
        <f t="shared" si="29"/>
        <v>2021-W14</v>
      </c>
      <c r="H462">
        <f>SUM(A462:A468)</f>
        <v>2555</v>
      </c>
      <c r="I462" s="28">
        <f>H462/H455-1</f>
        <v>-0.21793694520967244</v>
      </c>
      <c r="J462" s="28">
        <f t="shared" si="30"/>
        <v>-0.44885496183206108</v>
      </c>
      <c r="K462">
        <f t="shared" si="27"/>
        <v>2973</v>
      </c>
    </row>
    <row r="463" spans="1:11">
      <c r="A463" s="3">
        <v>544</v>
      </c>
      <c r="B463" t="s">
        <v>507</v>
      </c>
      <c r="C463" t="s">
        <v>8</v>
      </c>
      <c r="E463" s="3">
        <f t="shared" si="28"/>
        <v>2</v>
      </c>
      <c r="F463" s="5">
        <v>44292.625</v>
      </c>
      <c r="G463" s="19" t="str">
        <f t="shared" si="29"/>
        <v/>
      </c>
      <c r="J463" s="28">
        <f t="shared" si="30"/>
        <v>-4.5614035087719329E-2</v>
      </c>
      <c r="K463">
        <f t="shared" si="27"/>
        <v>2947</v>
      </c>
    </row>
    <row r="464" spans="1:11">
      <c r="A464" s="3">
        <v>426</v>
      </c>
      <c r="B464" t="s">
        <v>508</v>
      </c>
      <c r="C464" t="s">
        <v>8</v>
      </c>
      <c r="E464" s="3">
        <f t="shared" si="28"/>
        <v>3</v>
      </c>
      <c r="F464" s="5">
        <v>44293.625</v>
      </c>
      <c r="G464" s="19" t="str">
        <f t="shared" si="29"/>
        <v/>
      </c>
      <c r="J464" s="28">
        <f t="shared" si="30"/>
        <v>-0.22545454545454546</v>
      </c>
      <c r="K464">
        <f t="shared" si="27"/>
        <v>2823</v>
      </c>
    </row>
    <row r="465" spans="1:11">
      <c r="A465" s="3">
        <v>407</v>
      </c>
      <c r="B465" t="s">
        <v>509</v>
      </c>
      <c r="C465" t="s">
        <v>8</v>
      </c>
      <c r="E465" s="3">
        <f t="shared" si="28"/>
        <v>4</v>
      </c>
      <c r="F465" s="5">
        <v>44294.625</v>
      </c>
      <c r="G465" s="19" t="str">
        <f t="shared" si="29"/>
        <v/>
      </c>
      <c r="J465" s="28">
        <f t="shared" si="30"/>
        <v>-0.16255144032921809</v>
      </c>
      <c r="K465">
        <f t="shared" si="27"/>
        <v>2744</v>
      </c>
    </row>
    <row r="466" spans="1:11">
      <c r="A466" s="3">
        <v>351</v>
      </c>
      <c r="B466" t="s">
        <v>510</v>
      </c>
      <c r="C466" t="s">
        <v>8</v>
      </c>
      <c r="E466" s="3">
        <f t="shared" si="28"/>
        <v>5</v>
      </c>
      <c r="F466" s="5">
        <v>44295.625</v>
      </c>
      <c r="G466" s="19" t="str">
        <f t="shared" si="29"/>
        <v/>
      </c>
      <c r="J466" s="28">
        <f t="shared" si="30"/>
        <v>-2.7700831024930705E-2</v>
      </c>
      <c r="K466">
        <f t="shared" si="27"/>
        <v>2734</v>
      </c>
    </row>
    <row r="467" spans="1:11">
      <c r="A467" s="3">
        <v>226</v>
      </c>
      <c r="B467" t="s">
        <v>511</v>
      </c>
      <c r="C467" t="s">
        <v>8</v>
      </c>
      <c r="E467" s="3">
        <f t="shared" si="28"/>
        <v>6</v>
      </c>
      <c r="F467" s="5">
        <v>44296.625</v>
      </c>
      <c r="G467" s="19" t="str">
        <f t="shared" si="29"/>
        <v/>
      </c>
      <c r="J467" s="28">
        <f t="shared" si="30"/>
        <v>-0.30030959752321984</v>
      </c>
      <c r="K467">
        <f t="shared" si="27"/>
        <v>2637</v>
      </c>
    </row>
    <row r="468" spans="1:11">
      <c r="A468" s="3">
        <v>240</v>
      </c>
      <c r="B468" t="s">
        <v>512</v>
      </c>
      <c r="C468" t="s">
        <v>8</v>
      </c>
      <c r="E468" s="3">
        <f t="shared" si="28"/>
        <v>7</v>
      </c>
      <c r="F468" s="5">
        <v>44297.625</v>
      </c>
      <c r="G468" s="19" t="str">
        <f t="shared" si="29"/>
        <v/>
      </c>
      <c r="J468" s="28">
        <f t="shared" si="30"/>
        <v>-0.25465838509316774</v>
      </c>
      <c r="K468">
        <f t="shared" si="27"/>
        <v>2555</v>
      </c>
    </row>
    <row r="469" spans="1:11">
      <c r="A469" s="3">
        <v>399</v>
      </c>
      <c r="B469" t="s">
        <v>513</v>
      </c>
      <c r="C469" t="s">
        <v>8</v>
      </c>
      <c r="E469" s="3">
        <f t="shared" si="28"/>
        <v>1</v>
      </c>
      <c r="F469" s="5">
        <v>44298.625</v>
      </c>
      <c r="G469" s="19" t="str">
        <f t="shared" si="29"/>
        <v>2021-W15</v>
      </c>
      <c r="H469">
        <f>SUM(A469:A475)</f>
        <v>1934</v>
      </c>
      <c r="I469" s="28">
        <f>H469/H462-1</f>
        <v>-0.24305283757338547</v>
      </c>
      <c r="J469" s="28">
        <f t="shared" si="30"/>
        <v>0.10526315789473695</v>
      </c>
      <c r="K469">
        <f t="shared" ref="K469:K532" si="31">SUM(A463:A469)</f>
        <v>2593</v>
      </c>
    </row>
    <row r="470" spans="1:11">
      <c r="A470" s="3">
        <v>324</v>
      </c>
      <c r="B470" t="s">
        <v>514</v>
      </c>
      <c r="C470" t="s">
        <v>8</v>
      </c>
      <c r="E470" s="3">
        <f t="shared" si="28"/>
        <v>2</v>
      </c>
      <c r="F470" s="5">
        <v>44299.625</v>
      </c>
      <c r="G470" s="19" t="str">
        <f t="shared" si="29"/>
        <v/>
      </c>
      <c r="J470" s="28">
        <f t="shared" si="30"/>
        <v>-0.40441176470588236</v>
      </c>
      <c r="K470">
        <f t="shared" si="31"/>
        <v>2373</v>
      </c>
    </row>
    <row r="471" spans="1:11">
      <c r="A471" s="3">
        <v>344</v>
      </c>
      <c r="B471" t="s">
        <v>515</v>
      </c>
      <c r="C471" t="s">
        <v>8</v>
      </c>
      <c r="E471" s="3">
        <f t="shared" si="28"/>
        <v>3</v>
      </c>
      <c r="F471" s="5">
        <v>44300.625</v>
      </c>
      <c r="G471" s="19" t="str">
        <f t="shared" si="29"/>
        <v/>
      </c>
      <c r="J471" s="28">
        <f t="shared" si="30"/>
        <v>-0.19248826291079812</v>
      </c>
      <c r="K471">
        <f t="shared" si="31"/>
        <v>2291</v>
      </c>
    </row>
    <row r="472" spans="1:11">
      <c r="A472" s="3">
        <v>274</v>
      </c>
      <c r="B472" t="s">
        <v>516</v>
      </c>
      <c r="C472" t="s">
        <v>8</v>
      </c>
      <c r="E472" s="3">
        <f t="shared" si="28"/>
        <v>4</v>
      </c>
      <c r="F472" s="5">
        <v>44301.625</v>
      </c>
      <c r="G472" s="19" t="str">
        <f t="shared" si="29"/>
        <v/>
      </c>
      <c r="J472" s="28">
        <f t="shared" si="30"/>
        <v>-0.32678132678132676</v>
      </c>
      <c r="K472">
        <f t="shared" si="31"/>
        <v>2158</v>
      </c>
    </row>
    <row r="473" spans="1:11">
      <c r="A473" s="3">
        <v>265</v>
      </c>
      <c r="B473" t="s">
        <v>517</v>
      </c>
      <c r="C473" t="s">
        <v>8</v>
      </c>
      <c r="E473" s="3">
        <f t="shared" si="28"/>
        <v>5</v>
      </c>
      <c r="F473" s="5">
        <v>44302.625</v>
      </c>
      <c r="G473" s="19" t="str">
        <f t="shared" si="29"/>
        <v/>
      </c>
      <c r="J473" s="28">
        <f t="shared" si="30"/>
        <v>-0.24501424501424507</v>
      </c>
      <c r="K473">
        <f t="shared" si="31"/>
        <v>2072</v>
      </c>
    </row>
    <row r="474" spans="1:11">
      <c r="A474" s="3">
        <v>172</v>
      </c>
      <c r="B474" t="s">
        <v>518</v>
      </c>
      <c r="C474" t="s">
        <v>8</v>
      </c>
      <c r="E474" s="3">
        <f t="shared" si="28"/>
        <v>6</v>
      </c>
      <c r="F474" s="5">
        <v>44303.625</v>
      </c>
      <c r="G474" s="19" t="str">
        <f t="shared" si="29"/>
        <v/>
      </c>
      <c r="J474" s="28">
        <f t="shared" si="30"/>
        <v>-0.23893805309734517</v>
      </c>
      <c r="K474">
        <f t="shared" si="31"/>
        <v>2018</v>
      </c>
    </row>
    <row r="475" spans="1:11">
      <c r="A475" s="3">
        <v>156</v>
      </c>
      <c r="B475" t="s">
        <v>519</v>
      </c>
      <c r="C475" t="s">
        <v>8</v>
      </c>
      <c r="E475" s="3">
        <f t="shared" si="28"/>
        <v>7</v>
      </c>
      <c r="F475" s="5">
        <v>44304.625</v>
      </c>
      <c r="G475" s="19" t="str">
        <f t="shared" si="29"/>
        <v/>
      </c>
      <c r="J475" s="28">
        <f t="shared" si="30"/>
        <v>-0.35</v>
      </c>
      <c r="K475">
        <f t="shared" si="31"/>
        <v>1934</v>
      </c>
    </row>
    <row r="476" spans="1:11">
      <c r="A476" s="3">
        <v>286</v>
      </c>
      <c r="B476" t="s">
        <v>520</v>
      </c>
      <c r="C476" t="s">
        <v>8</v>
      </c>
      <c r="E476" s="3">
        <f t="shared" si="28"/>
        <v>1</v>
      </c>
      <c r="F476" s="5">
        <v>44305.625</v>
      </c>
      <c r="G476" s="19" t="str">
        <f t="shared" si="29"/>
        <v>2021-W16</v>
      </c>
      <c r="H476">
        <f>SUM(A476:A482)</f>
        <v>1612</v>
      </c>
      <c r="I476" s="28">
        <f>H476/H469-1</f>
        <v>-0.16649431230610134</v>
      </c>
      <c r="J476" s="28">
        <f t="shared" si="30"/>
        <v>-0.28320802005012535</v>
      </c>
      <c r="K476">
        <f t="shared" si="31"/>
        <v>1821</v>
      </c>
    </row>
    <row r="477" spans="1:11">
      <c r="A477" s="3">
        <v>286</v>
      </c>
      <c r="B477" t="s">
        <v>521</v>
      </c>
      <c r="C477" t="s">
        <v>8</v>
      </c>
      <c r="E477" s="3">
        <f t="shared" si="28"/>
        <v>2</v>
      </c>
      <c r="F477" s="5">
        <v>44306.625</v>
      </c>
      <c r="G477" s="19" t="str">
        <f t="shared" si="29"/>
        <v/>
      </c>
      <c r="J477" s="28">
        <f t="shared" si="30"/>
        <v>-0.11728395061728392</v>
      </c>
      <c r="K477">
        <f t="shared" si="31"/>
        <v>1783</v>
      </c>
    </row>
    <row r="478" spans="1:11">
      <c r="A478" s="3">
        <v>233</v>
      </c>
      <c r="B478" t="s">
        <v>522</v>
      </c>
      <c r="C478" t="s">
        <v>8</v>
      </c>
      <c r="E478" s="3">
        <f t="shared" si="28"/>
        <v>3</v>
      </c>
      <c r="F478" s="5">
        <v>44307.625</v>
      </c>
      <c r="G478" s="19" t="str">
        <f t="shared" si="29"/>
        <v/>
      </c>
      <c r="J478" s="28">
        <f t="shared" si="30"/>
        <v>-0.32267441860465118</v>
      </c>
      <c r="K478">
        <f t="shared" si="31"/>
        <v>1672</v>
      </c>
    </row>
    <row r="479" spans="1:11">
      <c r="A479" s="3">
        <v>257</v>
      </c>
      <c r="B479" t="s">
        <v>524</v>
      </c>
      <c r="C479" t="s">
        <v>8</v>
      </c>
      <c r="E479" s="3">
        <f t="shared" si="28"/>
        <v>4</v>
      </c>
      <c r="F479" s="5">
        <v>44308.625</v>
      </c>
      <c r="G479" s="19" t="str">
        <f t="shared" si="29"/>
        <v/>
      </c>
      <c r="J479" s="28">
        <f t="shared" si="30"/>
        <v>-6.2043795620437936E-2</v>
      </c>
      <c r="K479">
        <f t="shared" si="31"/>
        <v>1655</v>
      </c>
    </row>
    <row r="480" spans="1:11">
      <c r="A480" s="3">
        <v>255</v>
      </c>
      <c r="B480" t="s">
        <v>525</v>
      </c>
      <c r="C480" t="s">
        <v>8</v>
      </c>
      <c r="E480" s="3">
        <f t="shared" si="28"/>
        <v>5</v>
      </c>
      <c r="F480" s="5">
        <v>44309.625</v>
      </c>
      <c r="G480" s="19" t="str">
        <f t="shared" si="29"/>
        <v/>
      </c>
      <c r="J480" s="28">
        <f t="shared" si="30"/>
        <v>-3.7735849056603765E-2</v>
      </c>
      <c r="K480">
        <f t="shared" si="31"/>
        <v>1645</v>
      </c>
    </row>
    <row r="481" spans="1:11">
      <c r="A481" s="3">
        <v>155</v>
      </c>
      <c r="B481" t="s">
        <v>526</v>
      </c>
      <c r="C481" t="s">
        <v>8</v>
      </c>
      <c r="E481" s="3">
        <f t="shared" si="28"/>
        <v>6</v>
      </c>
      <c r="F481" s="5">
        <v>44310.625</v>
      </c>
      <c r="G481" s="19" t="str">
        <f t="shared" si="29"/>
        <v/>
      </c>
      <c r="J481" s="28">
        <f t="shared" si="30"/>
        <v>-9.8837209302325535E-2</v>
      </c>
      <c r="K481">
        <f t="shared" si="31"/>
        <v>1628</v>
      </c>
    </row>
    <row r="482" spans="1:11">
      <c r="A482" s="3">
        <v>140</v>
      </c>
      <c r="B482" t="s">
        <v>527</v>
      </c>
      <c r="C482" t="s">
        <v>8</v>
      </c>
      <c r="E482" s="3">
        <f t="shared" si="28"/>
        <v>7</v>
      </c>
      <c r="F482" s="5">
        <v>44311.625</v>
      </c>
      <c r="G482" s="19" t="str">
        <f t="shared" si="29"/>
        <v/>
      </c>
      <c r="J482" s="28">
        <f t="shared" si="30"/>
        <v>-0.10256410256410253</v>
      </c>
      <c r="K482">
        <f t="shared" si="31"/>
        <v>1612</v>
      </c>
    </row>
    <row r="483" spans="1:11">
      <c r="A483" s="3">
        <v>242</v>
      </c>
      <c r="B483" t="s">
        <v>528</v>
      </c>
      <c r="C483" t="s">
        <v>8</v>
      </c>
      <c r="E483" s="3">
        <f t="shared" si="28"/>
        <v>1</v>
      </c>
      <c r="F483" s="5">
        <v>44312.625</v>
      </c>
      <c r="G483" s="19" t="str">
        <f t="shared" si="29"/>
        <v>2021-W17</v>
      </c>
      <c r="H483">
        <f>SUM(A483:A489)</f>
        <v>1386</v>
      </c>
      <c r="I483" s="28">
        <f>H483/H476-1</f>
        <v>-0.14019851116625315</v>
      </c>
      <c r="J483" s="28">
        <f t="shared" si="30"/>
        <v>-0.15384615384615385</v>
      </c>
      <c r="K483">
        <f t="shared" si="31"/>
        <v>1568</v>
      </c>
    </row>
    <row r="484" spans="1:11">
      <c r="A484" s="3">
        <v>228</v>
      </c>
      <c r="B484" t="s">
        <v>529</v>
      </c>
      <c r="C484" t="s">
        <v>8</v>
      </c>
      <c r="E484" s="3">
        <f t="shared" si="28"/>
        <v>2</v>
      </c>
      <c r="F484" s="5">
        <v>44313.625</v>
      </c>
      <c r="G484" s="19" t="str">
        <f t="shared" si="29"/>
        <v/>
      </c>
      <c r="J484" s="28">
        <f t="shared" si="30"/>
        <v>-0.20279720279720281</v>
      </c>
      <c r="K484">
        <f t="shared" si="31"/>
        <v>1510</v>
      </c>
    </row>
    <row r="485" spans="1:11">
      <c r="A485" s="3">
        <v>274</v>
      </c>
      <c r="B485" t="s">
        <v>530</v>
      </c>
      <c r="C485" t="s">
        <v>8</v>
      </c>
      <c r="E485" s="3">
        <f t="shared" si="28"/>
        <v>3</v>
      </c>
      <c r="F485" s="5">
        <v>44314.625</v>
      </c>
      <c r="G485" s="19" t="str">
        <f t="shared" si="29"/>
        <v/>
      </c>
      <c r="J485" s="28">
        <f t="shared" si="30"/>
        <v>0.17596566523605151</v>
      </c>
      <c r="K485">
        <f t="shared" si="31"/>
        <v>1551</v>
      </c>
    </row>
    <row r="486" spans="1:11">
      <c r="A486" s="3">
        <v>201</v>
      </c>
      <c r="B486" t="s">
        <v>531</v>
      </c>
      <c r="C486" t="s">
        <v>8</v>
      </c>
      <c r="E486" s="3">
        <f t="shared" si="28"/>
        <v>4</v>
      </c>
      <c r="F486" s="5">
        <v>44315.625</v>
      </c>
      <c r="G486" s="19" t="str">
        <f t="shared" si="29"/>
        <v/>
      </c>
      <c r="J486" s="28">
        <f t="shared" si="30"/>
        <v>-0.21789883268482491</v>
      </c>
      <c r="K486">
        <f t="shared" si="31"/>
        <v>1495</v>
      </c>
    </row>
    <row r="487" spans="1:11">
      <c r="A487" s="3">
        <v>197</v>
      </c>
      <c r="B487" t="s">
        <v>532</v>
      </c>
      <c r="C487" t="s">
        <v>8</v>
      </c>
      <c r="E487" s="3">
        <f t="shared" si="28"/>
        <v>5</v>
      </c>
      <c r="F487" s="5">
        <v>44316.625</v>
      </c>
      <c r="G487" s="19" t="str">
        <f t="shared" si="29"/>
        <v/>
      </c>
      <c r="J487" s="28">
        <f t="shared" si="30"/>
        <v>-0.22745098039215683</v>
      </c>
      <c r="K487">
        <f t="shared" si="31"/>
        <v>1437</v>
      </c>
    </row>
    <row r="488" spans="1:11">
      <c r="A488" s="3">
        <v>109</v>
      </c>
      <c r="B488" t="s">
        <v>533</v>
      </c>
      <c r="C488" t="s">
        <v>8</v>
      </c>
      <c r="E488" s="3">
        <f t="shared" si="28"/>
        <v>6</v>
      </c>
      <c r="F488" s="5">
        <v>44317.625</v>
      </c>
      <c r="G488" s="19" t="str">
        <f t="shared" si="29"/>
        <v/>
      </c>
      <c r="J488" s="28">
        <f t="shared" si="30"/>
        <v>-0.29677419354838708</v>
      </c>
      <c r="K488">
        <f t="shared" si="31"/>
        <v>1391</v>
      </c>
    </row>
    <row r="489" spans="1:11">
      <c r="A489" s="3">
        <v>135</v>
      </c>
      <c r="B489" t="s">
        <v>534</v>
      </c>
      <c r="C489" t="s">
        <v>8</v>
      </c>
      <c r="E489" s="3">
        <f t="shared" si="28"/>
        <v>7</v>
      </c>
      <c r="F489" s="5">
        <v>44318.625</v>
      </c>
      <c r="G489" s="19" t="str">
        <f t="shared" si="29"/>
        <v/>
      </c>
      <c r="J489" s="28">
        <f t="shared" si="30"/>
        <v>-3.5714285714285698E-2</v>
      </c>
      <c r="K489">
        <f t="shared" si="31"/>
        <v>1386</v>
      </c>
    </row>
    <row r="490" spans="1:11">
      <c r="A490" s="3">
        <v>318</v>
      </c>
      <c r="B490" t="s">
        <v>535</v>
      </c>
      <c r="C490" t="s">
        <v>8</v>
      </c>
      <c r="E490" s="3">
        <f t="shared" si="28"/>
        <v>1</v>
      </c>
      <c r="F490" s="5">
        <v>44319.625</v>
      </c>
      <c r="G490" s="19" t="str">
        <f t="shared" si="29"/>
        <v>2021-W18</v>
      </c>
      <c r="H490">
        <f>SUM(A490:A496)</f>
        <v>1502</v>
      </c>
      <c r="I490" s="28">
        <f>H490/H483-1</f>
        <v>8.3694083694083599E-2</v>
      </c>
      <c r="J490" s="28">
        <f t="shared" si="30"/>
        <v>0.31404958677685957</v>
      </c>
      <c r="K490">
        <f t="shared" si="31"/>
        <v>1462</v>
      </c>
    </row>
    <row r="491" spans="1:11">
      <c r="A491" s="3">
        <v>205</v>
      </c>
      <c r="B491" t="s">
        <v>536</v>
      </c>
      <c r="C491" t="s">
        <v>8</v>
      </c>
      <c r="E491" s="3">
        <f t="shared" si="28"/>
        <v>2</v>
      </c>
      <c r="F491" s="5">
        <v>44320.625</v>
      </c>
      <c r="G491" s="19" t="str">
        <f t="shared" si="29"/>
        <v/>
      </c>
      <c r="J491" s="28">
        <f t="shared" si="30"/>
        <v>-0.10087719298245612</v>
      </c>
      <c r="K491">
        <f t="shared" si="31"/>
        <v>1439</v>
      </c>
    </row>
    <row r="492" spans="1:11">
      <c r="A492" s="3">
        <v>265</v>
      </c>
      <c r="B492" t="s">
        <v>537</v>
      </c>
      <c r="C492" t="s">
        <v>8</v>
      </c>
      <c r="E492" s="3">
        <f t="shared" si="28"/>
        <v>3</v>
      </c>
      <c r="F492" s="5">
        <v>44321.625</v>
      </c>
      <c r="G492" s="19" t="str">
        <f t="shared" si="29"/>
        <v/>
      </c>
      <c r="J492" s="28">
        <f t="shared" si="30"/>
        <v>-3.2846715328467169E-2</v>
      </c>
      <c r="K492">
        <f t="shared" si="31"/>
        <v>1430</v>
      </c>
    </row>
    <row r="493" spans="1:11">
      <c r="A493" s="3">
        <v>239</v>
      </c>
      <c r="B493" t="s">
        <v>539</v>
      </c>
      <c r="C493" t="s">
        <v>8</v>
      </c>
      <c r="E493" s="3">
        <f t="shared" si="28"/>
        <v>4</v>
      </c>
      <c r="F493" s="5">
        <v>44322.625</v>
      </c>
      <c r="G493" s="19" t="str">
        <f t="shared" si="29"/>
        <v/>
      </c>
      <c r="J493" s="28">
        <f t="shared" si="30"/>
        <v>0.18905472636815923</v>
      </c>
      <c r="K493">
        <f t="shared" si="31"/>
        <v>1468</v>
      </c>
    </row>
    <row r="494" spans="1:11">
      <c r="A494" s="3">
        <v>214</v>
      </c>
      <c r="B494" t="s">
        <v>540</v>
      </c>
      <c r="C494" t="s">
        <v>8</v>
      </c>
      <c r="E494" s="3">
        <f t="shared" si="28"/>
        <v>5</v>
      </c>
      <c r="F494" s="5">
        <v>44323.625</v>
      </c>
      <c r="G494" s="19" t="str">
        <f t="shared" si="29"/>
        <v/>
      </c>
      <c r="J494" s="28">
        <f t="shared" si="30"/>
        <v>8.6294416243654748E-2</v>
      </c>
      <c r="K494">
        <f t="shared" si="31"/>
        <v>1485</v>
      </c>
    </row>
    <row r="495" spans="1:11">
      <c r="A495" s="3">
        <v>131</v>
      </c>
      <c r="B495" t="s">
        <v>541</v>
      </c>
      <c r="C495" t="s">
        <v>8</v>
      </c>
      <c r="E495" s="3">
        <f t="shared" si="28"/>
        <v>6</v>
      </c>
      <c r="F495" s="5">
        <v>44324.625</v>
      </c>
      <c r="G495" s="19" t="str">
        <f t="shared" si="29"/>
        <v/>
      </c>
      <c r="J495" s="28">
        <f t="shared" si="30"/>
        <v>0.201834862385321</v>
      </c>
      <c r="K495">
        <f t="shared" si="31"/>
        <v>1507</v>
      </c>
    </row>
    <row r="496" spans="1:11">
      <c r="A496" s="3">
        <v>130</v>
      </c>
      <c r="B496" t="s">
        <v>542</v>
      </c>
      <c r="C496" t="s">
        <v>8</v>
      </c>
      <c r="E496" s="3">
        <f t="shared" si="28"/>
        <v>7</v>
      </c>
      <c r="F496" s="5">
        <v>44325.625</v>
      </c>
      <c r="G496" s="19" t="str">
        <f t="shared" si="29"/>
        <v/>
      </c>
      <c r="J496" s="28">
        <f t="shared" si="30"/>
        <v>-3.703703703703709E-2</v>
      </c>
      <c r="K496">
        <f t="shared" si="31"/>
        <v>1502</v>
      </c>
    </row>
    <row r="497" spans="1:11">
      <c r="A497" s="3">
        <v>257</v>
      </c>
      <c r="B497" t="s">
        <v>543</v>
      </c>
      <c r="C497" t="s">
        <v>8</v>
      </c>
      <c r="E497" s="3">
        <f t="shared" si="28"/>
        <v>1</v>
      </c>
      <c r="F497" s="5">
        <v>44326.625</v>
      </c>
      <c r="G497" s="19" t="str">
        <f t="shared" si="29"/>
        <v>2021-W19</v>
      </c>
      <c r="H497">
        <f>SUM(A497:A503)</f>
        <v>1424</v>
      </c>
      <c r="I497" s="28">
        <f>H497/H490-1</f>
        <v>-5.1930758988016024E-2</v>
      </c>
      <c r="J497" s="28">
        <f t="shared" si="30"/>
        <v>-0.19182389937106914</v>
      </c>
      <c r="K497">
        <f t="shared" si="31"/>
        <v>1441</v>
      </c>
    </row>
    <row r="498" spans="1:11">
      <c r="A498" s="3">
        <v>217</v>
      </c>
      <c r="B498" t="s">
        <v>544</v>
      </c>
      <c r="C498" t="s">
        <v>8</v>
      </c>
      <c r="E498" s="3">
        <f t="shared" si="28"/>
        <v>2</v>
      </c>
      <c r="F498" s="5">
        <v>44327.625</v>
      </c>
      <c r="G498" s="19" t="str">
        <f t="shared" si="29"/>
        <v/>
      </c>
      <c r="J498" s="28">
        <f t="shared" si="30"/>
        <v>5.8536585365853711E-2</v>
      </c>
      <c r="K498">
        <f t="shared" si="31"/>
        <v>1453</v>
      </c>
    </row>
    <row r="499" spans="1:11">
      <c r="A499" s="3">
        <v>256</v>
      </c>
      <c r="B499" t="s">
        <v>545</v>
      </c>
      <c r="C499" t="s">
        <v>8</v>
      </c>
      <c r="E499" s="3">
        <f t="shared" si="28"/>
        <v>3</v>
      </c>
      <c r="F499" s="5">
        <v>44328.625</v>
      </c>
      <c r="G499" s="19" t="str">
        <f t="shared" si="29"/>
        <v/>
      </c>
      <c r="J499" s="28">
        <f t="shared" si="30"/>
        <v>-3.3962264150943389E-2</v>
      </c>
      <c r="K499">
        <f t="shared" si="31"/>
        <v>1444</v>
      </c>
    </row>
    <row r="500" spans="1:11">
      <c r="A500" s="3">
        <v>156</v>
      </c>
      <c r="B500" t="s">
        <v>546</v>
      </c>
      <c r="C500" t="s">
        <v>8</v>
      </c>
      <c r="E500" s="3">
        <f t="shared" si="28"/>
        <v>4</v>
      </c>
      <c r="F500" s="5">
        <v>44329.625</v>
      </c>
      <c r="G500" s="19" t="str">
        <f t="shared" si="29"/>
        <v/>
      </c>
      <c r="J500" s="28">
        <f t="shared" si="30"/>
        <v>-0.34728033472803344</v>
      </c>
      <c r="K500">
        <f t="shared" si="31"/>
        <v>1361</v>
      </c>
    </row>
    <row r="501" spans="1:11">
      <c r="A501" s="3">
        <v>245</v>
      </c>
      <c r="B501" t="s">
        <v>547</v>
      </c>
      <c r="C501" t="s">
        <v>8</v>
      </c>
      <c r="E501" s="3">
        <f t="shared" si="28"/>
        <v>5</v>
      </c>
      <c r="F501" s="5">
        <v>44330.625</v>
      </c>
      <c r="G501" s="19" t="str">
        <f t="shared" si="29"/>
        <v/>
      </c>
      <c r="J501" s="28">
        <f t="shared" si="30"/>
        <v>0.14485981308411211</v>
      </c>
      <c r="K501">
        <f t="shared" si="31"/>
        <v>1392</v>
      </c>
    </row>
    <row r="502" spans="1:11">
      <c r="A502" s="3">
        <v>160</v>
      </c>
      <c r="B502" t="s">
        <v>548</v>
      </c>
      <c r="C502" t="s">
        <v>8</v>
      </c>
      <c r="E502" s="3">
        <f t="shared" si="28"/>
        <v>6</v>
      </c>
      <c r="F502" s="5">
        <v>44331.625</v>
      </c>
      <c r="G502" s="19" t="str">
        <f t="shared" si="29"/>
        <v/>
      </c>
      <c r="J502" s="28">
        <f t="shared" si="30"/>
        <v>0.22137404580152675</v>
      </c>
      <c r="K502">
        <f t="shared" si="31"/>
        <v>1421</v>
      </c>
    </row>
    <row r="503" spans="1:11">
      <c r="A503" s="3">
        <v>133</v>
      </c>
      <c r="B503" t="s">
        <v>549</v>
      </c>
      <c r="C503" t="s">
        <v>8</v>
      </c>
      <c r="E503" s="3">
        <f t="shared" si="28"/>
        <v>7</v>
      </c>
      <c r="F503" s="5">
        <v>44332.625</v>
      </c>
      <c r="G503" s="19" t="str">
        <f t="shared" si="29"/>
        <v/>
      </c>
      <c r="J503" s="28">
        <f t="shared" si="30"/>
        <v>2.3076923076922995E-2</v>
      </c>
      <c r="K503">
        <f t="shared" si="31"/>
        <v>1424</v>
      </c>
    </row>
    <row r="504" spans="1:11">
      <c r="A504" s="3">
        <v>284</v>
      </c>
      <c r="B504" t="s">
        <v>550</v>
      </c>
      <c r="C504" t="s">
        <v>8</v>
      </c>
      <c r="E504" s="3">
        <f t="shared" si="28"/>
        <v>1</v>
      </c>
      <c r="F504" s="5">
        <v>44333.625</v>
      </c>
      <c r="G504" s="19" t="str">
        <f t="shared" si="29"/>
        <v>2021-W20</v>
      </c>
      <c r="H504">
        <f>SUM(A504:A510)</f>
        <v>1315</v>
      </c>
      <c r="I504" s="28">
        <f>H504/H497-1</f>
        <v>-7.6544943820224698E-2</v>
      </c>
      <c r="J504" s="28">
        <f t="shared" si="30"/>
        <v>0.10505836575875493</v>
      </c>
      <c r="K504">
        <f t="shared" si="31"/>
        <v>1451</v>
      </c>
    </row>
    <row r="505" spans="1:11">
      <c r="A505" s="3">
        <v>217</v>
      </c>
      <c r="B505" t="s">
        <v>551</v>
      </c>
      <c r="C505" t="s">
        <v>8</v>
      </c>
      <c r="E505" s="3">
        <f t="shared" si="28"/>
        <v>2</v>
      </c>
      <c r="F505" s="5">
        <v>44334.625</v>
      </c>
      <c r="G505" s="19" t="str">
        <f t="shared" si="29"/>
        <v/>
      </c>
      <c r="J505" s="28">
        <f t="shared" si="30"/>
        <v>0</v>
      </c>
      <c r="K505">
        <f t="shared" si="31"/>
        <v>1451</v>
      </c>
    </row>
    <row r="506" spans="1:11">
      <c r="A506" s="3">
        <v>231</v>
      </c>
      <c r="B506" t="s">
        <v>552</v>
      </c>
      <c r="C506" t="s">
        <v>8</v>
      </c>
      <c r="E506" s="3">
        <f t="shared" si="28"/>
        <v>3</v>
      </c>
      <c r="F506" s="5">
        <v>44335.625</v>
      </c>
      <c r="G506" s="19" t="str">
        <f t="shared" si="29"/>
        <v/>
      </c>
      <c r="J506" s="28">
        <f t="shared" si="30"/>
        <v>-9.765625E-2</v>
      </c>
      <c r="K506">
        <f t="shared" si="31"/>
        <v>1426</v>
      </c>
    </row>
    <row r="507" spans="1:11">
      <c r="A507" s="3">
        <v>215</v>
      </c>
      <c r="B507" t="s">
        <v>553</v>
      </c>
      <c r="C507" t="s">
        <v>8</v>
      </c>
      <c r="E507" s="3">
        <f t="shared" si="28"/>
        <v>4</v>
      </c>
      <c r="F507" s="5">
        <v>44336.625</v>
      </c>
      <c r="G507" s="19" t="str">
        <f t="shared" si="29"/>
        <v/>
      </c>
      <c r="J507" s="28">
        <f t="shared" si="30"/>
        <v>0.37820512820512819</v>
      </c>
      <c r="K507">
        <f t="shared" si="31"/>
        <v>1485</v>
      </c>
    </row>
    <row r="508" spans="1:11">
      <c r="A508" s="3">
        <v>168</v>
      </c>
      <c r="B508" t="s">
        <v>554</v>
      </c>
      <c r="C508" t="s">
        <v>8</v>
      </c>
      <c r="E508" s="3">
        <f t="shared" si="28"/>
        <v>5</v>
      </c>
      <c r="F508" s="5">
        <v>44337.625</v>
      </c>
      <c r="G508" s="19" t="str">
        <f t="shared" si="29"/>
        <v/>
      </c>
      <c r="J508" s="28">
        <f t="shared" si="30"/>
        <v>-0.31428571428571428</v>
      </c>
      <c r="K508">
        <f t="shared" si="31"/>
        <v>1408</v>
      </c>
    </row>
    <row r="509" spans="1:11">
      <c r="A509" s="3">
        <v>107</v>
      </c>
      <c r="B509" t="s">
        <v>555</v>
      </c>
      <c r="C509" t="s">
        <v>8</v>
      </c>
      <c r="E509" s="3">
        <f t="shared" si="28"/>
        <v>6</v>
      </c>
      <c r="F509" s="5">
        <v>44338.625</v>
      </c>
      <c r="G509" s="19" t="str">
        <f t="shared" si="29"/>
        <v/>
      </c>
      <c r="J509" s="28">
        <f t="shared" si="30"/>
        <v>-0.33125000000000004</v>
      </c>
      <c r="K509">
        <f t="shared" si="31"/>
        <v>1355</v>
      </c>
    </row>
    <row r="510" spans="1:11">
      <c r="A510" s="3">
        <v>93</v>
      </c>
      <c r="B510" t="s">
        <v>556</v>
      </c>
      <c r="C510" t="s">
        <v>8</v>
      </c>
      <c r="E510" s="3">
        <f t="shared" si="28"/>
        <v>7</v>
      </c>
      <c r="F510" s="5">
        <v>44339.625</v>
      </c>
      <c r="G510" s="19" t="str">
        <f t="shared" si="29"/>
        <v/>
      </c>
      <c r="J510" s="28">
        <f t="shared" si="30"/>
        <v>-0.3007518796992481</v>
      </c>
      <c r="K510">
        <f t="shared" si="31"/>
        <v>1315</v>
      </c>
    </row>
    <row r="511" spans="1:11" s="41" customFormat="1">
      <c r="A511" s="40">
        <v>188</v>
      </c>
      <c r="B511" s="41" t="s">
        <v>557</v>
      </c>
      <c r="C511" s="41" t="s">
        <v>8</v>
      </c>
      <c r="E511" s="40">
        <f t="shared" ref="E511:E574" si="32">WEEKDAY(F511,2)</f>
        <v>1</v>
      </c>
      <c r="F511" s="42">
        <v>44340.625</v>
      </c>
      <c r="G511" s="43" t="str">
        <f t="shared" si="29"/>
        <v>2021-W21</v>
      </c>
      <c r="H511" s="41">
        <f>SUM(A511:A517)</f>
        <v>890</v>
      </c>
      <c r="I511" s="44">
        <f>H511/H504-1</f>
        <v>-0.32319391634980987</v>
      </c>
      <c r="J511" s="44">
        <f t="shared" si="30"/>
        <v>-0.3380281690140845</v>
      </c>
      <c r="K511">
        <f t="shared" si="31"/>
        <v>1219</v>
      </c>
    </row>
    <row r="512" spans="1:11">
      <c r="A512" s="3">
        <v>153</v>
      </c>
      <c r="B512" t="s">
        <v>558</v>
      </c>
      <c r="C512" t="s">
        <v>8</v>
      </c>
      <c r="E512" s="3">
        <f t="shared" si="32"/>
        <v>2</v>
      </c>
      <c r="F512" s="5">
        <v>44341.625</v>
      </c>
      <c r="G512" s="19" t="str">
        <f t="shared" si="29"/>
        <v/>
      </c>
      <c r="J512" s="28">
        <f t="shared" si="30"/>
        <v>-0.29493087557603692</v>
      </c>
      <c r="K512">
        <f t="shared" si="31"/>
        <v>1155</v>
      </c>
    </row>
    <row r="513" spans="1:11">
      <c r="A513" s="3">
        <v>143</v>
      </c>
      <c r="B513" t="s">
        <v>559</v>
      </c>
      <c r="C513" t="s">
        <v>8</v>
      </c>
      <c r="E513" s="3">
        <f t="shared" si="32"/>
        <v>3</v>
      </c>
      <c r="F513" s="5">
        <v>44342.625</v>
      </c>
      <c r="G513" s="19" t="str">
        <f t="shared" si="29"/>
        <v/>
      </c>
      <c r="J513" s="28">
        <f t="shared" si="30"/>
        <v>-0.38095238095238093</v>
      </c>
      <c r="K513">
        <f t="shared" si="31"/>
        <v>1067</v>
      </c>
    </row>
    <row r="514" spans="1:11">
      <c r="A514" s="3">
        <v>127</v>
      </c>
      <c r="B514" t="s">
        <v>560</v>
      </c>
      <c r="C514" t="s">
        <v>8</v>
      </c>
      <c r="E514" s="3">
        <f t="shared" si="32"/>
        <v>4</v>
      </c>
      <c r="F514" s="5">
        <v>44343.625</v>
      </c>
      <c r="G514" s="19" t="str">
        <f t="shared" si="29"/>
        <v/>
      </c>
      <c r="J514" s="28">
        <f t="shared" si="30"/>
        <v>-0.40930232558139534</v>
      </c>
      <c r="K514">
        <f t="shared" si="31"/>
        <v>979</v>
      </c>
    </row>
    <row r="515" spans="1:11">
      <c r="A515" s="3">
        <v>136</v>
      </c>
      <c r="B515" t="s">
        <v>561</v>
      </c>
      <c r="C515" t="s">
        <v>8</v>
      </c>
      <c r="E515" s="3">
        <f t="shared" si="32"/>
        <v>5</v>
      </c>
      <c r="F515" s="5">
        <v>44344.625</v>
      </c>
      <c r="G515" s="19" t="str">
        <f t="shared" ref="G515:G578" si="33">IF(WEEKDAY(F515,2)=1,YEAR(F515)&amp;"-W"&amp;TEXT(WEEKNUM(F515,14),"00"),"")</f>
        <v/>
      </c>
      <c r="J515" s="28">
        <f t="shared" si="30"/>
        <v>-0.19047619047619047</v>
      </c>
      <c r="K515">
        <f t="shared" si="31"/>
        <v>947</v>
      </c>
    </row>
    <row r="516" spans="1:11">
      <c r="A516" s="3">
        <v>64</v>
      </c>
      <c r="B516" t="s">
        <v>562</v>
      </c>
      <c r="C516" t="s">
        <v>8</v>
      </c>
      <c r="E516" s="3">
        <f t="shared" si="32"/>
        <v>6</v>
      </c>
      <c r="F516" s="5">
        <v>44345.625</v>
      </c>
      <c r="G516" s="19" t="str">
        <f t="shared" si="33"/>
        <v/>
      </c>
      <c r="J516" s="28">
        <f t="shared" si="30"/>
        <v>-0.40186915887850472</v>
      </c>
      <c r="K516">
        <f t="shared" si="31"/>
        <v>904</v>
      </c>
    </row>
    <row r="517" spans="1:11">
      <c r="A517" s="3">
        <v>79</v>
      </c>
      <c r="B517" t="s">
        <v>563</v>
      </c>
      <c r="C517" t="s">
        <v>8</v>
      </c>
      <c r="E517" s="3">
        <f t="shared" si="32"/>
        <v>7</v>
      </c>
      <c r="F517" s="5">
        <v>44346.625</v>
      </c>
      <c r="G517" s="19" t="str">
        <f t="shared" si="33"/>
        <v/>
      </c>
      <c r="J517" s="28">
        <f t="shared" si="30"/>
        <v>-0.15053763440860213</v>
      </c>
      <c r="K517">
        <f t="shared" si="31"/>
        <v>890</v>
      </c>
    </row>
    <row r="518" spans="1:11">
      <c r="A518" s="3">
        <v>150</v>
      </c>
      <c r="B518" t="s">
        <v>564</v>
      </c>
      <c r="C518" t="s">
        <v>8</v>
      </c>
      <c r="E518" s="3">
        <f t="shared" si="32"/>
        <v>1</v>
      </c>
      <c r="F518" s="5">
        <v>44347.625</v>
      </c>
      <c r="G518" s="19" t="str">
        <f t="shared" si="33"/>
        <v>2021-W22</v>
      </c>
      <c r="H518">
        <f>SUM(A518:A524)</f>
        <v>727</v>
      </c>
      <c r="I518" s="28">
        <f>H518/H511-1</f>
        <v>-0.18314606741573036</v>
      </c>
      <c r="J518" s="28">
        <f t="shared" si="30"/>
        <v>-0.2021276595744681</v>
      </c>
      <c r="K518">
        <f t="shared" si="31"/>
        <v>852</v>
      </c>
    </row>
    <row r="519" spans="1:11">
      <c r="A519" s="3">
        <v>121</v>
      </c>
      <c r="B519" t="s">
        <v>565</v>
      </c>
      <c r="C519" t="s">
        <v>8</v>
      </c>
      <c r="E519" s="3">
        <f t="shared" si="32"/>
        <v>2</v>
      </c>
      <c r="F519" s="5">
        <v>44348.625</v>
      </c>
      <c r="G519" s="19" t="str">
        <f t="shared" si="33"/>
        <v/>
      </c>
      <c r="J519" s="28">
        <f t="shared" si="30"/>
        <v>-0.20915032679738566</v>
      </c>
      <c r="K519">
        <f t="shared" si="31"/>
        <v>820</v>
      </c>
    </row>
    <row r="520" spans="1:11">
      <c r="A520" s="3">
        <v>119</v>
      </c>
      <c r="B520" t="s">
        <v>566</v>
      </c>
      <c r="C520" t="s">
        <v>8</v>
      </c>
      <c r="E520" s="3">
        <f t="shared" si="32"/>
        <v>3</v>
      </c>
      <c r="F520" s="5">
        <v>44349.625</v>
      </c>
      <c r="G520" s="19" t="str">
        <f t="shared" si="33"/>
        <v/>
      </c>
      <c r="J520" s="28">
        <f t="shared" si="30"/>
        <v>-0.16783216783216781</v>
      </c>
      <c r="K520">
        <f t="shared" si="31"/>
        <v>796</v>
      </c>
    </row>
    <row r="521" spans="1:11">
      <c r="A521" s="3">
        <v>111</v>
      </c>
      <c r="B521" t="s">
        <v>567</v>
      </c>
      <c r="C521" t="s">
        <v>8</v>
      </c>
      <c r="E521" s="3">
        <f t="shared" si="32"/>
        <v>4</v>
      </c>
      <c r="F521" s="5">
        <v>44350.625</v>
      </c>
      <c r="G521" s="19" t="str">
        <f t="shared" si="33"/>
        <v/>
      </c>
      <c r="J521" s="28">
        <f t="shared" ref="J521:J584" si="34">A521/A514-1</f>
        <v>-0.12598425196850394</v>
      </c>
      <c r="K521">
        <f t="shared" si="31"/>
        <v>780</v>
      </c>
    </row>
    <row r="522" spans="1:11">
      <c r="A522" s="3">
        <v>102</v>
      </c>
      <c r="B522" t="s">
        <v>568</v>
      </c>
      <c r="C522" t="s">
        <v>8</v>
      </c>
      <c r="E522" s="3">
        <f t="shared" si="32"/>
        <v>5</v>
      </c>
      <c r="F522" s="5">
        <v>44351.625</v>
      </c>
      <c r="G522" s="19" t="str">
        <f t="shared" si="33"/>
        <v/>
      </c>
      <c r="J522" s="28">
        <f t="shared" si="34"/>
        <v>-0.25</v>
      </c>
      <c r="K522">
        <f t="shared" si="31"/>
        <v>746</v>
      </c>
    </row>
    <row r="523" spans="1:11">
      <c r="A523" s="3">
        <v>64</v>
      </c>
      <c r="B523" t="s">
        <v>569</v>
      </c>
      <c r="C523" t="s">
        <v>8</v>
      </c>
      <c r="E523" s="3">
        <f t="shared" si="32"/>
        <v>6</v>
      </c>
      <c r="F523" s="5">
        <v>44352.625</v>
      </c>
      <c r="G523" s="19" t="str">
        <f t="shared" si="33"/>
        <v/>
      </c>
      <c r="J523" s="28">
        <f t="shared" si="34"/>
        <v>0</v>
      </c>
      <c r="K523">
        <f t="shared" si="31"/>
        <v>746</v>
      </c>
    </row>
    <row r="524" spans="1:11">
      <c r="A524" s="3">
        <v>60</v>
      </c>
      <c r="B524" t="s">
        <v>570</v>
      </c>
      <c r="C524" t="s">
        <v>8</v>
      </c>
      <c r="E524" s="3">
        <f t="shared" si="32"/>
        <v>7</v>
      </c>
      <c r="F524" s="5">
        <v>44353.625</v>
      </c>
      <c r="G524" s="19" t="str">
        <f t="shared" si="33"/>
        <v/>
      </c>
      <c r="J524" s="28">
        <f t="shared" si="34"/>
        <v>-0.240506329113924</v>
      </c>
      <c r="K524">
        <f t="shared" si="31"/>
        <v>727</v>
      </c>
    </row>
    <row r="525" spans="1:11">
      <c r="A525" s="3">
        <v>139</v>
      </c>
      <c r="B525" t="s">
        <v>571</v>
      </c>
      <c r="C525" t="s">
        <v>8</v>
      </c>
      <c r="E525" s="3">
        <f t="shared" si="32"/>
        <v>1</v>
      </c>
      <c r="F525" s="5">
        <v>44354.625</v>
      </c>
      <c r="G525" s="19" t="str">
        <f t="shared" si="33"/>
        <v>2021-W23</v>
      </c>
      <c r="H525">
        <f>SUM(A525:A531)</f>
        <v>558</v>
      </c>
      <c r="I525" s="28">
        <f>H525/H518-1</f>
        <v>-0.23246217331499308</v>
      </c>
      <c r="J525" s="28">
        <f t="shared" si="34"/>
        <v>-7.3333333333333361E-2</v>
      </c>
      <c r="K525">
        <f t="shared" si="31"/>
        <v>716</v>
      </c>
    </row>
    <row r="526" spans="1:11">
      <c r="A526" s="3">
        <v>101</v>
      </c>
      <c r="B526" t="s">
        <v>572</v>
      </c>
      <c r="C526" t="s">
        <v>8</v>
      </c>
      <c r="E526" s="3">
        <f t="shared" si="32"/>
        <v>2</v>
      </c>
      <c r="F526" s="5">
        <v>44355.625</v>
      </c>
      <c r="G526" s="19" t="str">
        <f t="shared" si="33"/>
        <v/>
      </c>
      <c r="J526" s="28">
        <f t="shared" si="34"/>
        <v>-0.16528925619834711</v>
      </c>
      <c r="K526">
        <f t="shared" si="31"/>
        <v>696</v>
      </c>
    </row>
    <row r="527" spans="1:11">
      <c r="A527" s="3">
        <v>81</v>
      </c>
      <c r="B527" t="s">
        <v>573</v>
      </c>
      <c r="C527" t="s">
        <v>8</v>
      </c>
      <c r="E527" s="3">
        <f t="shared" si="32"/>
        <v>3</v>
      </c>
      <c r="F527" s="5">
        <v>44356.625</v>
      </c>
      <c r="G527" s="19" t="str">
        <f t="shared" si="33"/>
        <v/>
      </c>
      <c r="J527" s="28">
        <f t="shared" si="34"/>
        <v>-0.31932773109243695</v>
      </c>
      <c r="K527">
        <f t="shared" si="31"/>
        <v>658</v>
      </c>
    </row>
    <row r="528" spans="1:11">
      <c r="A528" s="3">
        <v>73</v>
      </c>
      <c r="B528" t="s">
        <v>574</v>
      </c>
      <c r="C528" t="s">
        <v>8</v>
      </c>
      <c r="E528" s="3">
        <f t="shared" si="32"/>
        <v>4</v>
      </c>
      <c r="F528" s="5">
        <v>44357.625</v>
      </c>
      <c r="G528" s="19" t="str">
        <f t="shared" si="33"/>
        <v/>
      </c>
      <c r="J528" s="28">
        <f t="shared" si="34"/>
        <v>-0.34234234234234229</v>
      </c>
      <c r="K528">
        <f t="shared" si="31"/>
        <v>620</v>
      </c>
    </row>
    <row r="529" spans="1:11">
      <c r="A529" s="3">
        <v>70</v>
      </c>
      <c r="B529" t="s">
        <v>575</v>
      </c>
      <c r="C529" t="s">
        <v>8</v>
      </c>
      <c r="E529" s="3">
        <f t="shared" si="32"/>
        <v>5</v>
      </c>
      <c r="F529" s="5">
        <v>44358.625</v>
      </c>
      <c r="G529" s="19" t="str">
        <f t="shared" si="33"/>
        <v/>
      </c>
      <c r="J529" s="28">
        <f t="shared" si="34"/>
        <v>-0.31372549019607843</v>
      </c>
      <c r="K529">
        <f t="shared" si="31"/>
        <v>588</v>
      </c>
    </row>
    <row r="530" spans="1:11">
      <c r="A530" s="3">
        <v>46</v>
      </c>
      <c r="B530" t="s">
        <v>576</v>
      </c>
      <c r="C530" t="s">
        <v>8</v>
      </c>
      <c r="E530" s="3">
        <f t="shared" si="32"/>
        <v>6</v>
      </c>
      <c r="F530" s="5">
        <v>44359.625</v>
      </c>
      <c r="G530" s="19" t="str">
        <f t="shared" si="33"/>
        <v/>
      </c>
      <c r="J530" s="28">
        <f t="shared" si="34"/>
        <v>-0.28125</v>
      </c>
      <c r="K530">
        <f t="shared" si="31"/>
        <v>570</v>
      </c>
    </row>
    <row r="531" spans="1:11">
      <c r="A531" s="3">
        <v>48</v>
      </c>
      <c r="B531" t="s">
        <v>577</v>
      </c>
      <c r="C531" t="s">
        <v>8</v>
      </c>
      <c r="E531" s="3">
        <f t="shared" si="32"/>
        <v>7</v>
      </c>
      <c r="F531" s="5">
        <v>44360.625</v>
      </c>
      <c r="G531" s="19" t="str">
        <f t="shared" si="33"/>
        <v/>
      </c>
      <c r="J531" s="28">
        <f t="shared" si="34"/>
        <v>-0.19999999999999996</v>
      </c>
      <c r="K531">
        <f t="shared" si="31"/>
        <v>558</v>
      </c>
    </row>
    <row r="532" spans="1:11">
      <c r="A532" s="3">
        <v>93</v>
      </c>
      <c r="B532" t="s">
        <v>578</v>
      </c>
      <c r="C532" t="s">
        <v>8</v>
      </c>
      <c r="E532" s="3">
        <f t="shared" si="32"/>
        <v>1</v>
      </c>
      <c r="F532" s="5">
        <v>44361.625</v>
      </c>
      <c r="G532" s="19" t="str">
        <f t="shared" si="33"/>
        <v>2021-W24</v>
      </c>
      <c r="H532">
        <f>SUM(A532:A538)</f>
        <v>544</v>
      </c>
      <c r="I532" s="28">
        <f>H532/H525-1</f>
        <v>-2.508960573476704E-2</v>
      </c>
      <c r="J532" s="28">
        <f t="shared" si="34"/>
        <v>-0.3309352517985612</v>
      </c>
      <c r="K532">
        <f t="shared" si="31"/>
        <v>512</v>
      </c>
    </row>
    <row r="533" spans="1:11">
      <c r="A533" s="3">
        <v>78</v>
      </c>
      <c r="B533" t="s">
        <v>579</v>
      </c>
      <c r="C533" t="s">
        <v>8</v>
      </c>
      <c r="E533" s="3">
        <f t="shared" si="32"/>
        <v>2</v>
      </c>
      <c r="F533" s="5">
        <v>44362.625</v>
      </c>
      <c r="G533" s="19" t="str">
        <f t="shared" si="33"/>
        <v/>
      </c>
      <c r="J533" s="28">
        <f t="shared" si="34"/>
        <v>-0.2277227722772277</v>
      </c>
      <c r="K533">
        <f t="shared" ref="K533:K596" si="35">SUM(A527:A533)</f>
        <v>489</v>
      </c>
    </row>
    <row r="534" spans="1:11">
      <c r="A534" s="3">
        <v>65</v>
      </c>
      <c r="B534" t="s">
        <v>580</v>
      </c>
      <c r="C534" t="s">
        <v>8</v>
      </c>
      <c r="E534" s="3">
        <f t="shared" si="32"/>
        <v>3</v>
      </c>
      <c r="F534" s="5">
        <v>44363.625</v>
      </c>
      <c r="G534" s="19" t="str">
        <f t="shared" si="33"/>
        <v/>
      </c>
      <c r="J534" s="28">
        <f t="shared" si="34"/>
        <v>-0.19753086419753085</v>
      </c>
      <c r="K534">
        <f t="shared" si="35"/>
        <v>473</v>
      </c>
    </row>
    <row r="535" spans="1:11">
      <c r="A535" s="3">
        <v>91</v>
      </c>
      <c r="B535" t="s">
        <v>581</v>
      </c>
      <c r="C535" t="s">
        <v>8</v>
      </c>
      <c r="E535" s="3">
        <f t="shared" si="32"/>
        <v>4</v>
      </c>
      <c r="F535" s="5">
        <v>44364.625</v>
      </c>
      <c r="G535" s="19" t="str">
        <f t="shared" si="33"/>
        <v/>
      </c>
      <c r="J535" s="28">
        <f t="shared" si="34"/>
        <v>0.24657534246575352</v>
      </c>
      <c r="K535">
        <f t="shared" si="35"/>
        <v>491</v>
      </c>
    </row>
    <row r="536" spans="1:11">
      <c r="A536" s="3">
        <v>80</v>
      </c>
      <c r="B536" t="s">
        <v>582</v>
      </c>
      <c r="C536" t="s">
        <v>8</v>
      </c>
      <c r="E536" s="3">
        <f t="shared" si="32"/>
        <v>5</v>
      </c>
      <c r="F536" s="5">
        <v>44365.625</v>
      </c>
      <c r="G536" s="19" t="str">
        <f t="shared" si="33"/>
        <v/>
      </c>
      <c r="J536" s="28">
        <f t="shared" si="34"/>
        <v>0.14285714285714279</v>
      </c>
      <c r="K536">
        <f t="shared" si="35"/>
        <v>501</v>
      </c>
    </row>
    <row r="537" spans="1:11">
      <c r="A537" s="3">
        <v>57</v>
      </c>
      <c r="B537" t="s">
        <v>583</v>
      </c>
      <c r="C537" t="s">
        <v>8</v>
      </c>
      <c r="E537" s="3">
        <f t="shared" si="32"/>
        <v>6</v>
      </c>
      <c r="F537" s="5">
        <v>44366.625</v>
      </c>
      <c r="G537" s="19" t="str">
        <f t="shared" si="33"/>
        <v/>
      </c>
      <c r="J537" s="28">
        <f t="shared" si="34"/>
        <v>0.23913043478260865</v>
      </c>
      <c r="K537">
        <f t="shared" si="35"/>
        <v>512</v>
      </c>
    </row>
    <row r="538" spans="1:11">
      <c r="A538" s="3">
        <v>80</v>
      </c>
      <c r="B538" t="s">
        <v>584</v>
      </c>
      <c r="C538" t="s">
        <v>8</v>
      </c>
      <c r="E538" s="3">
        <f t="shared" si="32"/>
        <v>7</v>
      </c>
      <c r="F538" s="5">
        <v>44367.625</v>
      </c>
      <c r="G538" s="19" t="str">
        <f t="shared" si="33"/>
        <v/>
      </c>
      <c r="J538" s="28">
        <f t="shared" si="34"/>
        <v>0.66666666666666674</v>
      </c>
      <c r="K538">
        <f t="shared" si="35"/>
        <v>544</v>
      </c>
    </row>
    <row r="539" spans="1:11">
      <c r="A539" s="3">
        <v>112</v>
      </c>
      <c r="B539" t="s">
        <v>585</v>
      </c>
      <c r="C539" t="s">
        <v>8</v>
      </c>
      <c r="E539" s="3">
        <f t="shared" si="32"/>
        <v>1</v>
      </c>
      <c r="F539" s="5">
        <v>44368.625</v>
      </c>
      <c r="G539" s="19" t="str">
        <f t="shared" si="33"/>
        <v>2021-W25</v>
      </c>
      <c r="H539">
        <f>SUM(A539:A545)</f>
        <v>973</v>
      </c>
      <c r="I539" s="28">
        <f>H539/H532-1</f>
        <v>0.78860294117647056</v>
      </c>
      <c r="J539" s="28">
        <f t="shared" si="34"/>
        <v>0.20430107526881724</v>
      </c>
      <c r="K539">
        <f t="shared" si="35"/>
        <v>563</v>
      </c>
    </row>
    <row r="540" spans="1:11">
      <c r="A540" s="3">
        <v>110</v>
      </c>
      <c r="B540" t="s">
        <v>586</v>
      </c>
      <c r="C540" t="s">
        <v>8</v>
      </c>
      <c r="E540" s="3">
        <f t="shared" si="32"/>
        <v>2</v>
      </c>
      <c r="F540" s="5">
        <v>44369.625</v>
      </c>
      <c r="G540" s="19" t="str">
        <f t="shared" si="33"/>
        <v/>
      </c>
      <c r="J540" s="28">
        <f t="shared" si="34"/>
        <v>0.41025641025641035</v>
      </c>
      <c r="K540">
        <f t="shared" si="35"/>
        <v>595</v>
      </c>
    </row>
    <row r="541" spans="1:11">
      <c r="A541" s="3">
        <v>146</v>
      </c>
      <c r="B541" t="s">
        <v>587</v>
      </c>
      <c r="C541" t="s">
        <v>8</v>
      </c>
      <c r="E541" s="3">
        <f t="shared" si="32"/>
        <v>3</v>
      </c>
      <c r="F541" s="5">
        <v>44370.625</v>
      </c>
      <c r="G541" s="19" t="str">
        <f t="shared" si="33"/>
        <v/>
      </c>
      <c r="J541" s="28">
        <f t="shared" si="34"/>
        <v>1.2461538461538462</v>
      </c>
      <c r="K541">
        <f t="shared" si="35"/>
        <v>676</v>
      </c>
    </row>
    <row r="542" spans="1:11">
      <c r="A542" s="3">
        <v>162</v>
      </c>
      <c r="B542" t="s">
        <v>588</v>
      </c>
      <c r="C542" t="s">
        <v>8</v>
      </c>
      <c r="E542" s="3">
        <f t="shared" si="32"/>
        <v>4</v>
      </c>
      <c r="F542" s="5">
        <v>44371.625</v>
      </c>
      <c r="G542" s="19" t="str">
        <f t="shared" si="33"/>
        <v/>
      </c>
      <c r="J542" s="28">
        <f t="shared" si="34"/>
        <v>0.78021978021978011</v>
      </c>
      <c r="K542">
        <f t="shared" si="35"/>
        <v>747</v>
      </c>
    </row>
    <row r="543" spans="1:11">
      <c r="A543" s="3">
        <v>195</v>
      </c>
      <c r="B543" t="s">
        <v>589</v>
      </c>
      <c r="C543" t="s">
        <v>8</v>
      </c>
      <c r="E543" s="3">
        <f t="shared" si="32"/>
        <v>5</v>
      </c>
      <c r="F543" s="5">
        <v>44372.625</v>
      </c>
      <c r="G543" s="19" t="str">
        <f t="shared" si="33"/>
        <v/>
      </c>
      <c r="J543" s="28">
        <f t="shared" si="34"/>
        <v>1.4375</v>
      </c>
      <c r="K543">
        <f t="shared" si="35"/>
        <v>862</v>
      </c>
    </row>
    <row r="544" spans="1:11">
      <c r="A544" s="3">
        <v>129</v>
      </c>
      <c r="B544" t="s">
        <v>590</v>
      </c>
      <c r="C544" t="s">
        <v>8</v>
      </c>
      <c r="E544" s="3">
        <f t="shared" si="32"/>
        <v>6</v>
      </c>
      <c r="F544" s="5">
        <v>44373.625</v>
      </c>
      <c r="G544" s="19" t="str">
        <f t="shared" si="33"/>
        <v/>
      </c>
      <c r="J544" s="28">
        <f t="shared" si="34"/>
        <v>1.263157894736842</v>
      </c>
      <c r="K544">
        <f t="shared" si="35"/>
        <v>934</v>
      </c>
    </row>
    <row r="545" spans="1:11">
      <c r="A545" s="3">
        <v>119</v>
      </c>
      <c r="B545" t="s">
        <v>591</v>
      </c>
      <c r="C545" t="s">
        <v>8</v>
      </c>
      <c r="E545" s="3">
        <f t="shared" si="32"/>
        <v>7</v>
      </c>
      <c r="F545" s="5">
        <v>44374.625</v>
      </c>
      <c r="G545" s="19" t="str">
        <f t="shared" si="33"/>
        <v/>
      </c>
      <c r="J545" s="28">
        <f t="shared" si="34"/>
        <v>0.48750000000000004</v>
      </c>
      <c r="K545">
        <f t="shared" si="35"/>
        <v>973</v>
      </c>
    </row>
    <row r="546" spans="1:11">
      <c r="A546" s="3">
        <v>230</v>
      </c>
      <c r="B546" t="s">
        <v>592</v>
      </c>
      <c r="C546" t="s">
        <v>8</v>
      </c>
      <c r="E546" s="3">
        <f t="shared" si="32"/>
        <v>1</v>
      </c>
      <c r="F546" s="5">
        <v>44375.625</v>
      </c>
      <c r="G546" s="19" t="str">
        <f t="shared" si="33"/>
        <v>2021-W26</v>
      </c>
      <c r="H546">
        <f>SUM(A546:A552)</f>
        <v>1298</v>
      </c>
      <c r="I546" s="28">
        <f>H546/H539-1</f>
        <v>0.33401849948612528</v>
      </c>
      <c r="J546" s="28">
        <f t="shared" si="34"/>
        <v>1.0535714285714284</v>
      </c>
      <c r="K546">
        <f t="shared" si="35"/>
        <v>1091</v>
      </c>
    </row>
    <row r="547" spans="1:11">
      <c r="A547" s="3">
        <v>261</v>
      </c>
      <c r="B547" t="s">
        <v>593</v>
      </c>
      <c r="C547" t="s">
        <v>8</v>
      </c>
      <c r="E547" s="3">
        <f t="shared" si="32"/>
        <v>2</v>
      </c>
      <c r="F547" s="5">
        <v>44376.625</v>
      </c>
      <c r="G547" s="19" t="str">
        <f t="shared" si="33"/>
        <v/>
      </c>
      <c r="J547" s="28">
        <f t="shared" si="34"/>
        <v>1.3727272727272726</v>
      </c>
      <c r="K547">
        <f t="shared" si="35"/>
        <v>1242</v>
      </c>
    </row>
    <row r="548" spans="1:11">
      <c r="A548" s="3">
        <v>196</v>
      </c>
      <c r="B548" t="s">
        <v>594</v>
      </c>
      <c r="C548" t="s">
        <v>8</v>
      </c>
      <c r="E548" s="3">
        <f t="shared" si="32"/>
        <v>3</v>
      </c>
      <c r="F548" s="5">
        <v>44377.625</v>
      </c>
      <c r="G548" s="19" t="str">
        <f t="shared" si="33"/>
        <v/>
      </c>
      <c r="J548" s="28">
        <f t="shared" si="34"/>
        <v>0.34246575342465757</v>
      </c>
      <c r="K548">
        <f t="shared" si="35"/>
        <v>1292</v>
      </c>
    </row>
    <row r="549" spans="1:11">
      <c r="A549" s="3">
        <v>207</v>
      </c>
      <c r="B549" t="s">
        <v>595</v>
      </c>
      <c r="C549" t="s">
        <v>8</v>
      </c>
      <c r="E549" s="3">
        <f t="shared" si="32"/>
        <v>4</v>
      </c>
      <c r="F549" s="5">
        <v>44378.625</v>
      </c>
      <c r="G549" s="19" t="str">
        <f t="shared" si="33"/>
        <v/>
      </c>
      <c r="J549" s="28">
        <f t="shared" si="34"/>
        <v>0.27777777777777768</v>
      </c>
      <c r="K549">
        <f t="shared" si="35"/>
        <v>1337</v>
      </c>
    </row>
    <row r="550" spans="1:11">
      <c r="A550" s="3">
        <v>167</v>
      </c>
      <c r="B550" t="s">
        <v>596</v>
      </c>
      <c r="C550" t="s">
        <v>8</v>
      </c>
      <c r="E550" s="3">
        <f t="shared" si="32"/>
        <v>5</v>
      </c>
      <c r="F550" s="5">
        <v>44379.625</v>
      </c>
      <c r="G550" s="19" t="str">
        <f t="shared" si="33"/>
        <v/>
      </c>
      <c r="J550" s="28">
        <f t="shared" si="34"/>
        <v>-0.14358974358974363</v>
      </c>
      <c r="K550">
        <f t="shared" si="35"/>
        <v>1309</v>
      </c>
    </row>
    <row r="551" spans="1:11">
      <c r="A551" s="3">
        <v>129</v>
      </c>
      <c r="B551" t="s">
        <v>597</v>
      </c>
      <c r="C551" t="s">
        <v>8</v>
      </c>
      <c r="E551" s="3">
        <f t="shared" si="32"/>
        <v>6</v>
      </c>
      <c r="F551" s="5">
        <v>44380.625</v>
      </c>
      <c r="G551" s="19" t="str">
        <f t="shared" si="33"/>
        <v/>
      </c>
      <c r="J551" s="28">
        <f t="shared" si="34"/>
        <v>0</v>
      </c>
      <c r="K551">
        <f t="shared" si="35"/>
        <v>1309</v>
      </c>
    </row>
    <row r="552" spans="1:11">
      <c r="A552" s="3">
        <v>108</v>
      </c>
      <c r="B552" t="s">
        <v>598</v>
      </c>
      <c r="C552" t="s">
        <v>8</v>
      </c>
      <c r="E552" s="3">
        <f t="shared" si="32"/>
        <v>7</v>
      </c>
      <c r="F552" s="5">
        <v>44381.625</v>
      </c>
      <c r="G552" s="19" t="str">
        <f t="shared" si="33"/>
        <v/>
      </c>
      <c r="J552" s="28">
        <f t="shared" si="34"/>
        <v>-9.2436974789915971E-2</v>
      </c>
      <c r="K552">
        <f t="shared" si="35"/>
        <v>1298</v>
      </c>
    </row>
    <row r="553" spans="1:11">
      <c r="A553" s="3">
        <v>245</v>
      </c>
      <c r="B553" t="s">
        <v>599</v>
      </c>
      <c r="C553" t="s">
        <v>8</v>
      </c>
      <c r="E553" s="3">
        <f t="shared" si="32"/>
        <v>1</v>
      </c>
      <c r="F553" s="5">
        <v>44382.625</v>
      </c>
      <c r="G553" s="19" t="str">
        <f t="shared" si="33"/>
        <v>2021-W27</v>
      </c>
      <c r="H553">
        <f>SUM(A553:A559)</f>
        <v>1697</v>
      </c>
      <c r="I553" s="28">
        <f>H553/H546-1</f>
        <v>0.30739599383667171</v>
      </c>
      <c r="J553" s="28">
        <f t="shared" si="34"/>
        <v>6.5217391304347894E-2</v>
      </c>
      <c r="K553">
        <f t="shared" si="35"/>
        <v>1313</v>
      </c>
    </row>
    <row r="554" spans="1:11">
      <c r="A554" s="3">
        <v>260</v>
      </c>
      <c r="B554" t="s">
        <v>600</v>
      </c>
      <c r="C554" t="s">
        <v>8</v>
      </c>
      <c r="E554" s="3">
        <f t="shared" si="32"/>
        <v>2</v>
      </c>
      <c r="F554" s="5">
        <v>44383.625</v>
      </c>
      <c r="G554" s="19" t="str">
        <f t="shared" si="33"/>
        <v/>
      </c>
      <c r="J554" s="28">
        <f t="shared" si="34"/>
        <v>-3.8314176245211051E-3</v>
      </c>
      <c r="K554">
        <f t="shared" si="35"/>
        <v>1312</v>
      </c>
    </row>
    <row r="555" spans="1:11">
      <c r="A555" s="3">
        <v>291</v>
      </c>
      <c r="B555" t="s">
        <v>601</v>
      </c>
      <c r="C555" t="s">
        <v>8</v>
      </c>
      <c r="E555" s="3">
        <f t="shared" si="32"/>
        <v>3</v>
      </c>
      <c r="F555" s="5">
        <v>44384.625</v>
      </c>
      <c r="G555" s="19" t="str">
        <f t="shared" si="33"/>
        <v/>
      </c>
      <c r="J555" s="28">
        <f t="shared" si="34"/>
        <v>0.48469387755102034</v>
      </c>
      <c r="K555">
        <f t="shared" si="35"/>
        <v>1407</v>
      </c>
    </row>
    <row r="556" spans="1:11">
      <c r="A556" s="3">
        <v>285</v>
      </c>
      <c r="B556" t="s">
        <v>602</v>
      </c>
      <c r="C556" t="s">
        <v>8</v>
      </c>
      <c r="E556" s="3">
        <f t="shared" si="32"/>
        <v>4</v>
      </c>
      <c r="F556" s="5">
        <v>44385.625</v>
      </c>
      <c r="G556" s="19" t="str">
        <f t="shared" si="33"/>
        <v/>
      </c>
      <c r="J556" s="28">
        <f t="shared" si="34"/>
        <v>0.37681159420289845</v>
      </c>
      <c r="K556">
        <f t="shared" si="35"/>
        <v>1485</v>
      </c>
    </row>
    <row r="557" spans="1:11">
      <c r="A557" s="3">
        <v>309</v>
      </c>
      <c r="B557" t="s">
        <v>603</v>
      </c>
      <c r="C557" t="s">
        <v>8</v>
      </c>
      <c r="E557" s="3">
        <f t="shared" si="32"/>
        <v>5</v>
      </c>
      <c r="F557" s="5">
        <v>44386.625</v>
      </c>
      <c r="G557" s="19" t="str">
        <f t="shared" si="33"/>
        <v/>
      </c>
      <c r="J557" s="28">
        <f t="shared" si="34"/>
        <v>0.85029940119760483</v>
      </c>
      <c r="K557">
        <f t="shared" si="35"/>
        <v>1627</v>
      </c>
    </row>
    <row r="558" spans="1:11">
      <c r="A558" s="3">
        <v>150</v>
      </c>
      <c r="B558" t="s">
        <v>604</v>
      </c>
      <c r="C558" t="s">
        <v>8</v>
      </c>
      <c r="E558" s="3">
        <f t="shared" si="32"/>
        <v>6</v>
      </c>
      <c r="F558" s="5">
        <v>44387.625</v>
      </c>
      <c r="G558" s="19" t="str">
        <f t="shared" si="33"/>
        <v/>
      </c>
      <c r="J558" s="28">
        <f t="shared" si="34"/>
        <v>0.16279069767441867</v>
      </c>
      <c r="K558">
        <f t="shared" si="35"/>
        <v>1648</v>
      </c>
    </row>
    <row r="559" spans="1:11">
      <c r="A559" s="3">
        <v>157</v>
      </c>
      <c r="B559" t="s">
        <v>605</v>
      </c>
      <c r="C559" t="s">
        <v>8</v>
      </c>
      <c r="E559" s="3">
        <f t="shared" si="32"/>
        <v>7</v>
      </c>
      <c r="F559" s="5">
        <v>44388.625</v>
      </c>
      <c r="G559" s="19" t="str">
        <f t="shared" si="33"/>
        <v/>
      </c>
      <c r="J559" s="28">
        <f t="shared" si="34"/>
        <v>0.45370370370370372</v>
      </c>
      <c r="K559">
        <f t="shared" si="35"/>
        <v>1697</v>
      </c>
    </row>
    <row r="560" spans="1:11">
      <c r="A560" s="3">
        <v>330</v>
      </c>
      <c r="B560" t="s">
        <v>606</v>
      </c>
      <c r="C560" t="s">
        <v>8</v>
      </c>
      <c r="E560" s="3">
        <f t="shared" si="32"/>
        <v>1</v>
      </c>
      <c r="F560" s="5">
        <v>44389.625</v>
      </c>
      <c r="G560" s="19" t="str">
        <f t="shared" si="33"/>
        <v>2021-W28</v>
      </c>
      <c r="H560">
        <f>SUM(A560:A566)</f>
        <v>2241</v>
      </c>
      <c r="I560" s="28">
        <f>H560/H553-1</f>
        <v>0.32056570418385388</v>
      </c>
      <c r="J560" s="28">
        <f t="shared" si="34"/>
        <v>0.34693877551020402</v>
      </c>
      <c r="K560">
        <f t="shared" si="35"/>
        <v>1782</v>
      </c>
    </row>
    <row r="561" spans="1:11">
      <c r="A561" s="3">
        <v>341</v>
      </c>
      <c r="B561" t="s">
        <v>607</v>
      </c>
      <c r="C561" t="s">
        <v>8</v>
      </c>
      <c r="E561" s="3">
        <f t="shared" si="32"/>
        <v>2</v>
      </c>
      <c r="F561" s="5">
        <v>44390.625</v>
      </c>
      <c r="G561" s="19" t="str">
        <f t="shared" si="33"/>
        <v/>
      </c>
      <c r="J561" s="28">
        <f t="shared" si="34"/>
        <v>0.31153846153846154</v>
      </c>
      <c r="K561">
        <f t="shared" si="35"/>
        <v>1863</v>
      </c>
    </row>
    <row r="562" spans="1:11">
      <c r="A562" s="3">
        <v>386</v>
      </c>
      <c r="B562" t="s">
        <v>608</v>
      </c>
      <c r="C562" t="s">
        <v>8</v>
      </c>
      <c r="E562" s="3">
        <f t="shared" si="32"/>
        <v>3</v>
      </c>
      <c r="F562" s="5">
        <v>44391.625</v>
      </c>
      <c r="G562" s="19" t="str">
        <f t="shared" si="33"/>
        <v/>
      </c>
      <c r="J562" s="28">
        <f t="shared" si="34"/>
        <v>0.32646048109965631</v>
      </c>
      <c r="K562">
        <f t="shared" si="35"/>
        <v>1958</v>
      </c>
    </row>
    <row r="563" spans="1:11">
      <c r="A563" s="3">
        <v>379</v>
      </c>
      <c r="B563" t="s">
        <v>609</v>
      </c>
      <c r="C563" t="s">
        <v>8</v>
      </c>
      <c r="E563" s="3">
        <f t="shared" si="32"/>
        <v>4</v>
      </c>
      <c r="F563" s="5">
        <v>44392.625</v>
      </c>
      <c r="G563" s="19" t="str">
        <f t="shared" si="33"/>
        <v/>
      </c>
      <c r="J563" s="28">
        <f t="shared" si="34"/>
        <v>0.32982456140350869</v>
      </c>
      <c r="K563">
        <f t="shared" si="35"/>
        <v>2052</v>
      </c>
    </row>
    <row r="564" spans="1:11">
      <c r="A564" s="3">
        <v>355</v>
      </c>
      <c r="B564" t="s">
        <v>610</v>
      </c>
      <c r="C564" t="s">
        <v>8</v>
      </c>
      <c r="E564" s="3">
        <f t="shared" si="32"/>
        <v>5</v>
      </c>
      <c r="F564" s="5">
        <v>44393.625</v>
      </c>
      <c r="G564" s="19" t="str">
        <f t="shared" si="33"/>
        <v/>
      </c>
      <c r="J564" s="28">
        <f t="shared" si="34"/>
        <v>0.14886731391585761</v>
      </c>
      <c r="K564">
        <f t="shared" si="35"/>
        <v>2098</v>
      </c>
    </row>
    <row r="565" spans="1:11">
      <c r="A565" s="3">
        <v>203</v>
      </c>
      <c r="B565" t="s">
        <v>611</v>
      </c>
      <c r="C565" t="s">
        <v>8</v>
      </c>
      <c r="E565" s="3">
        <f t="shared" si="32"/>
        <v>6</v>
      </c>
      <c r="F565" s="5">
        <v>44394.625</v>
      </c>
      <c r="G565" s="19" t="str">
        <f t="shared" si="33"/>
        <v/>
      </c>
      <c r="J565" s="28">
        <f t="shared" si="34"/>
        <v>0.35333333333333328</v>
      </c>
      <c r="K565">
        <f t="shared" si="35"/>
        <v>2151</v>
      </c>
    </row>
    <row r="566" spans="1:11">
      <c r="A566" s="3">
        <v>247</v>
      </c>
      <c r="B566" t="s">
        <v>612</v>
      </c>
      <c r="C566" t="s">
        <v>8</v>
      </c>
      <c r="E566" s="3">
        <f t="shared" si="32"/>
        <v>7</v>
      </c>
      <c r="F566" s="5">
        <v>44395.625</v>
      </c>
      <c r="G566" s="19" t="str">
        <f t="shared" si="33"/>
        <v/>
      </c>
      <c r="J566" s="28">
        <f t="shared" si="34"/>
        <v>0.5732484076433122</v>
      </c>
      <c r="K566">
        <f t="shared" si="35"/>
        <v>2241</v>
      </c>
    </row>
    <row r="567" spans="1:11">
      <c r="A567" s="3">
        <v>421</v>
      </c>
      <c r="B567" t="s">
        <v>613</v>
      </c>
      <c r="C567" t="s">
        <v>8</v>
      </c>
      <c r="E567" s="3">
        <f t="shared" si="32"/>
        <v>1</v>
      </c>
      <c r="F567" s="5">
        <v>44396.625</v>
      </c>
      <c r="G567" s="19" t="str">
        <f t="shared" si="33"/>
        <v>2021-W29</v>
      </c>
      <c r="H567">
        <f>SUM(A567:A573)</f>
        <v>2924</v>
      </c>
      <c r="I567" s="28">
        <f>H567/H560-1</f>
        <v>0.30477465417224447</v>
      </c>
      <c r="J567" s="28">
        <f t="shared" si="34"/>
        <v>0.27575757575757587</v>
      </c>
      <c r="K567">
        <f t="shared" si="35"/>
        <v>2332</v>
      </c>
    </row>
    <row r="568" spans="1:11">
      <c r="A568" s="3">
        <v>421</v>
      </c>
      <c r="B568" t="s">
        <v>614</v>
      </c>
      <c r="C568" t="s">
        <v>8</v>
      </c>
      <c r="E568" s="3">
        <f t="shared" si="32"/>
        <v>2</v>
      </c>
      <c r="F568" s="5">
        <v>44397.625</v>
      </c>
      <c r="G568" s="19" t="str">
        <f t="shared" si="33"/>
        <v/>
      </c>
      <c r="J568" s="28">
        <f t="shared" si="34"/>
        <v>0.23460410557184752</v>
      </c>
      <c r="K568">
        <f t="shared" si="35"/>
        <v>2412</v>
      </c>
    </row>
    <row r="569" spans="1:11">
      <c r="A569" s="3">
        <v>467</v>
      </c>
      <c r="B569" t="s">
        <v>615</v>
      </c>
      <c r="C569" t="s">
        <v>8</v>
      </c>
      <c r="E569" s="3">
        <f t="shared" si="32"/>
        <v>3</v>
      </c>
      <c r="F569" s="5">
        <v>44398.625</v>
      </c>
      <c r="G569" s="19" t="str">
        <f t="shared" si="33"/>
        <v/>
      </c>
      <c r="J569" s="28">
        <f t="shared" si="34"/>
        <v>0.20984455958549231</v>
      </c>
      <c r="K569">
        <f t="shared" si="35"/>
        <v>2493</v>
      </c>
    </row>
    <row r="570" spans="1:11">
      <c r="A570" s="3">
        <v>487</v>
      </c>
      <c r="B570" t="s">
        <v>616</v>
      </c>
      <c r="C570" t="s">
        <v>8</v>
      </c>
      <c r="E570" s="3">
        <f t="shared" si="32"/>
        <v>4</v>
      </c>
      <c r="F570" s="5">
        <v>44399.625</v>
      </c>
      <c r="G570" s="19" t="str">
        <f t="shared" si="33"/>
        <v/>
      </c>
      <c r="J570" s="28">
        <f t="shared" si="34"/>
        <v>0.28496042216358841</v>
      </c>
      <c r="K570">
        <f t="shared" si="35"/>
        <v>2601</v>
      </c>
    </row>
    <row r="571" spans="1:11">
      <c r="A571" s="3">
        <v>479</v>
      </c>
      <c r="B571" t="s">
        <v>617</v>
      </c>
      <c r="C571" t="s">
        <v>8</v>
      </c>
      <c r="E571" s="3">
        <f t="shared" si="32"/>
        <v>5</v>
      </c>
      <c r="F571" s="5">
        <v>44400.625</v>
      </c>
      <c r="G571" s="19" t="str">
        <f t="shared" si="33"/>
        <v/>
      </c>
      <c r="J571" s="28">
        <f t="shared" si="34"/>
        <v>0.3492957746478873</v>
      </c>
      <c r="K571">
        <f t="shared" si="35"/>
        <v>2725</v>
      </c>
    </row>
    <row r="572" spans="1:11">
      <c r="A572" s="3">
        <v>298</v>
      </c>
      <c r="B572" t="s">
        <v>618</v>
      </c>
      <c r="C572" t="s">
        <v>8</v>
      </c>
      <c r="E572" s="3">
        <f t="shared" si="32"/>
        <v>6</v>
      </c>
      <c r="F572" s="5">
        <v>44401.625</v>
      </c>
      <c r="G572" s="19" t="str">
        <f t="shared" si="33"/>
        <v/>
      </c>
      <c r="J572" s="28">
        <f t="shared" si="34"/>
        <v>0.46798029556650245</v>
      </c>
      <c r="K572">
        <f t="shared" si="35"/>
        <v>2820</v>
      </c>
    </row>
    <row r="573" spans="1:11">
      <c r="A573" s="3">
        <v>351</v>
      </c>
      <c r="B573" t="s">
        <v>619</v>
      </c>
      <c r="C573" t="s">
        <v>8</v>
      </c>
      <c r="E573" s="3">
        <f t="shared" si="32"/>
        <v>7</v>
      </c>
      <c r="F573" s="5">
        <v>44402.625</v>
      </c>
      <c r="G573" s="19" t="str">
        <f t="shared" si="33"/>
        <v/>
      </c>
      <c r="J573" s="28">
        <f t="shared" si="34"/>
        <v>0.42105263157894735</v>
      </c>
      <c r="K573">
        <f t="shared" si="35"/>
        <v>2924</v>
      </c>
    </row>
    <row r="574" spans="1:11">
      <c r="A574" s="3">
        <v>766</v>
      </c>
      <c r="B574" t="s">
        <v>620</v>
      </c>
      <c r="C574" t="s">
        <v>8</v>
      </c>
      <c r="E574" s="3">
        <f t="shared" si="32"/>
        <v>1</v>
      </c>
      <c r="F574" s="5">
        <v>44403.625</v>
      </c>
      <c r="G574" s="19" t="str">
        <f t="shared" si="33"/>
        <v>2021-W30</v>
      </c>
      <c r="H574">
        <f>SUM(A574:A580)</f>
        <v>4619</v>
      </c>
      <c r="I574" s="28">
        <f>H574/H567-1</f>
        <v>0.5796853625170999</v>
      </c>
      <c r="J574" s="28">
        <f t="shared" si="34"/>
        <v>0.81947743467933498</v>
      </c>
      <c r="K574">
        <f t="shared" si="35"/>
        <v>3269</v>
      </c>
    </row>
    <row r="575" spans="1:11">
      <c r="A575" s="3">
        <v>675</v>
      </c>
      <c r="B575" t="s">
        <v>621</v>
      </c>
      <c r="C575" t="s">
        <v>8</v>
      </c>
      <c r="E575" s="3">
        <f t="shared" ref="E575:E638" si="36">WEEKDAY(F575,2)</f>
        <v>2</v>
      </c>
      <c r="F575" s="5">
        <v>44404.625</v>
      </c>
      <c r="G575" s="19" t="str">
        <f t="shared" si="33"/>
        <v/>
      </c>
      <c r="J575" s="28">
        <f t="shared" si="34"/>
        <v>0.60332541567695963</v>
      </c>
      <c r="K575">
        <f t="shared" si="35"/>
        <v>3523</v>
      </c>
    </row>
    <row r="576" spans="1:11" s="46" customFormat="1">
      <c r="A576" s="45">
        <v>844</v>
      </c>
      <c r="B576" s="46" t="s">
        <v>622</v>
      </c>
      <c r="C576" s="46" t="s">
        <v>8</v>
      </c>
      <c r="E576" s="45">
        <f t="shared" si="36"/>
        <v>3</v>
      </c>
      <c r="F576" s="47">
        <v>44405.625</v>
      </c>
      <c r="G576" s="48" t="str">
        <f t="shared" si="33"/>
        <v/>
      </c>
      <c r="J576" s="49">
        <f t="shared" si="34"/>
        <v>0.80728051391862965</v>
      </c>
      <c r="K576" s="46">
        <f t="shared" si="35"/>
        <v>3900</v>
      </c>
    </row>
    <row r="577" spans="1:11">
      <c r="A577" s="3">
        <v>765</v>
      </c>
      <c r="B577" t="s">
        <v>623</v>
      </c>
      <c r="C577" t="s">
        <v>8</v>
      </c>
      <c r="E577" s="3">
        <f t="shared" si="36"/>
        <v>4</v>
      </c>
      <c r="F577" s="5">
        <v>44406.625</v>
      </c>
      <c r="G577" s="19" t="str">
        <f t="shared" si="33"/>
        <v/>
      </c>
      <c r="J577" s="28">
        <f t="shared" si="34"/>
        <v>0.57084188911704303</v>
      </c>
      <c r="K577">
        <f t="shared" si="35"/>
        <v>4178</v>
      </c>
    </row>
    <row r="578" spans="1:11">
      <c r="A578" s="3">
        <v>692</v>
      </c>
      <c r="B578" t="s">
        <v>624</v>
      </c>
      <c r="C578" t="s">
        <v>8</v>
      </c>
      <c r="E578" s="3">
        <f t="shared" si="36"/>
        <v>5</v>
      </c>
      <c r="F578" s="5">
        <v>44407.625</v>
      </c>
      <c r="G578" s="19" t="str">
        <f t="shared" si="33"/>
        <v/>
      </c>
      <c r="J578" s="28">
        <f t="shared" si="34"/>
        <v>0.44467640918580376</v>
      </c>
      <c r="K578">
        <f t="shared" si="35"/>
        <v>4391</v>
      </c>
    </row>
    <row r="579" spans="1:11">
      <c r="A579" s="3">
        <v>403</v>
      </c>
      <c r="B579" t="s">
        <v>625</v>
      </c>
      <c r="C579" t="s">
        <v>8</v>
      </c>
      <c r="E579" s="3">
        <f t="shared" si="36"/>
        <v>6</v>
      </c>
      <c r="F579" s="5">
        <v>44408.625</v>
      </c>
      <c r="G579" s="19" t="str">
        <f t="shared" ref="G579:G642" si="37">IF(WEEKDAY(F579,2)=1,YEAR(F579)&amp;"-W"&amp;TEXT(WEEKNUM(F579,14),"00"),"")</f>
        <v/>
      </c>
      <c r="J579" s="28">
        <f t="shared" si="34"/>
        <v>0.3523489932885906</v>
      </c>
      <c r="K579">
        <f t="shared" si="35"/>
        <v>4496</v>
      </c>
    </row>
    <row r="580" spans="1:11">
      <c r="A580" s="3">
        <v>474</v>
      </c>
      <c r="B580" t="s">
        <v>626</v>
      </c>
      <c r="C580" t="s">
        <v>8</v>
      </c>
      <c r="E580" s="3">
        <f t="shared" si="36"/>
        <v>7</v>
      </c>
      <c r="F580" s="5">
        <v>44409.625</v>
      </c>
      <c r="G580" s="19" t="str">
        <f t="shared" si="37"/>
        <v/>
      </c>
      <c r="J580" s="28">
        <f t="shared" si="34"/>
        <v>0.35042735042735051</v>
      </c>
      <c r="K580">
        <f t="shared" si="35"/>
        <v>4619</v>
      </c>
    </row>
    <row r="581" spans="1:11" s="51" customFormat="1">
      <c r="A581" s="50">
        <v>894</v>
      </c>
      <c r="B581" s="51" t="s">
        <v>627</v>
      </c>
      <c r="C581" s="51" t="s">
        <v>8</v>
      </c>
      <c r="E581" s="50">
        <f t="shared" si="36"/>
        <v>1</v>
      </c>
      <c r="F581" s="52">
        <v>44410.625</v>
      </c>
      <c r="G581" s="43" t="str">
        <f t="shared" si="37"/>
        <v>2021-W31</v>
      </c>
      <c r="H581" s="51">
        <f>SUM(A581:A587)</f>
        <v>4863</v>
      </c>
      <c r="I581" s="53">
        <f>H581/H574-1</f>
        <v>5.2825286858627418E-2</v>
      </c>
      <c r="J581" s="53">
        <f t="shared" si="34"/>
        <v>0.16710182767624016</v>
      </c>
      <c r="K581" s="51">
        <f>SUM(A575:A581)</f>
        <v>4747</v>
      </c>
    </row>
    <row r="582" spans="1:11">
      <c r="A582" s="3">
        <v>839</v>
      </c>
      <c r="B582" t="s">
        <v>628</v>
      </c>
      <c r="C582" t="s">
        <v>8</v>
      </c>
      <c r="E582" s="3">
        <f t="shared" si="36"/>
        <v>2</v>
      </c>
      <c r="F582" s="5">
        <v>44411.625</v>
      </c>
      <c r="G582" s="19" t="str">
        <f t="shared" si="37"/>
        <v/>
      </c>
      <c r="J582" s="28">
        <f t="shared" si="34"/>
        <v>0.24296296296296305</v>
      </c>
      <c r="K582">
        <f t="shared" si="35"/>
        <v>4911</v>
      </c>
    </row>
    <row r="583" spans="1:11">
      <c r="A583" s="3">
        <v>780</v>
      </c>
      <c r="B583" t="s">
        <v>629</v>
      </c>
      <c r="C583" t="s">
        <v>8</v>
      </c>
      <c r="E583" s="3">
        <f t="shared" si="36"/>
        <v>3</v>
      </c>
      <c r="F583" s="5">
        <v>44412.625</v>
      </c>
      <c r="G583" s="19" t="str">
        <f t="shared" si="37"/>
        <v/>
      </c>
      <c r="J583" s="28">
        <f t="shared" si="34"/>
        <v>-7.582938388625593E-2</v>
      </c>
      <c r="K583">
        <f t="shared" si="35"/>
        <v>4847</v>
      </c>
    </row>
    <row r="584" spans="1:11">
      <c r="A584" s="3">
        <v>826</v>
      </c>
      <c r="B584" t="s">
        <v>630</v>
      </c>
      <c r="C584" t="s">
        <v>8</v>
      </c>
      <c r="E584" s="3">
        <f t="shared" si="36"/>
        <v>4</v>
      </c>
      <c r="F584" s="5">
        <v>44413.625</v>
      </c>
      <c r="G584" s="19" t="str">
        <f t="shared" si="37"/>
        <v/>
      </c>
      <c r="J584" s="28">
        <f t="shared" si="34"/>
        <v>7.9738562091503207E-2</v>
      </c>
      <c r="K584">
        <f t="shared" si="35"/>
        <v>4908</v>
      </c>
    </row>
    <row r="585" spans="1:11">
      <c r="A585" s="3">
        <v>655</v>
      </c>
      <c r="B585" t="s">
        <v>631</v>
      </c>
      <c r="C585" t="s">
        <v>8</v>
      </c>
      <c r="E585" s="3">
        <f t="shared" si="36"/>
        <v>5</v>
      </c>
      <c r="F585" s="5">
        <v>44414.625</v>
      </c>
      <c r="G585" s="19" t="str">
        <f t="shared" si="37"/>
        <v/>
      </c>
      <c r="J585" s="28">
        <f t="shared" ref="J585:J641" si="38">A585/A578-1</f>
        <v>-5.3468208092485536E-2</v>
      </c>
      <c r="K585">
        <f t="shared" si="35"/>
        <v>4871</v>
      </c>
    </row>
    <row r="586" spans="1:11">
      <c r="A586" s="3">
        <v>421</v>
      </c>
      <c r="B586" t="s">
        <v>632</v>
      </c>
      <c r="C586" t="s">
        <v>8</v>
      </c>
      <c r="E586" s="3">
        <f t="shared" si="36"/>
        <v>6</v>
      </c>
      <c r="F586" s="5">
        <v>44415.625</v>
      </c>
      <c r="G586" s="19" t="str">
        <f t="shared" si="37"/>
        <v/>
      </c>
      <c r="J586" s="28">
        <f t="shared" si="38"/>
        <v>4.4665012406947868E-2</v>
      </c>
      <c r="K586">
        <f t="shared" si="35"/>
        <v>4889</v>
      </c>
    </row>
    <row r="587" spans="1:11">
      <c r="A587" s="3">
        <v>448</v>
      </c>
      <c r="B587" t="s">
        <v>633</v>
      </c>
      <c r="C587" t="s">
        <v>8</v>
      </c>
      <c r="E587" s="3">
        <f t="shared" si="36"/>
        <v>7</v>
      </c>
      <c r="F587" s="5">
        <v>44416.625</v>
      </c>
      <c r="G587" s="19" t="str">
        <f t="shared" si="37"/>
        <v/>
      </c>
      <c r="J587" s="28">
        <f t="shared" si="38"/>
        <v>-5.4852320675105481E-2</v>
      </c>
      <c r="K587">
        <f t="shared" si="35"/>
        <v>4863</v>
      </c>
    </row>
    <row r="588" spans="1:11">
      <c r="A588" s="3">
        <v>307</v>
      </c>
      <c r="B588" t="s">
        <v>634</v>
      </c>
      <c r="C588" t="s">
        <v>8</v>
      </c>
      <c r="E588" s="3">
        <f t="shared" si="36"/>
        <v>1</v>
      </c>
      <c r="F588" s="5">
        <v>44417.625</v>
      </c>
      <c r="G588" s="19" t="str">
        <f t="shared" si="37"/>
        <v>2021-W32</v>
      </c>
      <c r="H588">
        <f>SUM(A588:A594)</f>
        <v>307</v>
      </c>
      <c r="I588" s="28">
        <f>H588/H581-1</f>
        <v>-0.93687024470491465</v>
      </c>
      <c r="J588" s="28">
        <f t="shared" si="38"/>
        <v>-0.65659955257270686</v>
      </c>
      <c r="K588">
        <f t="shared" si="35"/>
        <v>4276</v>
      </c>
    </row>
    <row r="589" spans="1:11">
      <c r="A589" s="3">
        <v>0</v>
      </c>
      <c r="B589" t="s">
        <v>635</v>
      </c>
      <c r="C589" t="s">
        <v>8</v>
      </c>
      <c r="E589" s="3">
        <f t="shared" si="36"/>
        <v>2</v>
      </c>
      <c r="F589" s="5">
        <v>44418.359502314815</v>
      </c>
      <c r="G589" s="19" t="str">
        <f t="shared" si="37"/>
        <v/>
      </c>
      <c r="J589" s="28">
        <f t="shared" si="38"/>
        <v>-1</v>
      </c>
      <c r="K589">
        <f t="shared" si="35"/>
        <v>3437</v>
      </c>
    </row>
    <row r="590" spans="1:11">
      <c r="E590" s="3">
        <f t="shared" si="36"/>
        <v>6</v>
      </c>
      <c r="G590" s="19" t="str">
        <f t="shared" si="37"/>
        <v/>
      </c>
      <c r="J590" s="28">
        <f t="shared" si="38"/>
        <v>-1</v>
      </c>
      <c r="K590">
        <f t="shared" si="35"/>
        <v>2657</v>
      </c>
    </row>
    <row r="591" spans="1:11">
      <c r="E591" s="3">
        <f t="shared" si="36"/>
        <v>6</v>
      </c>
      <c r="G591" s="19" t="str">
        <f t="shared" si="37"/>
        <v/>
      </c>
      <c r="J591" s="28">
        <f t="shared" si="38"/>
        <v>-1</v>
      </c>
      <c r="K591">
        <f t="shared" si="35"/>
        <v>1831</v>
      </c>
    </row>
    <row r="592" spans="1:11">
      <c r="E592" s="3">
        <f t="shared" si="36"/>
        <v>6</v>
      </c>
      <c r="G592" s="19" t="str">
        <f t="shared" si="37"/>
        <v/>
      </c>
      <c r="J592" s="28">
        <f t="shared" si="38"/>
        <v>-1</v>
      </c>
      <c r="K592">
        <f t="shared" si="35"/>
        <v>1176</v>
      </c>
    </row>
    <row r="593" spans="5:11">
      <c r="E593" s="3">
        <f t="shared" si="36"/>
        <v>6</v>
      </c>
      <c r="G593" s="19" t="str">
        <f t="shared" si="37"/>
        <v/>
      </c>
      <c r="J593" s="28">
        <f t="shared" si="38"/>
        <v>-1</v>
      </c>
      <c r="K593">
        <f t="shared" si="35"/>
        <v>755</v>
      </c>
    </row>
    <row r="594" spans="5:11">
      <c r="E594" s="3">
        <f t="shared" si="36"/>
        <v>6</v>
      </c>
      <c r="G594" s="19" t="str">
        <f t="shared" si="37"/>
        <v/>
      </c>
      <c r="J594" s="28">
        <f t="shared" si="38"/>
        <v>-1</v>
      </c>
      <c r="K594">
        <f t="shared" si="35"/>
        <v>307</v>
      </c>
    </row>
    <row r="595" spans="5:11">
      <c r="E595" s="3">
        <f t="shared" si="36"/>
        <v>6</v>
      </c>
      <c r="G595" s="19" t="str">
        <f t="shared" si="37"/>
        <v/>
      </c>
      <c r="H595">
        <f>SUM(A595:A601)</f>
        <v>0</v>
      </c>
      <c r="I595" s="28">
        <f>H595/H588-1</f>
        <v>-1</v>
      </c>
      <c r="J595" s="28">
        <f t="shared" si="38"/>
        <v>-1</v>
      </c>
      <c r="K595">
        <f t="shared" si="35"/>
        <v>0</v>
      </c>
    </row>
    <row r="596" spans="5:11">
      <c r="E596" s="3">
        <f t="shared" si="36"/>
        <v>6</v>
      </c>
      <c r="G596" s="19" t="str">
        <f t="shared" si="37"/>
        <v/>
      </c>
      <c r="J596" s="28" t="e">
        <f t="shared" si="38"/>
        <v>#DIV/0!</v>
      </c>
      <c r="K596">
        <f t="shared" si="35"/>
        <v>0</v>
      </c>
    </row>
    <row r="597" spans="5:11">
      <c r="E597" s="3">
        <f t="shared" si="36"/>
        <v>6</v>
      </c>
      <c r="G597" s="19" t="str">
        <f t="shared" si="37"/>
        <v/>
      </c>
      <c r="J597" s="28" t="e">
        <f t="shared" si="38"/>
        <v>#DIV/0!</v>
      </c>
      <c r="K597">
        <f t="shared" ref="K597:K660" si="39">SUM(A591:A597)</f>
        <v>0</v>
      </c>
    </row>
    <row r="598" spans="5:11">
      <c r="E598" s="3">
        <f t="shared" si="36"/>
        <v>6</v>
      </c>
      <c r="G598" s="19" t="str">
        <f t="shared" si="37"/>
        <v/>
      </c>
      <c r="J598" s="28" t="e">
        <f t="shared" si="38"/>
        <v>#DIV/0!</v>
      </c>
      <c r="K598">
        <f t="shared" si="39"/>
        <v>0</v>
      </c>
    </row>
    <row r="599" spans="5:11">
      <c r="E599" s="3">
        <f t="shared" si="36"/>
        <v>6</v>
      </c>
      <c r="G599" s="19" t="str">
        <f t="shared" si="37"/>
        <v/>
      </c>
      <c r="J599" s="28" t="e">
        <f t="shared" si="38"/>
        <v>#DIV/0!</v>
      </c>
      <c r="K599">
        <f t="shared" si="39"/>
        <v>0</v>
      </c>
    </row>
    <row r="600" spans="5:11">
      <c r="E600" s="3">
        <f t="shared" si="36"/>
        <v>6</v>
      </c>
      <c r="G600" s="19" t="str">
        <f t="shared" si="37"/>
        <v/>
      </c>
      <c r="J600" s="28" t="e">
        <f t="shared" si="38"/>
        <v>#DIV/0!</v>
      </c>
      <c r="K600">
        <f t="shared" si="39"/>
        <v>0</v>
      </c>
    </row>
    <row r="601" spans="5:11">
      <c r="E601" s="3">
        <f t="shared" si="36"/>
        <v>6</v>
      </c>
      <c r="G601" s="19" t="str">
        <f t="shared" si="37"/>
        <v/>
      </c>
      <c r="J601" s="28" t="e">
        <f t="shared" si="38"/>
        <v>#DIV/0!</v>
      </c>
      <c r="K601">
        <f t="shared" si="39"/>
        <v>0</v>
      </c>
    </row>
    <row r="602" spans="5:11">
      <c r="E602" s="3">
        <f t="shared" si="36"/>
        <v>6</v>
      </c>
      <c r="G602" s="19" t="str">
        <f t="shared" si="37"/>
        <v/>
      </c>
      <c r="H602">
        <f>SUM(A602:A608)</f>
        <v>0</v>
      </c>
      <c r="I602" s="28" t="e">
        <f>H602/H595-1</f>
        <v>#DIV/0!</v>
      </c>
      <c r="J602" s="28" t="e">
        <f t="shared" si="38"/>
        <v>#DIV/0!</v>
      </c>
      <c r="K602">
        <f t="shared" si="39"/>
        <v>0</v>
      </c>
    </row>
    <row r="603" spans="5:11">
      <c r="E603" s="3">
        <f t="shared" si="36"/>
        <v>6</v>
      </c>
      <c r="G603" s="19" t="str">
        <f t="shared" si="37"/>
        <v/>
      </c>
      <c r="J603" s="28" t="e">
        <f t="shared" si="38"/>
        <v>#DIV/0!</v>
      </c>
      <c r="K603">
        <f t="shared" si="39"/>
        <v>0</v>
      </c>
    </row>
    <row r="604" spans="5:11">
      <c r="E604" s="3">
        <f t="shared" si="36"/>
        <v>6</v>
      </c>
      <c r="G604" s="19" t="str">
        <f t="shared" si="37"/>
        <v/>
      </c>
      <c r="J604" s="28" t="e">
        <f t="shared" si="38"/>
        <v>#DIV/0!</v>
      </c>
      <c r="K604">
        <f t="shared" si="39"/>
        <v>0</v>
      </c>
    </row>
    <row r="605" spans="5:11">
      <c r="E605" s="3">
        <f t="shared" si="36"/>
        <v>6</v>
      </c>
      <c r="G605" s="19" t="str">
        <f t="shared" si="37"/>
        <v/>
      </c>
      <c r="J605" s="28" t="e">
        <f t="shared" si="38"/>
        <v>#DIV/0!</v>
      </c>
      <c r="K605">
        <f t="shared" si="39"/>
        <v>0</v>
      </c>
    </row>
    <row r="606" spans="5:11">
      <c r="E606" s="3">
        <f t="shared" si="36"/>
        <v>6</v>
      </c>
      <c r="G606" s="19" t="str">
        <f t="shared" si="37"/>
        <v/>
      </c>
      <c r="J606" s="28" t="e">
        <f t="shared" si="38"/>
        <v>#DIV/0!</v>
      </c>
      <c r="K606">
        <f t="shared" si="39"/>
        <v>0</v>
      </c>
    </row>
    <row r="607" spans="5:11">
      <c r="E607" s="3">
        <f t="shared" si="36"/>
        <v>6</v>
      </c>
      <c r="G607" s="19" t="str">
        <f t="shared" si="37"/>
        <v/>
      </c>
      <c r="J607" s="28" t="e">
        <f t="shared" si="38"/>
        <v>#DIV/0!</v>
      </c>
      <c r="K607">
        <f t="shared" si="39"/>
        <v>0</v>
      </c>
    </row>
    <row r="608" spans="5:11">
      <c r="E608" s="3">
        <f t="shared" si="36"/>
        <v>6</v>
      </c>
      <c r="G608" s="19" t="str">
        <f t="shared" si="37"/>
        <v/>
      </c>
      <c r="J608" s="28" t="e">
        <f t="shared" si="38"/>
        <v>#DIV/0!</v>
      </c>
      <c r="K608">
        <f t="shared" si="39"/>
        <v>0</v>
      </c>
    </row>
    <row r="609" spans="5:11">
      <c r="E609" s="3">
        <f t="shared" si="36"/>
        <v>6</v>
      </c>
      <c r="G609" s="19" t="str">
        <f t="shared" si="37"/>
        <v/>
      </c>
      <c r="H609">
        <f>SUM(A609:A615)</f>
        <v>0</v>
      </c>
      <c r="I609" s="28" t="e">
        <f>H609/H602-1</f>
        <v>#DIV/0!</v>
      </c>
      <c r="J609" s="28" t="e">
        <f t="shared" si="38"/>
        <v>#DIV/0!</v>
      </c>
      <c r="K609">
        <f t="shared" si="39"/>
        <v>0</v>
      </c>
    </row>
    <row r="610" spans="5:11">
      <c r="E610" s="3">
        <f t="shared" si="36"/>
        <v>6</v>
      </c>
      <c r="G610" s="19" t="str">
        <f t="shared" si="37"/>
        <v/>
      </c>
      <c r="J610" s="28" t="e">
        <f t="shared" si="38"/>
        <v>#DIV/0!</v>
      </c>
      <c r="K610">
        <f t="shared" si="39"/>
        <v>0</v>
      </c>
    </row>
    <row r="611" spans="5:11">
      <c r="E611" s="3">
        <f t="shared" si="36"/>
        <v>6</v>
      </c>
      <c r="G611" s="19" t="str">
        <f t="shared" si="37"/>
        <v/>
      </c>
      <c r="J611" s="28" t="e">
        <f t="shared" si="38"/>
        <v>#DIV/0!</v>
      </c>
      <c r="K611">
        <f t="shared" si="39"/>
        <v>0</v>
      </c>
    </row>
    <row r="612" spans="5:11">
      <c r="E612" s="3">
        <f t="shared" si="36"/>
        <v>6</v>
      </c>
      <c r="G612" s="19" t="str">
        <f t="shared" si="37"/>
        <v/>
      </c>
      <c r="J612" s="28" t="e">
        <f t="shared" si="38"/>
        <v>#DIV/0!</v>
      </c>
      <c r="K612">
        <f t="shared" si="39"/>
        <v>0</v>
      </c>
    </row>
    <row r="613" spans="5:11">
      <c r="E613" s="3">
        <f t="shared" si="36"/>
        <v>6</v>
      </c>
      <c r="G613" s="19" t="str">
        <f t="shared" si="37"/>
        <v/>
      </c>
      <c r="J613" s="28" t="e">
        <f t="shared" si="38"/>
        <v>#DIV/0!</v>
      </c>
      <c r="K613">
        <f t="shared" si="39"/>
        <v>0</v>
      </c>
    </row>
    <row r="614" spans="5:11">
      <c r="E614" s="3">
        <f t="shared" si="36"/>
        <v>6</v>
      </c>
      <c r="G614" s="19" t="str">
        <f t="shared" si="37"/>
        <v/>
      </c>
      <c r="J614" s="28" t="e">
        <f t="shared" si="38"/>
        <v>#DIV/0!</v>
      </c>
      <c r="K614">
        <f t="shared" si="39"/>
        <v>0</v>
      </c>
    </row>
    <row r="615" spans="5:11">
      <c r="E615" s="3">
        <f t="shared" si="36"/>
        <v>6</v>
      </c>
      <c r="G615" s="19" t="str">
        <f t="shared" si="37"/>
        <v/>
      </c>
      <c r="J615" s="28" t="e">
        <f t="shared" si="38"/>
        <v>#DIV/0!</v>
      </c>
      <c r="K615">
        <f t="shared" si="39"/>
        <v>0</v>
      </c>
    </row>
    <row r="616" spans="5:11">
      <c r="E616" s="3">
        <f t="shared" si="36"/>
        <v>6</v>
      </c>
      <c r="G616" s="19" t="str">
        <f t="shared" si="37"/>
        <v/>
      </c>
      <c r="H616">
        <f>SUM(A616:A622)</f>
        <v>0</v>
      </c>
      <c r="I616" s="28" t="e">
        <f>H616/H609-1</f>
        <v>#DIV/0!</v>
      </c>
      <c r="J616" s="28" t="e">
        <f t="shared" si="38"/>
        <v>#DIV/0!</v>
      </c>
      <c r="K616">
        <f t="shared" si="39"/>
        <v>0</v>
      </c>
    </row>
    <row r="617" spans="5:11">
      <c r="E617" s="3">
        <f t="shared" si="36"/>
        <v>6</v>
      </c>
      <c r="G617" s="19" t="str">
        <f t="shared" si="37"/>
        <v/>
      </c>
      <c r="J617" s="28" t="e">
        <f t="shared" si="38"/>
        <v>#DIV/0!</v>
      </c>
      <c r="K617">
        <f t="shared" si="39"/>
        <v>0</v>
      </c>
    </row>
    <row r="618" spans="5:11">
      <c r="E618" s="3">
        <f t="shared" si="36"/>
        <v>6</v>
      </c>
      <c r="G618" s="19" t="str">
        <f t="shared" si="37"/>
        <v/>
      </c>
      <c r="J618" s="28" t="e">
        <f t="shared" si="38"/>
        <v>#DIV/0!</v>
      </c>
      <c r="K618">
        <f t="shared" si="39"/>
        <v>0</v>
      </c>
    </row>
    <row r="619" spans="5:11">
      <c r="E619" s="3">
        <f t="shared" si="36"/>
        <v>6</v>
      </c>
      <c r="G619" s="19" t="str">
        <f t="shared" si="37"/>
        <v/>
      </c>
      <c r="J619" s="28" t="e">
        <f t="shared" si="38"/>
        <v>#DIV/0!</v>
      </c>
      <c r="K619">
        <f t="shared" si="39"/>
        <v>0</v>
      </c>
    </row>
    <row r="620" spans="5:11">
      <c r="E620" s="3">
        <f t="shared" si="36"/>
        <v>6</v>
      </c>
      <c r="G620" s="19" t="str">
        <f t="shared" si="37"/>
        <v/>
      </c>
      <c r="J620" s="28" t="e">
        <f t="shared" si="38"/>
        <v>#DIV/0!</v>
      </c>
      <c r="K620">
        <f t="shared" si="39"/>
        <v>0</v>
      </c>
    </row>
    <row r="621" spans="5:11">
      <c r="E621" s="3">
        <f t="shared" si="36"/>
        <v>6</v>
      </c>
      <c r="G621" s="19" t="str">
        <f t="shared" si="37"/>
        <v/>
      </c>
      <c r="J621" s="28" t="e">
        <f t="shared" si="38"/>
        <v>#DIV/0!</v>
      </c>
      <c r="K621">
        <f t="shared" si="39"/>
        <v>0</v>
      </c>
    </row>
    <row r="622" spans="5:11">
      <c r="E622" s="3">
        <f t="shared" si="36"/>
        <v>6</v>
      </c>
      <c r="G622" s="19" t="str">
        <f t="shared" si="37"/>
        <v/>
      </c>
      <c r="J622" s="28" t="e">
        <f t="shared" si="38"/>
        <v>#DIV/0!</v>
      </c>
      <c r="K622">
        <f t="shared" si="39"/>
        <v>0</v>
      </c>
    </row>
    <row r="623" spans="5:11">
      <c r="E623" s="3">
        <f t="shared" si="36"/>
        <v>6</v>
      </c>
      <c r="G623" s="19" t="str">
        <f t="shared" si="37"/>
        <v/>
      </c>
      <c r="H623">
        <f>SUM(A623:A629)</f>
        <v>0</v>
      </c>
      <c r="I623" s="28" t="e">
        <f>H623/H616-1</f>
        <v>#DIV/0!</v>
      </c>
      <c r="J623" s="28" t="e">
        <f t="shared" si="38"/>
        <v>#DIV/0!</v>
      </c>
      <c r="K623">
        <f t="shared" si="39"/>
        <v>0</v>
      </c>
    </row>
    <row r="624" spans="5:11">
      <c r="E624" s="3">
        <f t="shared" si="36"/>
        <v>6</v>
      </c>
      <c r="G624" s="19" t="str">
        <f t="shared" si="37"/>
        <v/>
      </c>
      <c r="J624" s="28" t="e">
        <f t="shared" si="38"/>
        <v>#DIV/0!</v>
      </c>
      <c r="K624">
        <f t="shared" si="39"/>
        <v>0</v>
      </c>
    </row>
    <row r="625" spans="5:11">
      <c r="E625" s="3">
        <f t="shared" si="36"/>
        <v>6</v>
      </c>
      <c r="G625" s="19" t="str">
        <f t="shared" si="37"/>
        <v/>
      </c>
      <c r="J625" s="28" t="e">
        <f t="shared" si="38"/>
        <v>#DIV/0!</v>
      </c>
      <c r="K625">
        <f t="shared" si="39"/>
        <v>0</v>
      </c>
    </row>
    <row r="626" spans="5:11">
      <c r="E626" s="3">
        <f t="shared" si="36"/>
        <v>6</v>
      </c>
      <c r="G626" s="19" t="str">
        <f t="shared" si="37"/>
        <v/>
      </c>
      <c r="J626" s="28" t="e">
        <f t="shared" si="38"/>
        <v>#DIV/0!</v>
      </c>
      <c r="K626">
        <f t="shared" si="39"/>
        <v>0</v>
      </c>
    </row>
    <row r="627" spans="5:11">
      <c r="E627" s="3">
        <f t="shared" si="36"/>
        <v>6</v>
      </c>
      <c r="G627" s="19" t="str">
        <f t="shared" si="37"/>
        <v/>
      </c>
      <c r="J627" s="28" t="e">
        <f t="shared" si="38"/>
        <v>#DIV/0!</v>
      </c>
      <c r="K627">
        <f t="shared" si="39"/>
        <v>0</v>
      </c>
    </row>
    <row r="628" spans="5:11">
      <c r="E628" s="3">
        <f t="shared" si="36"/>
        <v>6</v>
      </c>
      <c r="G628" s="19" t="str">
        <f t="shared" si="37"/>
        <v/>
      </c>
      <c r="J628" s="28" t="e">
        <f t="shared" si="38"/>
        <v>#DIV/0!</v>
      </c>
      <c r="K628">
        <f t="shared" si="39"/>
        <v>0</v>
      </c>
    </row>
    <row r="629" spans="5:11">
      <c r="E629" s="3">
        <f t="shared" si="36"/>
        <v>6</v>
      </c>
      <c r="G629" s="19" t="str">
        <f t="shared" si="37"/>
        <v/>
      </c>
      <c r="J629" s="28" t="e">
        <f t="shared" si="38"/>
        <v>#DIV/0!</v>
      </c>
      <c r="K629">
        <f t="shared" si="39"/>
        <v>0</v>
      </c>
    </row>
    <row r="630" spans="5:11">
      <c r="E630" s="3">
        <f t="shared" si="36"/>
        <v>6</v>
      </c>
      <c r="G630" s="19" t="str">
        <f t="shared" si="37"/>
        <v/>
      </c>
      <c r="H630">
        <f>SUM(A630:A636)</f>
        <v>0</v>
      </c>
      <c r="I630" s="28" t="e">
        <f>H630/H623-1</f>
        <v>#DIV/0!</v>
      </c>
      <c r="J630" s="28" t="e">
        <f t="shared" si="38"/>
        <v>#DIV/0!</v>
      </c>
      <c r="K630">
        <f t="shared" si="39"/>
        <v>0</v>
      </c>
    </row>
    <row r="631" spans="5:11">
      <c r="E631" s="3">
        <f t="shared" si="36"/>
        <v>6</v>
      </c>
      <c r="G631" s="19" t="str">
        <f t="shared" si="37"/>
        <v/>
      </c>
      <c r="J631" s="28" t="e">
        <f t="shared" si="38"/>
        <v>#DIV/0!</v>
      </c>
      <c r="K631">
        <f t="shared" si="39"/>
        <v>0</v>
      </c>
    </row>
    <row r="632" spans="5:11">
      <c r="E632" s="3">
        <f t="shared" si="36"/>
        <v>6</v>
      </c>
      <c r="G632" s="19" t="str">
        <f t="shared" si="37"/>
        <v/>
      </c>
      <c r="J632" s="28" t="e">
        <f t="shared" si="38"/>
        <v>#DIV/0!</v>
      </c>
      <c r="K632">
        <f t="shared" si="39"/>
        <v>0</v>
      </c>
    </row>
    <row r="633" spans="5:11">
      <c r="E633" s="3">
        <f t="shared" si="36"/>
        <v>6</v>
      </c>
      <c r="G633" s="19" t="str">
        <f t="shared" si="37"/>
        <v/>
      </c>
      <c r="J633" s="28" t="e">
        <f t="shared" si="38"/>
        <v>#DIV/0!</v>
      </c>
      <c r="K633">
        <f t="shared" si="39"/>
        <v>0</v>
      </c>
    </row>
    <row r="634" spans="5:11">
      <c r="E634" s="3">
        <f t="shared" si="36"/>
        <v>6</v>
      </c>
      <c r="G634" s="19" t="str">
        <f t="shared" si="37"/>
        <v/>
      </c>
      <c r="J634" s="28" t="e">
        <f t="shared" si="38"/>
        <v>#DIV/0!</v>
      </c>
      <c r="K634">
        <f t="shared" si="39"/>
        <v>0</v>
      </c>
    </row>
    <row r="635" spans="5:11">
      <c r="E635" s="3">
        <f t="shared" si="36"/>
        <v>6</v>
      </c>
      <c r="G635" s="19" t="str">
        <f t="shared" si="37"/>
        <v/>
      </c>
      <c r="J635" s="28" t="e">
        <f t="shared" si="38"/>
        <v>#DIV/0!</v>
      </c>
      <c r="K635">
        <f t="shared" si="39"/>
        <v>0</v>
      </c>
    </row>
    <row r="636" spans="5:11">
      <c r="E636" s="3">
        <f t="shared" si="36"/>
        <v>6</v>
      </c>
      <c r="G636" s="19" t="str">
        <f t="shared" si="37"/>
        <v/>
      </c>
      <c r="J636" s="28" t="e">
        <f t="shared" si="38"/>
        <v>#DIV/0!</v>
      </c>
      <c r="K636">
        <f t="shared" si="39"/>
        <v>0</v>
      </c>
    </row>
    <row r="637" spans="5:11">
      <c r="E637" s="3">
        <f t="shared" si="36"/>
        <v>6</v>
      </c>
      <c r="G637" s="19" t="str">
        <f t="shared" si="37"/>
        <v/>
      </c>
      <c r="H637">
        <f>SUM(A637:A643)</f>
        <v>0</v>
      </c>
      <c r="I637" s="28" t="e">
        <f>H637/H630-1</f>
        <v>#DIV/0!</v>
      </c>
      <c r="J637" s="28" t="e">
        <f t="shared" si="38"/>
        <v>#DIV/0!</v>
      </c>
      <c r="K637">
        <f t="shared" si="39"/>
        <v>0</v>
      </c>
    </row>
    <row r="638" spans="5:11">
      <c r="E638" s="3">
        <f t="shared" si="36"/>
        <v>6</v>
      </c>
      <c r="G638" s="19" t="str">
        <f t="shared" si="37"/>
        <v/>
      </c>
      <c r="J638" s="28" t="e">
        <f t="shared" si="38"/>
        <v>#DIV/0!</v>
      </c>
      <c r="K638">
        <f t="shared" si="39"/>
        <v>0</v>
      </c>
    </row>
    <row r="639" spans="5:11">
      <c r="E639" s="3">
        <f t="shared" ref="E639:E702" si="40">WEEKDAY(F639,2)</f>
        <v>6</v>
      </c>
      <c r="G639" s="19" t="str">
        <f t="shared" si="37"/>
        <v/>
      </c>
      <c r="J639" s="28" t="e">
        <f t="shared" si="38"/>
        <v>#DIV/0!</v>
      </c>
      <c r="K639">
        <f t="shared" si="39"/>
        <v>0</v>
      </c>
    </row>
    <row r="640" spans="5:11">
      <c r="E640" s="3">
        <f t="shared" si="40"/>
        <v>6</v>
      </c>
      <c r="G640" s="19" t="str">
        <f t="shared" si="37"/>
        <v/>
      </c>
      <c r="J640" s="28" t="e">
        <f t="shared" si="38"/>
        <v>#DIV/0!</v>
      </c>
      <c r="K640">
        <f t="shared" si="39"/>
        <v>0</v>
      </c>
    </row>
    <row r="641" spans="5:11">
      <c r="E641" s="3">
        <f t="shared" si="40"/>
        <v>6</v>
      </c>
      <c r="G641" s="19" t="str">
        <f t="shared" si="37"/>
        <v/>
      </c>
      <c r="J641" s="28" t="e">
        <f t="shared" si="38"/>
        <v>#DIV/0!</v>
      </c>
      <c r="K641">
        <f t="shared" si="39"/>
        <v>0</v>
      </c>
    </row>
    <row r="642" spans="5:11">
      <c r="E642" s="3">
        <f t="shared" si="40"/>
        <v>6</v>
      </c>
      <c r="G642" s="19" t="str">
        <f t="shared" si="37"/>
        <v/>
      </c>
      <c r="K642">
        <f t="shared" si="39"/>
        <v>0</v>
      </c>
    </row>
    <row r="643" spans="5:11">
      <c r="E643" s="3">
        <f t="shared" si="40"/>
        <v>6</v>
      </c>
      <c r="G643" s="19" t="str">
        <f t="shared" ref="G643:G706" si="41">IF(WEEKDAY(F643,2)=1,YEAR(F643)&amp;"-W"&amp;TEXT(WEEKNUM(F643,14),"00"),"")</f>
        <v/>
      </c>
      <c r="K643">
        <f t="shared" si="39"/>
        <v>0</v>
      </c>
    </row>
    <row r="644" spans="5:11">
      <c r="E644" s="3">
        <f t="shared" si="40"/>
        <v>6</v>
      </c>
      <c r="G644" s="19" t="str">
        <f t="shared" si="41"/>
        <v/>
      </c>
      <c r="H644">
        <f>SUM(A644:A650)</f>
        <v>0</v>
      </c>
      <c r="I644" s="28" t="e">
        <f>H644/H637-1</f>
        <v>#DIV/0!</v>
      </c>
      <c r="J644" s="28" t="e">
        <f>A644/A637-1</f>
        <v>#DIV/0!</v>
      </c>
      <c r="K644">
        <f t="shared" si="39"/>
        <v>0</v>
      </c>
    </row>
    <row r="645" spans="5:11">
      <c r="E645" s="3">
        <f t="shared" si="40"/>
        <v>6</v>
      </c>
      <c r="G645" s="19" t="str">
        <f t="shared" si="41"/>
        <v/>
      </c>
      <c r="K645">
        <f t="shared" si="39"/>
        <v>0</v>
      </c>
    </row>
    <row r="646" spans="5:11">
      <c r="E646" s="3">
        <f t="shared" si="40"/>
        <v>6</v>
      </c>
      <c r="G646" s="19" t="str">
        <f t="shared" si="41"/>
        <v/>
      </c>
      <c r="K646">
        <f t="shared" si="39"/>
        <v>0</v>
      </c>
    </row>
    <row r="647" spans="5:11">
      <c r="E647" s="3">
        <f t="shared" si="40"/>
        <v>6</v>
      </c>
      <c r="G647" s="19" t="str">
        <f t="shared" si="41"/>
        <v/>
      </c>
      <c r="K647">
        <f t="shared" si="39"/>
        <v>0</v>
      </c>
    </row>
    <row r="648" spans="5:11">
      <c r="E648" s="3">
        <f t="shared" si="40"/>
        <v>6</v>
      </c>
      <c r="G648" s="19" t="str">
        <f t="shared" si="41"/>
        <v/>
      </c>
      <c r="K648">
        <f t="shared" si="39"/>
        <v>0</v>
      </c>
    </row>
    <row r="649" spans="5:11">
      <c r="E649" s="3">
        <f t="shared" si="40"/>
        <v>6</v>
      </c>
      <c r="G649" s="19" t="str">
        <f t="shared" si="41"/>
        <v/>
      </c>
      <c r="K649">
        <f t="shared" si="39"/>
        <v>0</v>
      </c>
    </row>
    <row r="650" spans="5:11">
      <c r="E650" s="3">
        <f t="shared" si="40"/>
        <v>6</v>
      </c>
      <c r="G650" s="19" t="str">
        <f t="shared" si="41"/>
        <v/>
      </c>
      <c r="K650">
        <f t="shared" si="39"/>
        <v>0</v>
      </c>
    </row>
    <row r="651" spans="5:11">
      <c r="E651" s="3">
        <f t="shared" si="40"/>
        <v>6</v>
      </c>
      <c r="G651" s="19" t="str">
        <f t="shared" si="41"/>
        <v/>
      </c>
      <c r="H651">
        <f>SUM(A651:A657)</f>
        <v>0</v>
      </c>
      <c r="I651" s="28" t="e">
        <f>H651/H644-1</f>
        <v>#DIV/0!</v>
      </c>
      <c r="J651" s="28" t="e">
        <f>A651/A644-1</f>
        <v>#DIV/0!</v>
      </c>
      <c r="K651">
        <f t="shared" si="39"/>
        <v>0</v>
      </c>
    </row>
    <row r="652" spans="5:11">
      <c r="E652" s="3">
        <f t="shared" si="40"/>
        <v>6</v>
      </c>
      <c r="G652" s="19" t="str">
        <f t="shared" si="41"/>
        <v/>
      </c>
      <c r="K652">
        <f t="shared" si="39"/>
        <v>0</v>
      </c>
    </row>
    <row r="653" spans="5:11">
      <c r="E653" s="3">
        <f t="shared" si="40"/>
        <v>6</v>
      </c>
      <c r="G653" s="19" t="str">
        <f t="shared" si="41"/>
        <v/>
      </c>
      <c r="K653">
        <f t="shared" si="39"/>
        <v>0</v>
      </c>
    </row>
    <row r="654" spans="5:11">
      <c r="E654" s="3">
        <f t="shared" si="40"/>
        <v>6</v>
      </c>
      <c r="G654" s="19" t="str">
        <f t="shared" si="41"/>
        <v/>
      </c>
      <c r="K654">
        <f t="shared" si="39"/>
        <v>0</v>
      </c>
    </row>
    <row r="655" spans="5:11">
      <c r="E655" s="3">
        <f t="shared" si="40"/>
        <v>6</v>
      </c>
      <c r="G655" s="19" t="str">
        <f t="shared" si="41"/>
        <v/>
      </c>
      <c r="K655">
        <f t="shared" si="39"/>
        <v>0</v>
      </c>
    </row>
    <row r="656" spans="5:11">
      <c r="E656" s="3">
        <f t="shared" si="40"/>
        <v>6</v>
      </c>
      <c r="G656" s="19" t="str">
        <f t="shared" si="41"/>
        <v/>
      </c>
      <c r="K656">
        <f t="shared" si="39"/>
        <v>0</v>
      </c>
    </row>
    <row r="657" spans="5:11">
      <c r="E657" s="3">
        <f t="shared" si="40"/>
        <v>6</v>
      </c>
      <c r="G657" s="19" t="str">
        <f t="shared" si="41"/>
        <v/>
      </c>
      <c r="K657">
        <f t="shared" si="39"/>
        <v>0</v>
      </c>
    </row>
    <row r="658" spans="5:11">
      <c r="E658" s="3">
        <f t="shared" si="40"/>
        <v>6</v>
      </c>
      <c r="G658" s="19" t="str">
        <f t="shared" si="41"/>
        <v/>
      </c>
      <c r="H658">
        <f>SUM(A658:A664)</f>
        <v>0</v>
      </c>
      <c r="I658" s="28" t="e">
        <f>H658/H651-1</f>
        <v>#DIV/0!</v>
      </c>
      <c r="J658" s="28" t="e">
        <f>A658/A651-1</f>
        <v>#DIV/0!</v>
      </c>
      <c r="K658">
        <f t="shared" si="39"/>
        <v>0</v>
      </c>
    </row>
    <row r="659" spans="5:11">
      <c r="E659" s="3">
        <f t="shared" si="40"/>
        <v>6</v>
      </c>
      <c r="G659" s="19" t="str">
        <f t="shared" si="41"/>
        <v/>
      </c>
      <c r="K659">
        <f t="shared" si="39"/>
        <v>0</v>
      </c>
    </row>
    <row r="660" spans="5:11">
      <c r="E660" s="3">
        <f t="shared" si="40"/>
        <v>6</v>
      </c>
      <c r="G660" s="19" t="str">
        <f t="shared" si="41"/>
        <v/>
      </c>
      <c r="K660">
        <f t="shared" si="39"/>
        <v>0</v>
      </c>
    </row>
    <row r="661" spans="5:11">
      <c r="E661" s="3">
        <f t="shared" si="40"/>
        <v>6</v>
      </c>
      <c r="G661" s="19" t="str">
        <f t="shared" si="41"/>
        <v/>
      </c>
      <c r="K661">
        <f t="shared" ref="K661:K724" si="42">SUM(A655:A661)</f>
        <v>0</v>
      </c>
    </row>
    <row r="662" spans="5:11">
      <c r="E662" s="3">
        <f t="shared" si="40"/>
        <v>6</v>
      </c>
      <c r="G662" s="19" t="str">
        <f t="shared" si="41"/>
        <v/>
      </c>
      <c r="K662">
        <f t="shared" si="42"/>
        <v>0</v>
      </c>
    </row>
    <row r="663" spans="5:11">
      <c r="E663" s="3">
        <f t="shared" si="40"/>
        <v>6</v>
      </c>
      <c r="G663" s="19" t="str">
        <f t="shared" si="41"/>
        <v/>
      </c>
      <c r="K663">
        <f t="shared" si="42"/>
        <v>0</v>
      </c>
    </row>
    <row r="664" spans="5:11">
      <c r="E664" s="3">
        <f t="shared" si="40"/>
        <v>6</v>
      </c>
      <c r="G664" s="19" t="str">
        <f t="shared" si="41"/>
        <v/>
      </c>
      <c r="K664">
        <f t="shared" si="42"/>
        <v>0</v>
      </c>
    </row>
    <row r="665" spans="5:11">
      <c r="E665" s="3">
        <f t="shared" si="40"/>
        <v>6</v>
      </c>
      <c r="G665" s="19" t="str">
        <f t="shared" si="41"/>
        <v/>
      </c>
      <c r="H665">
        <f>SUM(A665:A671)</f>
        <v>0</v>
      </c>
      <c r="I665" s="28" t="e">
        <f>H665/H658-1</f>
        <v>#DIV/0!</v>
      </c>
      <c r="J665" s="28" t="e">
        <f>A665/A658-1</f>
        <v>#DIV/0!</v>
      </c>
      <c r="K665">
        <f t="shared" si="42"/>
        <v>0</v>
      </c>
    </row>
    <row r="666" spans="5:11">
      <c r="E666" s="3">
        <f t="shared" si="40"/>
        <v>6</v>
      </c>
      <c r="G666" s="19" t="str">
        <f t="shared" si="41"/>
        <v/>
      </c>
      <c r="K666">
        <f t="shared" si="42"/>
        <v>0</v>
      </c>
    </row>
    <row r="667" spans="5:11">
      <c r="E667" s="3">
        <f t="shared" si="40"/>
        <v>6</v>
      </c>
      <c r="G667" s="19" t="str">
        <f t="shared" si="41"/>
        <v/>
      </c>
      <c r="K667">
        <f t="shared" si="42"/>
        <v>0</v>
      </c>
    </row>
    <row r="668" spans="5:11">
      <c r="E668" s="3">
        <f t="shared" si="40"/>
        <v>6</v>
      </c>
      <c r="G668" s="19" t="str">
        <f t="shared" si="41"/>
        <v/>
      </c>
      <c r="K668">
        <f t="shared" si="42"/>
        <v>0</v>
      </c>
    </row>
    <row r="669" spans="5:11">
      <c r="E669" s="3">
        <f t="shared" si="40"/>
        <v>6</v>
      </c>
      <c r="G669" s="19" t="str">
        <f t="shared" si="41"/>
        <v/>
      </c>
      <c r="K669">
        <f t="shared" si="42"/>
        <v>0</v>
      </c>
    </row>
    <row r="670" spans="5:11">
      <c r="E670" s="3">
        <f t="shared" si="40"/>
        <v>6</v>
      </c>
      <c r="G670" s="19" t="str">
        <f t="shared" si="41"/>
        <v/>
      </c>
      <c r="K670">
        <f t="shared" si="42"/>
        <v>0</v>
      </c>
    </row>
    <row r="671" spans="5:11">
      <c r="E671" s="3">
        <f t="shared" si="40"/>
        <v>6</v>
      </c>
      <c r="G671" s="19" t="str">
        <f t="shared" si="41"/>
        <v/>
      </c>
      <c r="K671">
        <f t="shared" si="42"/>
        <v>0</v>
      </c>
    </row>
    <row r="672" spans="5:11">
      <c r="E672" s="3">
        <f t="shared" si="40"/>
        <v>6</v>
      </c>
      <c r="G672" s="19" t="str">
        <f t="shared" si="41"/>
        <v/>
      </c>
      <c r="H672">
        <f>SUM(A672:A678)</f>
        <v>0</v>
      </c>
      <c r="I672" s="28" t="e">
        <f>H672/H665-1</f>
        <v>#DIV/0!</v>
      </c>
      <c r="J672" s="28" t="e">
        <f>A672/A665-1</f>
        <v>#DIV/0!</v>
      </c>
      <c r="K672">
        <f t="shared" si="42"/>
        <v>0</v>
      </c>
    </row>
    <row r="673" spans="5:11">
      <c r="E673" s="3">
        <f t="shared" si="40"/>
        <v>6</v>
      </c>
      <c r="G673" s="19" t="str">
        <f t="shared" si="41"/>
        <v/>
      </c>
      <c r="K673">
        <f t="shared" si="42"/>
        <v>0</v>
      </c>
    </row>
    <row r="674" spans="5:11">
      <c r="E674" s="3">
        <f t="shared" si="40"/>
        <v>6</v>
      </c>
      <c r="G674" s="19" t="str">
        <f t="shared" si="41"/>
        <v/>
      </c>
      <c r="K674">
        <f t="shared" si="42"/>
        <v>0</v>
      </c>
    </row>
    <row r="675" spans="5:11">
      <c r="E675" s="3">
        <f t="shared" si="40"/>
        <v>6</v>
      </c>
      <c r="G675" s="19" t="str">
        <f t="shared" si="41"/>
        <v/>
      </c>
      <c r="K675">
        <f t="shared" si="42"/>
        <v>0</v>
      </c>
    </row>
    <row r="676" spans="5:11">
      <c r="E676" s="3">
        <f t="shared" si="40"/>
        <v>6</v>
      </c>
      <c r="G676" s="19" t="str">
        <f t="shared" si="41"/>
        <v/>
      </c>
      <c r="K676">
        <f t="shared" si="42"/>
        <v>0</v>
      </c>
    </row>
    <row r="677" spans="5:11">
      <c r="E677" s="3">
        <f t="shared" si="40"/>
        <v>6</v>
      </c>
      <c r="G677" s="19" t="str">
        <f t="shared" si="41"/>
        <v/>
      </c>
      <c r="K677">
        <f t="shared" si="42"/>
        <v>0</v>
      </c>
    </row>
    <row r="678" spans="5:11">
      <c r="E678" s="3">
        <f t="shared" si="40"/>
        <v>6</v>
      </c>
      <c r="G678" s="19" t="str">
        <f t="shared" si="41"/>
        <v/>
      </c>
      <c r="K678">
        <f t="shared" si="42"/>
        <v>0</v>
      </c>
    </row>
    <row r="679" spans="5:11">
      <c r="E679" s="3">
        <f t="shared" si="40"/>
        <v>6</v>
      </c>
      <c r="G679" s="19" t="str">
        <f t="shared" si="41"/>
        <v/>
      </c>
      <c r="H679">
        <f>SUM(A679:A685)</f>
        <v>0</v>
      </c>
      <c r="I679" s="28" t="e">
        <f>H679/H672-1</f>
        <v>#DIV/0!</v>
      </c>
      <c r="J679" s="28" t="e">
        <f>A679/A672-1</f>
        <v>#DIV/0!</v>
      </c>
      <c r="K679">
        <f t="shared" si="42"/>
        <v>0</v>
      </c>
    </row>
    <row r="680" spans="5:11">
      <c r="E680" s="3">
        <f t="shared" si="40"/>
        <v>6</v>
      </c>
      <c r="G680" s="19" t="str">
        <f t="shared" si="41"/>
        <v/>
      </c>
      <c r="K680">
        <f t="shared" si="42"/>
        <v>0</v>
      </c>
    </row>
    <row r="681" spans="5:11">
      <c r="E681" s="3">
        <f t="shared" si="40"/>
        <v>6</v>
      </c>
      <c r="G681" s="19" t="str">
        <f t="shared" si="41"/>
        <v/>
      </c>
      <c r="K681">
        <f t="shared" si="42"/>
        <v>0</v>
      </c>
    </row>
    <row r="682" spans="5:11">
      <c r="E682" s="3">
        <f t="shared" si="40"/>
        <v>6</v>
      </c>
      <c r="G682" s="19" t="str">
        <f t="shared" si="41"/>
        <v/>
      </c>
      <c r="K682">
        <f t="shared" si="42"/>
        <v>0</v>
      </c>
    </row>
    <row r="683" spans="5:11">
      <c r="E683" s="3">
        <f t="shared" si="40"/>
        <v>6</v>
      </c>
      <c r="G683" s="19" t="str">
        <f t="shared" si="41"/>
        <v/>
      </c>
      <c r="K683">
        <f t="shared" si="42"/>
        <v>0</v>
      </c>
    </row>
    <row r="684" spans="5:11">
      <c r="E684" s="3">
        <f t="shared" si="40"/>
        <v>6</v>
      </c>
      <c r="G684" s="19" t="str">
        <f t="shared" si="41"/>
        <v/>
      </c>
      <c r="K684">
        <f t="shared" si="42"/>
        <v>0</v>
      </c>
    </row>
    <row r="685" spans="5:11">
      <c r="E685" s="3">
        <f t="shared" si="40"/>
        <v>6</v>
      </c>
      <c r="G685" s="19" t="str">
        <f t="shared" si="41"/>
        <v/>
      </c>
      <c r="K685">
        <f t="shared" si="42"/>
        <v>0</v>
      </c>
    </row>
    <row r="686" spans="5:11">
      <c r="E686" s="3">
        <f t="shared" si="40"/>
        <v>6</v>
      </c>
      <c r="G686" s="19" t="str">
        <f t="shared" si="41"/>
        <v/>
      </c>
      <c r="H686">
        <f>SUM(A686:A692)</f>
        <v>0</v>
      </c>
      <c r="I686" s="28" t="e">
        <f>H686/H679-1</f>
        <v>#DIV/0!</v>
      </c>
      <c r="J686" s="28" t="e">
        <f>A686/A679-1</f>
        <v>#DIV/0!</v>
      </c>
      <c r="K686">
        <f t="shared" si="42"/>
        <v>0</v>
      </c>
    </row>
    <row r="687" spans="5:11">
      <c r="E687" s="3">
        <f t="shared" si="40"/>
        <v>6</v>
      </c>
      <c r="G687" s="19" t="str">
        <f t="shared" si="41"/>
        <v/>
      </c>
      <c r="K687">
        <f t="shared" si="42"/>
        <v>0</v>
      </c>
    </row>
    <row r="688" spans="5:11">
      <c r="E688" s="3">
        <f t="shared" si="40"/>
        <v>6</v>
      </c>
      <c r="G688" s="19" t="str">
        <f t="shared" si="41"/>
        <v/>
      </c>
      <c r="K688">
        <f t="shared" si="42"/>
        <v>0</v>
      </c>
    </row>
    <row r="689" spans="5:11">
      <c r="E689" s="3">
        <f t="shared" si="40"/>
        <v>6</v>
      </c>
      <c r="G689" s="19" t="str">
        <f t="shared" si="41"/>
        <v/>
      </c>
      <c r="K689">
        <f t="shared" si="42"/>
        <v>0</v>
      </c>
    </row>
    <row r="690" spans="5:11">
      <c r="E690" s="3">
        <f t="shared" si="40"/>
        <v>6</v>
      </c>
      <c r="G690" s="19" t="str">
        <f t="shared" si="41"/>
        <v/>
      </c>
      <c r="K690">
        <f t="shared" si="42"/>
        <v>0</v>
      </c>
    </row>
    <row r="691" spans="5:11">
      <c r="E691" s="3">
        <f t="shared" si="40"/>
        <v>6</v>
      </c>
      <c r="G691" s="19" t="str">
        <f t="shared" si="41"/>
        <v/>
      </c>
      <c r="K691">
        <f t="shared" si="42"/>
        <v>0</v>
      </c>
    </row>
    <row r="692" spans="5:11">
      <c r="E692" s="3">
        <f t="shared" si="40"/>
        <v>6</v>
      </c>
      <c r="G692" s="19" t="str">
        <f t="shared" si="41"/>
        <v/>
      </c>
      <c r="K692">
        <f t="shared" si="42"/>
        <v>0</v>
      </c>
    </row>
    <row r="693" spans="5:11">
      <c r="E693" s="3">
        <f t="shared" si="40"/>
        <v>6</v>
      </c>
      <c r="G693" s="19" t="str">
        <f t="shared" si="41"/>
        <v/>
      </c>
      <c r="H693">
        <f>SUM(A693:A699)</f>
        <v>0</v>
      </c>
      <c r="I693" s="28" t="e">
        <f>H693/H686-1</f>
        <v>#DIV/0!</v>
      </c>
      <c r="J693" s="28" t="e">
        <f>A693/A686-1</f>
        <v>#DIV/0!</v>
      </c>
      <c r="K693">
        <f t="shared" si="42"/>
        <v>0</v>
      </c>
    </row>
    <row r="694" spans="5:11">
      <c r="E694" s="3">
        <f t="shared" si="40"/>
        <v>6</v>
      </c>
      <c r="G694" s="19" t="str">
        <f t="shared" si="41"/>
        <v/>
      </c>
      <c r="K694">
        <f t="shared" si="42"/>
        <v>0</v>
      </c>
    </row>
    <row r="695" spans="5:11">
      <c r="E695" s="3">
        <f t="shared" si="40"/>
        <v>6</v>
      </c>
      <c r="G695" s="19" t="str">
        <f t="shared" si="41"/>
        <v/>
      </c>
      <c r="K695">
        <f t="shared" si="42"/>
        <v>0</v>
      </c>
    </row>
    <row r="696" spans="5:11">
      <c r="E696" s="3">
        <f t="shared" si="40"/>
        <v>6</v>
      </c>
      <c r="G696" s="19" t="str">
        <f t="shared" si="41"/>
        <v/>
      </c>
      <c r="K696">
        <f t="shared" si="42"/>
        <v>0</v>
      </c>
    </row>
    <row r="697" spans="5:11">
      <c r="E697" s="3">
        <f t="shared" si="40"/>
        <v>6</v>
      </c>
      <c r="G697" s="19" t="str">
        <f t="shared" si="41"/>
        <v/>
      </c>
      <c r="K697">
        <f t="shared" si="42"/>
        <v>0</v>
      </c>
    </row>
    <row r="698" spans="5:11">
      <c r="E698" s="3">
        <f t="shared" si="40"/>
        <v>6</v>
      </c>
      <c r="G698" s="19" t="str">
        <f t="shared" si="41"/>
        <v/>
      </c>
      <c r="K698">
        <f t="shared" si="42"/>
        <v>0</v>
      </c>
    </row>
    <row r="699" spans="5:11">
      <c r="E699" s="3">
        <f t="shared" si="40"/>
        <v>6</v>
      </c>
      <c r="G699" s="19" t="str">
        <f t="shared" si="41"/>
        <v/>
      </c>
      <c r="K699">
        <f t="shared" si="42"/>
        <v>0</v>
      </c>
    </row>
    <row r="700" spans="5:11">
      <c r="E700" s="3">
        <f t="shared" si="40"/>
        <v>6</v>
      </c>
      <c r="G700" s="19" t="str">
        <f t="shared" si="41"/>
        <v/>
      </c>
      <c r="H700">
        <f>SUM(A700:A706)</f>
        <v>0</v>
      </c>
      <c r="I700" s="28" t="e">
        <f>H700/H693-1</f>
        <v>#DIV/0!</v>
      </c>
      <c r="J700" s="28" t="e">
        <f>A700/A693-1</f>
        <v>#DIV/0!</v>
      </c>
      <c r="K700">
        <f t="shared" si="42"/>
        <v>0</v>
      </c>
    </row>
    <row r="701" spans="5:11">
      <c r="E701" s="3">
        <f t="shared" si="40"/>
        <v>6</v>
      </c>
      <c r="G701" s="19" t="str">
        <f t="shared" si="41"/>
        <v/>
      </c>
      <c r="K701">
        <f t="shared" si="42"/>
        <v>0</v>
      </c>
    </row>
    <row r="702" spans="5:11">
      <c r="E702" s="3">
        <f t="shared" si="40"/>
        <v>6</v>
      </c>
      <c r="G702" s="19" t="str">
        <f t="shared" si="41"/>
        <v/>
      </c>
      <c r="K702">
        <f t="shared" si="42"/>
        <v>0</v>
      </c>
    </row>
    <row r="703" spans="5:11">
      <c r="E703" s="3">
        <f t="shared" ref="E703:E766" si="43">WEEKDAY(F703,2)</f>
        <v>6</v>
      </c>
      <c r="G703" s="19" t="str">
        <f t="shared" si="41"/>
        <v/>
      </c>
      <c r="K703">
        <f t="shared" si="42"/>
        <v>0</v>
      </c>
    </row>
    <row r="704" spans="5:11">
      <c r="E704" s="3">
        <f t="shared" si="43"/>
        <v>6</v>
      </c>
      <c r="G704" s="19" t="str">
        <f t="shared" si="41"/>
        <v/>
      </c>
      <c r="K704">
        <f t="shared" si="42"/>
        <v>0</v>
      </c>
    </row>
    <row r="705" spans="5:11">
      <c r="E705" s="3">
        <f t="shared" si="43"/>
        <v>6</v>
      </c>
      <c r="G705" s="19" t="str">
        <f t="shared" si="41"/>
        <v/>
      </c>
      <c r="K705">
        <f t="shared" si="42"/>
        <v>0</v>
      </c>
    </row>
    <row r="706" spans="5:11">
      <c r="E706" s="3">
        <f t="shared" si="43"/>
        <v>6</v>
      </c>
      <c r="G706" s="19" t="str">
        <f t="shared" si="41"/>
        <v/>
      </c>
      <c r="K706">
        <f t="shared" si="42"/>
        <v>0</v>
      </c>
    </row>
    <row r="707" spans="5:11">
      <c r="E707" s="3">
        <f t="shared" si="43"/>
        <v>6</v>
      </c>
      <c r="G707" s="19" t="str">
        <f t="shared" ref="G707:G770" si="44">IF(WEEKDAY(F707,2)=1,YEAR(F707)&amp;"-W"&amp;TEXT(WEEKNUM(F707,14),"00"),"")</f>
        <v/>
      </c>
      <c r="H707">
        <f>SUM(A707:A713)</f>
        <v>0</v>
      </c>
      <c r="I707" s="28" t="e">
        <f>H707/H700-1</f>
        <v>#DIV/0!</v>
      </c>
      <c r="J707" s="28" t="e">
        <f>A707/A700-1</f>
        <v>#DIV/0!</v>
      </c>
      <c r="K707">
        <f t="shared" si="42"/>
        <v>0</v>
      </c>
    </row>
    <row r="708" spans="5:11">
      <c r="E708" s="3">
        <f t="shared" si="43"/>
        <v>6</v>
      </c>
      <c r="G708" s="19" t="str">
        <f t="shared" si="44"/>
        <v/>
      </c>
      <c r="K708">
        <f t="shared" si="42"/>
        <v>0</v>
      </c>
    </row>
    <row r="709" spans="5:11">
      <c r="E709" s="3">
        <f t="shared" si="43"/>
        <v>6</v>
      </c>
      <c r="G709" s="19" t="str">
        <f t="shared" si="44"/>
        <v/>
      </c>
      <c r="K709">
        <f t="shared" si="42"/>
        <v>0</v>
      </c>
    </row>
    <row r="710" spans="5:11">
      <c r="E710" s="3">
        <f t="shared" si="43"/>
        <v>6</v>
      </c>
      <c r="G710" s="19" t="str">
        <f t="shared" si="44"/>
        <v/>
      </c>
      <c r="K710">
        <f t="shared" si="42"/>
        <v>0</v>
      </c>
    </row>
    <row r="711" spans="5:11">
      <c r="E711" s="3">
        <f t="shared" si="43"/>
        <v>6</v>
      </c>
      <c r="G711" s="19" t="str">
        <f t="shared" si="44"/>
        <v/>
      </c>
      <c r="K711">
        <f t="shared" si="42"/>
        <v>0</v>
      </c>
    </row>
    <row r="712" spans="5:11">
      <c r="E712" s="3">
        <f t="shared" si="43"/>
        <v>6</v>
      </c>
      <c r="G712" s="19" t="str">
        <f t="shared" si="44"/>
        <v/>
      </c>
      <c r="K712">
        <f t="shared" si="42"/>
        <v>0</v>
      </c>
    </row>
    <row r="713" spans="5:11">
      <c r="E713" s="3">
        <f t="shared" si="43"/>
        <v>6</v>
      </c>
      <c r="G713" s="19" t="str">
        <f t="shared" si="44"/>
        <v/>
      </c>
      <c r="K713">
        <f t="shared" si="42"/>
        <v>0</v>
      </c>
    </row>
    <row r="714" spans="5:11">
      <c r="E714" s="3">
        <f t="shared" si="43"/>
        <v>6</v>
      </c>
      <c r="G714" s="19" t="str">
        <f t="shared" si="44"/>
        <v/>
      </c>
      <c r="H714">
        <f>SUM(A714:A720)</f>
        <v>0</v>
      </c>
      <c r="I714" s="28" t="e">
        <f>H714/H707-1</f>
        <v>#DIV/0!</v>
      </c>
      <c r="J714" s="28" t="e">
        <f>A714/A707-1</f>
        <v>#DIV/0!</v>
      </c>
      <c r="K714">
        <f t="shared" si="42"/>
        <v>0</v>
      </c>
    </row>
    <row r="715" spans="5:11">
      <c r="E715" s="3">
        <f t="shared" si="43"/>
        <v>6</v>
      </c>
      <c r="G715" s="19" t="str">
        <f t="shared" si="44"/>
        <v/>
      </c>
      <c r="K715">
        <f t="shared" si="42"/>
        <v>0</v>
      </c>
    </row>
    <row r="716" spans="5:11">
      <c r="E716" s="3">
        <f t="shared" si="43"/>
        <v>6</v>
      </c>
      <c r="G716" s="19" t="str">
        <f t="shared" si="44"/>
        <v/>
      </c>
      <c r="K716">
        <f t="shared" si="42"/>
        <v>0</v>
      </c>
    </row>
    <row r="717" spans="5:11">
      <c r="E717" s="3">
        <f t="shared" si="43"/>
        <v>6</v>
      </c>
      <c r="G717" s="19" t="str">
        <f t="shared" si="44"/>
        <v/>
      </c>
      <c r="K717">
        <f t="shared" si="42"/>
        <v>0</v>
      </c>
    </row>
    <row r="718" spans="5:11">
      <c r="E718" s="3">
        <f t="shared" si="43"/>
        <v>6</v>
      </c>
      <c r="G718" s="19" t="str">
        <f t="shared" si="44"/>
        <v/>
      </c>
      <c r="K718">
        <f t="shared" si="42"/>
        <v>0</v>
      </c>
    </row>
    <row r="719" spans="5:11">
      <c r="E719" s="3">
        <f t="shared" si="43"/>
        <v>6</v>
      </c>
      <c r="G719" s="19" t="str">
        <f t="shared" si="44"/>
        <v/>
      </c>
      <c r="K719">
        <f t="shared" si="42"/>
        <v>0</v>
      </c>
    </row>
    <row r="720" spans="5:11">
      <c r="E720" s="3">
        <f t="shared" si="43"/>
        <v>6</v>
      </c>
      <c r="G720" s="19" t="str">
        <f t="shared" si="44"/>
        <v/>
      </c>
      <c r="K720">
        <f t="shared" si="42"/>
        <v>0</v>
      </c>
    </row>
    <row r="721" spans="5:11">
      <c r="E721" s="3">
        <f t="shared" si="43"/>
        <v>6</v>
      </c>
      <c r="G721" s="19" t="str">
        <f t="shared" si="44"/>
        <v/>
      </c>
      <c r="H721">
        <f>SUM(A721:A727)</f>
        <v>0</v>
      </c>
      <c r="I721" s="28" t="e">
        <f>H721/H714-1</f>
        <v>#DIV/0!</v>
      </c>
      <c r="J721" s="28" t="e">
        <f>A721/A714-1</f>
        <v>#DIV/0!</v>
      </c>
      <c r="K721">
        <f t="shared" si="42"/>
        <v>0</v>
      </c>
    </row>
    <row r="722" spans="5:11">
      <c r="E722" s="3">
        <f t="shared" si="43"/>
        <v>6</v>
      </c>
      <c r="G722" s="19" t="str">
        <f t="shared" si="44"/>
        <v/>
      </c>
      <c r="K722">
        <f t="shared" si="42"/>
        <v>0</v>
      </c>
    </row>
    <row r="723" spans="5:11">
      <c r="E723" s="3">
        <f t="shared" si="43"/>
        <v>6</v>
      </c>
      <c r="G723" s="19" t="str">
        <f t="shared" si="44"/>
        <v/>
      </c>
      <c r="K723">
        <f t="shared" si="42"/>
        <v>0</v>
      </c>
    </row>
    <row r="724" spans="5:11">
      <c r="E724" s="3">
        <f t="shared" si="43"/>
        <v>6</v>
      </c>
      <c r="G724" s="19" t="str">
        <f t="shared" si="44"/>
        <v/>
      </c>
      <c r="K724">
        <f t="shared" si="42"/>
        <v>0</v>
      </c>
    </row>
    <row r="725" spans="5:11">
      <c r="E725" s="3">
        <f t="shared" si="43"/>
        <v>6</v>
      </c>
      <c r="G725" s="19" t="str">
        <f t="shared" si="44"/>
        <v/>
      </c>
      <c r="K725">
        <f t="shared" ref="K725:K788" si="45">SUM(A719:A725)</f>
        <v>0</v>
      </c>
    </row>
    <row r="726" spans="5:11">
      <c r="E726" s="3">
        <f t="shared" si="43"/>
        <v>6</v>
      </c>
      <c r="G726" s="19" t="str">
        <f t="shared" si="44"/>
        <v/>
      </c>
      <c r="K726">
        <f t="shared" si="45"/>
        <v>0</v>
      </c>
    </row>
    <row r="727" spans="5:11">
      <c r="E727" s="3">
        <f t="shared" si="43"/>
        <v>6</v>
      </c>
      <c r="G727" s="19" t="str">
        <f t="shared" si="44"/>
        <v/>
      </c>
      <c r="K727">
        <f t="shared" si="45"/>
        <v>0</v>
      </c>
    </row>
    <row r="728" spans="5:11">
      <c r="E728" s="3">
        <f t="shared" si="43"/>
        <v>6</v>
      </c>
      <c r="G728" s="19" t="str">
        <f t="shared" si="44"/>
        <v/>
      </c>
      <c r="H728">
        <f>SUM(A728:A734)</f>
        <v>0</v>
      </c>
      <c r="I728" s="28" t="e">
        <f>H728/H721-1</f>
        <v>#DIV/0!</v>
      </c>
      <c r="J728" s="28" t="e">
        <f>A728/A721-1</f>
        <v>#DIV/0!</v>
      </c>
      <c r="K728">
        <f t="shared" si="45"/>
        <v>0</v>
      </c>
    </row>
    <row r="729" spans="5:11">
      <c r="E729" s="3">
        <f t="shared" si="43"/>
        <v>6</v>
      </c>
      <c r="G729" s="19" t="str">
        <f t="shared" si="44"/>
        <v/>
      </c>
      <c r="K729">
        <f t="shared" si="45"/>
        <v>0</v>
      </c>
    </row>
    <row r="730" spans="5:11">
      <c r="E730" s="3">
        <f t="shared" si="43"/>
        <v>6</v>
      </c>
      <c r="G730" s="19" t="str">
        <f t="shared" si="44"/>
        <v/>
      </c>
      <c r="K730">
        <f t="shared" si="45"/>
        <v>0</v>
      </c>
    </row>
    <row r="731" spans="5:11">
      <c r="E731" s="3">
        <f t="shared" si="43"/>
        <v>6</v>
      </c>
      <c r="G731" s="19" t="str">
        <f t="shared" si="44"/>
        <v/>
      </c>
      <c r="K731">
        <f t="shared" si="45"/>
        <v>0</v>
      </c>
    </row>
    <row r="732" spans="5:11">
      <c r="E732" s="3">
        <f t="shared" si="43"/>
        <v>6</v>
      </c>
      <c r="G732" s="19" t="str">
        <f t="shared" si="44"/>
        <v/>
      </c>
      <c r="K732">
        <f t="shared" si="45"/>
        <v>0</v>
      </c>
    </row>
    <row r="733" spans="5:11">
      <c r="E733" s="3">
        <f t="shared" si="43"/>
        <v>6</v>
      </c>
      <c r="G733" s="19" t="str">
        <f t="shared" si="44"/>
        <v/>
      </c>
      <c r="K733">
        <f t="shared" si="45"/>
        <v>0</v>
      </c>
    </row>
    <row r="734" spans="5:11">
      <c r="E734" s="3">
        <f t="shared" si="43"/>
        <v>6</v>
      </c>
      <c r="G734" s="19" t="str">
        <f t="shared" si="44"/>
        <v/>
      </c>
      <c r="K734">
        <f t="shared" si="45"/>
        <v>0</v>
      </c>
    </row>
    <row r="735" spans="5:11">
      <c r="E735" s="3">
        <f t="shared" si="43"/>
        <v>6</v>
      </c>
      <c r="G735" s="19" t="str">
        <f t="shared" si="44"/>
        <v/>
      </c>
      <c r="H735">
        <f>SUM(A735:A741)</f>
        <v>0</v>
      </c>
      <c r="I735" s="28" t="e">
        <f>H735/H728-1</f>
        <v>#DIV/0!</v>
      </c>
      <c r="J735" s="28" t="e">
        <f>A735/A728-1</f>
        <v>#DIV/0!</v>
      </c>
      <c r="K735">
        <f t="shared" si="45"/>
        <v>0</v>
      </c>
    </row>
    <row r="736" spans="5:11">
      <c r="E736" s="3">
        <f t="shared" si="43"/>
        <v>6</v>
      </c>
      <c r="G736" s="19" t="str">
        <f t="shared" si="44"/>
        <v/>
      </c>
      <c r="K736">
        <f t="shared" si="45"/>
        <v>0</v>
      </c>
    </row>
    <row r="737" spans="5:11">
      <c r="E737" s="3">
        <f t="shared" si="43"/>
        <v>6</v>
      </c>
      <c r="G737" s="19" t="str">
        <f t="shared" si="44"/>
        <v/>
      </c>
      <c r="K737">
        <f t="shared" si="45"/>
        <v>0</v>
      </c>
    </row>
    <row r="738" spans="5:11">
      <c r="E738" s="3">
        <f t="shared" si="43"/>
        <v>6</v>
      </c>
      <c r="G738" s="19" t="str">
        <f t="shared" si="44"/>
        <v/>
      </c>
      <c r="K738">
        <f t="shared" si="45"/>
        <v>0</v>
      </c>
    </row>
    <row r="739" spans="5:11">
      <c r="E739" s="3">
        <f t="shared" si="43"/>
        <v>6</v>
      </c>
      <c r="G739" s="19" t="str">
        <f t="shared" si="44"/>
        <v/>
      </c>
      <c r="K739">
        <f t="shared" si="45"/>
        <v>0</v>
      </c>
    </row>
    <row r="740" spans="5:11">
      <c r="E740" s="3">
        <f t="shared" si="43"/>
        <v>6</v>
      </c>
      <c r="G740" s="19" t="str">
        <f t="shared" si="44"/>
        <v/>
      </c>
      <c r="K740">
        <f t="shared" si="45"/>
        <v>0</v>
      </c>
    </row>
    <row r="741" spans="5:11">
      <c r="E741" s="3">
        <f t="shared" si="43"/>
        <v>6</v>
      </c>
      <c r="G741" s="19" t="str">
        <f t="shared" si="44"/>
        <v/>
      </c>
      <c r="K741">
        <f t="shared" si="45"/>
        <v>0</v>
      </c>
    </row>
    <row r="742" spans="5:11">
      <c r="E742" s="3">
        <f t="shared" si="43"/>
        <v>6</v>
      </c>
      <c r="G742" s="19" t="str">
        <f t="shared" si="44"/>
        <v/>
      </c>
      <c r="H742">
        <f>SUM(A742:A748)</f>
        <v>0</v>
      </c>
      <c r="I742" s="28" t="e">
        <f>H742/H735-1</f>
        <v>#DIV/0!</v>
      </c>
      <c r="J742" s="28" t="e">
        <f>A742/A735-1</f>
        <v>#DIV/0!</v>
      </c>
      <c r="K742">
        <f t="shared" si="45"/>
        <v>0</v>
      </c>
    </row>
    <row r="743" spans="5:11">
      <c r="E743" s="3">
        <f t="shared" si="43"/>
        <v>6</v>
      </c>
      <c r="G743" s="19" t="str">
        <f t="shared" si="44"/>
        <v/>
      </c>
      <c r="K743">
        <f t="shared" si="45"/>
        <v>0</v>
      </c>
    </row>
    <row r="744" spans="5:11">
      <c r="E744" s="3">
        <f t="shared" si="43"/>
        <v>6</v>
      </c>
      <c r="G744" s="19" t="str">
        <f t="shared" si="44"/>
        <v/>
      </c>
      <c r="K744">
        <f t="shared" si="45"/>
        <v>0</v>
      </c>
    </row>
    <row r="745" spans="5:11">
      <c r="E745" s="3">
        <f t="shared" si="43"/>
        <v>6</v>
      </c>
      <c r="G745" s="19" t="str">
        <f t="shared" si="44"/>
        <v/>
      </c>
      <c r="K745">
        <f t="shared" si="45"/>
        <v>0</v>
      </c>
    </row>
    <row r="746" spans="5:11">
      <c r="E746" s="3">
        <f t="shared" si="43"/>
        <v>6</v>
      </c>
      <c r="G746" s="19" t="str">
        <f t="shared" si="44"/>
        <v/>
      </c>
      <c r="K746">
        <f t="shared" si="45"/>
        <v>0</v>
      </c>
    </row>
    <row r="747" spans="5:11">
      <c r="E747" s="3">
        <f t="shared" si="43"/>
        <v>6</v>
      </c>
      <c r="G747" s="19" t="str">
        <f t="shared" si="44"/>
        <v/>
      </c>
      <c r="K747">
        <f t="shared" si="45"/>
        <v>0</v>
      </c>
    </row>
    <row r="748" spans="5:11">
      <c r="E748" s="3">
        <f t="shared" si="43"/>
        <v>6</v>
      </c>
      <c r="G748" s="19" t="str">
        <f t="shared" si="44"/>
        <v/>
      </c>
      <c r="K748">
        <f t="shared" si="45"/>
        <v>0</v>
      </c>
    </row>
    <row r="749" spans="5:11">
      <c r="E749" s="3">
        <f t="shared" si="43"/>
        <v>6</v>
      </c>
      <c r="G749" s="19" t="str">
        <f t="shared" si="44"/>
        <v/>
      </c>
      <c r="H749">
        <f>SUM(A749:A755)</f>
        <v>0</v>
      </c>
      <c r="I749" s="28" t="e">
        <f>H749/H742-1</f>
        <v>#DIV/0!</v>
      </c>
      <c r="J749" s="28" t="e">
        <f>A749/A742-1</f>
        <v>#DIV/0!</v>
      </c>
      <c r="K749">
        <f t="shared" si="45"/>
        <v>0</v>
      </c>
    </row>
    <row r="750" spans="5:11">
      <c r="E750" s="3">
        <f t="shared" si="43"/>
        <v>6</v>
      </c>
      <c r="G750" s="19" t="str">
        <f t="shared" si="44"/>
        <v/>
      </c>
      <c r="K750">
        <f t="shared" si="45"/>
        <v>0</v>
      </c>
    </row>
    <row r="751" spans="5:11">
      <c r="E751" s="3">
        <f t="shared" si="43"/>
        <v>6</v>
      </c>
      <c r="G751" s="19" t="str">
        <f t="shared" si="44"/>
        <v/>
      </c>
      <c r="K751">
        <f t="shared" si="45"/>
        <v>0</v>
      </c>
    </row>
    <row r="752" spans="5:11">
      <c r="E752" s="3">
        <f t="shared" si="43"/>
        <v>6</v>
      </c>
      <c r="G752" s="19" t="str">
        <f t="shared" si="44"/>
        <v/>
      </c>
      <c r="K752">
        <f t="shared" si="45"/>
        <v>0</v>
      </c>
    </row>
    <row r="753" spans="5:11">
      <c r="E753" s="3">
        <f t="shared" si="43"/>
        <v>6</v>
      </c>
      <c r="G753" s="19" t="str">
        <f t="shared" si="44"/>
        <v/>
      </c>
      <c r="K753">
        <f t="shared" si="45"/>
        <v>0</v>
      </c>
    </row>
    <row r="754" spans="5:11">
      <c r="E754" s="3">
        <f t="shared" si="43"/>
        <v>6</v>
      </c>
      <c r="G754" s="19" t="str">
        <f t="shared" si="44"/>
        <v/>
      </c>
      <c r="K754">
        <f t="shared" si="45"/>
        <v>0</v>
      </c>
    </row>
    <row r="755" spans="5:11">
      <c r="E755" s="3">
        <f t="shared" si="43"/>
        <v>6</v>
      </c>
      <c r="G755" s="19" t="str">
        <f t="shared" si="44"/>
        <v/>
      </c>
      <c r="K755">
        <f t="shared" si="45"/>
        <v>0</v>
      </c>
    </row>
    <row r="756" spans="5:11">
      <c r="E756" s="3">
        <f t="shared" si="43"/>
        <v>6</v>
      </c>
      <c r="G756" s="19" t="str">
        <f t="shared" si="44"/>
        <v/>
      </c>
      <c r="H756">
        <f>SUM(A756:A762)</f>
        <v>0</v>
      </c>
      <c r="I756" s="28" t="e">
        <f>H756/H749-1</f>
        <v>#DIV/0!</v>
      </c>
      <c r="J756" s="28" t="e">
        <f>A756/A749-1</f>
        <v>#DIV/0!</v>
      </c>
      <c r="K756">
        <f t="shared" si="45"/>
        <v>0</v>
      </c>
    </row>
    <row r="757" spans="5:11">
      <c r="E757" s="3">
        <f t="shared" si="43"/>
        <v>6</v>
      </c>
      <c r="G757" s="19" t="str">
        <f t="shared" si="44"/>
        <v/>
      </c>
      <c r="K757">
        <f t="shared" si="45"/>
        <v>0</v>
      </c>
    </row>
    <row r="758" spans="5:11">
      <c r="E758" s="3">
        <f t="shared" si="43"/>
        <v>6</v>
      </c>
      <c r="G758" s="19" t="str">
        <f t="shared" si="44"/>
        <v/>
      </c>
      <c r="K758">
        <f t="shared" si="45"/>
        <v>0</v>
      </c>
    </row>
    <row r="759" spans="5:11">
      <c r="E759" s="3">
        <f t="shared" si="43"/>
        <v>6</v>
      </c>
      <c r="G759" s="19" t="str">
        <f t="shared" si="44"/>
        <v/>
      </c>
      <c r="K759">
        <f t="shared" si="45"/>
        <v>0</v>
      </c>
    </row>
    <row r="760" spans="5:11">
      <c r="E760" s="3">
        <f t="shared" si="43"/>
        <v>6</v>
      </c>
      <c r="G760" s="19" t="str">
        <f t="shared" si="44"/>
        <v/>
      </c>
      <c r="K760">
        <f t="shared" si="45"/>
        <v>0</v>
      </c>
    </row>
    <row r="761" spans="5:11">
      <c r="E761" s="3">
        <f t="shared" si="43"/>
        <v>6</v>
      </c>
      <c r="G761" s="19" t="str">
        <f t="shared" si="44"/>
        <v/>
      </c>
      <c r="K761">
        <f t="shared" si="45"/>
        <v>0</v>
      </c>
    </row>
    <row r="762" spans="5:11">
      <c r="E762" s="3">
        <f t="shared" si="43"/>
        <v>6</v>
      </c>
      <c r="G762" s="19" t="str">
        <f t="shared" si="44"/>
        <v/>
      </c>
      <c r="K762">
        <f t="shared" si="45"/>
        <v>0</v>
      </c>
    </row>
    <row r="763" spans="5:11">
      <c r="E763" s="3">
        <f t="shared" si="43"/>
        <v>6</v>
      </c>
      <c r="G763" s="19" t="str">
        <f t="shared" si="44"/>
        <v/>
      </c>
      <c r="H763">
        <f>SUM(A763:A769)</f>
        <v>0</v>
      </c>
      <c r="I763" s="28" t="e">
        <f>H763/H756-1</f>
        <v>#DIV/0!</v>
      </c>
      <c r="J763" s="28" t="e">
        <f>A763/A756-1</f>
        <v>#DIV/0!</v>
      </c>
      <c r="K763">
        <f t="shared" si="45"/>
        <v>0</v>
      </c>
    </row>
    <row r="764" spans="5:11">
      <c r="E764" s="3">
        <f t="shared" si="43"/>
        <v>6</v>
      </c>
      <c r="G764" s="19" t="str">
        <f t="shared" si="44"/>
        <v/>
      </c>
      <c r="K764">
        <f t="shared" si="45"/>
        <v>0</v>
      </c>
    </row>
    <row r="765" spans="5:11">
      <c r="E765" s="3">
        <f t="shared" si="43"/>
        <v>6</v>
      </c>
      <c r="G765" s="19" t="str">
        <f t="shared" si="44"/>
        <v/>
      </c>
      <c r="K765">
        <f t="shared" si="45"/>
        <v>0</v>
      </c>
    </row>
    <row r="766" spans="5:11">
      <c r="E766" s="3">
        <f t="shared" si="43"/>
        <v>6</v>
      </c>
      <c r="G766" s="19" t="str">
        <f t="shared" si="44"/>
        <v/>
      </c>
      <c r="K766">
        <f t="shared" si="45"/>
        <v>0</v>
      </c>
    </row>
    <row r="767" spans="5:11">
      <c r="E767" s="3">
        <f t="shared" ref="E767:E805" si="46">WEEKDAY(F767,2)</f>
        <v>6</v>
      </c>
      <c r="G767" s="19" t="str">
        <f t="shared" si="44"/>
        <v/>
      </c>
      <c r="K767">
        <f t="shared" si="45"/>
        <v>0</v>
      </c>
    </row>
    <row r="768" spans="5:11">
      <c r="E768" s="3">
        <f t="shared" si="46"/>
        <v>6</v>
      </c>
      <c r="G768" s="19" t="str">
        <f t="shared" si="44"/>
        <v/>
      </c>
      <c r="K768">
        <f t="shared" si="45"/>
        <v>0</v>
      </c>
    </row>
    <row r="769" spans="5:11">
      <c r="E769" s="3">
        <f t="shared" si="46"/>
        <v>6</v>
      </c>
      <c r="G769" s="19" t="str">
        <f t="shared" si="44"/>
        <v/>
      </c>
      <c r="K769">
        <f t="shared" si="45"/>
        <v>0</v>
      </c>
    </row>
    <row r="770" spans="5:11">
      <c r="E770" s="3">
        <f t="shared" si="46"/>
        <v>6</v>
      </c>
      <c r="G770" s="19" t="str">
        <f t="shared" si="44"/>
        <v/>
      </c>
      <c r="H770">
        <f>SUM(A770:A776)</f>
        <v>0</v>
      </c>
      <c r="I770" s="28" t="e">
        <f>H770/H763-1</f>
        <v>#DIV/0!</v>
      </c>
      <c r="J770" s="28" t="e">
        <f>A770/A763-1</f>
        <v>#DIV/0!</v>
      </c>
      <c r="K770">
        <f t="shared" si="45"/>
        <v>0</v>
      </c>
    </row>
    <row r="771" spans="5:11">
      <c r="E771" s="3">
        <f t="shared" si="46"/>
        <v>6</v>
      </c>
      <c r="G771" s="19" t="str">
        <f t="shared" ref="G771:G805" si="47">IF(WEEKDAY(F771,2)=1,YEAR(F771)&amp;"-W"&amp;TEXT(WEEKNUM(F771,14),"00"),"")</f>
        <v/>
      </c>
      <c r="K771">
        <f t="shared" si="45"/>
        <v>0</v>
      </c>
    </row>
    <row r="772" spans="5:11">
      <c r="E772" s="3">
        <f t="shared" si="46"/>
        <v>6</v>
      </c>
      <c r="G772" s="19" t="str">
        <f t="shared" si="47"/>
        <v/>
      </c>
      <c r="K772">
        <f t="shared" si="45"/>
        <v>0</v>
      </c>
    </row>
    <row r="773" spans="5:11">
      <c r="E773" s="3">
        <f t="shared" si="46"/>
        <v>6</v>
      </c>
      <c r="G773" s="19" t="str">
        <f t="shared" si="47"/>
        <v/>
      </c>
      <c r="K773">
        <f t="shared" si="45"/>
        <v>0</v>
      </c>
    </row>
    <row r="774" spans="5:11">
      <c r="E774" s="3">
        <f t="shared" si="46"/>
        <v>6</v>
      </c>
      <c r="G774" s="19" t="str">
        <f t="shared" si="47"/>
        <v/>
      </c>
      <c r="K774">
        <f t="shared" si="45"/>
        <v>0</v>
      </c>
    </row>
    <row r="775" spans="5:11">
      <c r="E775" s="3">
        <f t="shared" si="46"/>
        <v>6</v>
      </c>
      <c r="G775" s="19" t="str">
        <f t="shared" si="47"/>
        <v/>
      </c>
      <c r="K775">
        <f t="shared" si="45"/>
        <v>0</v>
      </c>
    </row>
    <row r="776" spans="5:11">
      <c r="E776" s="3">
        <f t="shared" si="46"/>
        <v>6</v>
      </c>
      <c r="G776" s="19" t="str">
        <f t="shared" si="47"/>
        <v/>
      </c>
      <c r="K776">
        <f t="shared" si="45"/>
        <v>0</v>
      </c>
    </row>
    <row r="777" spans="5:11">
      <c r="E777" s="3">
        <f t="shared" si="46"/>
        <v>6</v>
      </c>
      <c r="G777" s="19" t="str">
        <f t="shared" si="47"/>
        <v/>
      </c>
      <c r="H777">
        <f>SUM(A777:A783)</f>
        <v>0</v>
      </c>
      <c r="I777" s="28" t="e">
        <f>H777/H770-1</f>
        <v>#DIV/0!</v>
      </c>
      <c r="J777" s="28" t="e">
        <f>A777/A770-1</f>
        <v>#DIV/0!</v>
      </c>
      <c r="K777">
        <f t="shared" si="45"/>
        <v>0</v>
      </c>
    </row>
    <row r="778" spans="5:11">
      <c r="E778" s="3">
        <f t="shared" si="46"/>
        <v>6</v>
      </c>
      <c r="G778" s="19" t="str">
        <f t="shared" si="47"/>
        <v/>
      </c>
      <c r="K778">
        <f t="shared" si="45"/>
        <v>0</v>
      </c>
    </row>
    <row r="779" spans="5:11">
      <c r="E779" s="3">
        <f t="shared" si="46"/>
        <v>6</v>
      </c>
      <c r="G779" s="19" t="str">
        <f t="shared" si="47"/>
        <v/>
      </c>
      <c r="K779">
        <f t="shared" si="45"/>
        <v>0</v>
      </c>
    </row>
    <row r="780" spans="5:11">
      <c r="E780" s="3">
        <f t="shared" si="46"/>
        <v>6</v>
      </c>
      <c r="G780" s="19" t="str">
        <f t="shared" si="47"/>
        <v/>
      </c>
      <c r="K780">
        <f t="shared" si="45"/>
        <v>0</v>
      </c>
    </row>
    <row r="781" spans="5:11">
      <c r="E781" s="3">
        <f t="shared" si="46"/>
        <v>6</v>
      </c>
      <c r="G781" s="19" t="str">
        <f t="shared" si="47"/>
        <v/>
      </c>
      <c r="K781">
        <f t="shared" si="45"/>
        <v>0</v>
      </c>
    </row>
    <row r="782" spans="5:11">
      <c r="E782" s="3">
        <f t="shared" si="46"/>
        <v>6</v>
      </c>
      <c r="G782" s="19" t="str">
        <f t="shared" si="47"/>
        <v/>
      </c>
      <c r="K782">
        <f t="shared" si="45"/>
        <v>0</v>
      </c>
    </row>
    <row r="783" spans="5:11">
      <c r="E783" s="3">
        <f t="shared" si="46"/>
        <v>6</v>
      </c>
      <c r="G783" s="19" t="str">
        <f t="shared" si="47"/>
        <v/>
      </c>
      <c r="K783">
        <f t="shared" si="45"/>
        <v>0</v>
      </c>
    </row>
    <row r="784" spans="5:11">
      <c r="E784" s="3">
        <f t="shared" si="46"/>
        <v>6</v>
      </c>
      <c r="G784" s="19" t="str">
        <f t="shared" si="47"/>
        <v/>
      </c>
      <c r="H784">
        <f>SUM(A784:A790)</f>
        <v>0</v>
      </c>
      <c r="I784" s="28" t="e">
        <f>H784/H777-1</f>
        <v>#DIV/0!</v>
      </c>
      <c r="J784" s="28" t="e">
        <f>A784/A777-1</f>
        <v>#DIV/0!</v>
      </c>
      <c r="K784">
        <f t="shared" si="45"/>
        <v>0</v>
      </c>
    </row>
    <row r="785" spans="5:11">
      <c r="E785" s="3">
        <f t="shared" si="46"/>
        <v>6</v>
      </c>
      <c r="G785" s="19" t="str">
        <f t="shared" si="47"/>
        <v/>
      </c>
      <c r="K785">
        <f t="shared" si="45"/>
        <v>0</v>
      </c>
    </row>
    <row r="786" spans="5:11">
      <c r="E786" s="3">
        <f t="shared" si="46"/>
        <v>6</v>
      </c>
      <c r="G786" s="19" t="str">
        <f t="shared" si="47"/>
        <v/>
      </c>
      <c r="K786">
        <f t="shared" si="45"/>
        <v>0</v>
      </c>
    </row>
    <row r="787" spans="5:11">
      <c r="E787" s="3">
        <f t="shared" si="46"/>
        <v>6</v>
      </c>
      <c r="G787" s="19" t="str">
        <f t="shared" si="47"/>
        <v/>
      </c>
      <c r="K787">
        <f t="shared" si="45"/>
        <v>0</v>
      </c>
    </row>
    <row r="788" spans="5:11">
      <c r="E788" s="3">
        <f t="shared" si="46"/>
        <v>6</v>
      </c>
      <c r="G788" s="19" t="str">
        <f t="shared" si="47"/>
        <v/>
      </c>
      <c r="K788">
        <f t="shared" si="45"/>
        <v>0</v>
      </c>
    </row>
    <row r="789" spans="5:11">
      <c r="E789" s="3">
        <f t="shared" si="46"/>
        <v>6</v>
      </c>
      <c r="G789" s="19" t="str">
        <f t="shared" si="47"/>
        <v/>
      </c>
      <c r="K789">
        <f t="shared" ref="K789:K805" si="48">SUM(A783:A789)</f>
        <v>0</v>
      </c>
    </row>
    <row r="790" spans="5:11">
      <c r="E790" s="3">
        <f t="shared" si="46"/>
        <v>6</v>
      </c>
      <c r="G790" s="19" t="str">
        <f t="shared" si="47"/>
        <v/>
      </c>
      <c r="K790">
        <f t="shared" si="48"/>
        <v>0</v>
      </c>
    </row>
    <row r="791" spans="5:11">
      <c r="E791" s="3">
        <f t="shared" si="46"/>
        <v>6</v>
      </c>
      <c r="G791" s="19" t="str">
        <f t="shared" si="47"/>
        <v/>
      </c>
      <c r="H791">
        <f>SUM(A791:A797)</f>
        <v>0</v>
      </c>
      <c r="I791" s="28" t="e">
        <f>H791/H784-1</f>
        <v>#DIV/0!</v>
      </c>
      <c r="J791" s="28" t="e">
        <f>A791/A784-1</f>
        <v>#DIV/0!</v>
      </c>
      <c r="K791">
        <f t="shared" si="48"/>
        <v>0</v>
      </c>
    </row>
    <row r="792" spans="5:11">
      <c r="E792" s="3">
        <f t="shared" si="46"/>
        <v>6</v>
      </c>
      <c r="G792" s="19" t="str">
        <f t="shared" si="47"/>
        <v/>
      </c>
      <c r="K792">
        <f t="shared" si="48"/>
        <v>0</v>
      </c>
    </row>
    <row r="793" spans="5:11">
      <c r="E793" s="3">
        <f t="shared" si="46"/>
        <v>6</v>
      </c>
      <c r="G793" s="19" t="str">
        <f t="shared" si="47"/>
        <v/>
      </c>
      <c r="K793">
        <f t="shared" si="48"/>
        <v>0</v>
      </c>
    </row>
    <row r="794" spans="5:11">
      <c r="E794" s="3">
        <f t="shared" si="46"/>
        <v>6</v>
      </c>
      <c r="G794" s="19" t="str">
        <f t="shared" si="47"/>
        <v/>
      </c>
      <c r="K794">
        <f t="shared" si="48"/>
        <v>0</v>
      </c>
    </row>
    <row r="795" spans="5:11">
      <c r="E795" s="3">
        <f t="shared" si="46"/>
        <v>6</v>
      </c>
      <c r="G795" s="19" t="str">
        <f t="shared" si="47"/>
        <v/>
      </c>
      <c r="K795">
        <f t="shared" si="48"/>
        <v>0</v>
      </c>
    </row>
    <row r="796" spans="5:11">
      <c r="E796" s="3">
        <f t="shared" si="46"/>
        <v>6</v>
      </c>
      <c r="G796" s="19" t="str">
        <f t="shared" si="47"/>
        <v/>
      </c>
      <c r="K796">
        <f t="shared" si="48"/>
        <v>0</v>
      </c>
    </row>
    <row r="797" spans="5:11">
      <c r="E797" s="3">
        <f t="shared" si="46"/>
        <v>6</v>
      </c>
      <c r="G797" s="19" t="str">
        <f t="shared" si="47"/>
        <v/>
      </c>
      <c r="K797">
        <f t="shared" si="48"/>
        <v>0</v>
      </c>
    </row>
    <row r="798" spans="5:11">
      <c r="E798" s="3">
        <f t="shared" si="46"/>
        <v>6</v>
      </c>
      <c r="G798" s="19" t="str">
        <f t="shared" si="47"/>
        <v/>
      </c>
      <c r="H798">
        <f>SUM(A798:A804)</f>
        <v>0</v>
      </c>
      <c r="I798" s="28" t="e">
        <f>H798/H791-1</f>
        <v>#DIV/0!</v>
      </c>
      <c r="J798" s="28" t="e">
        <f>A798/A791-1</f>
        <v>#DIV/0!</v>
      </c>
      <c r="K798">
        <f t="shared" si="48"/>
        <v>0</v>
      </c>
    </row>
    <row r="799" spans="5:11">
      <c r="E799" s="3">
        <f t="shared" si="46"/>
        <v>6</v>
      </c>
      <c r="G799" s="19" t="str">
        <f t="shared" si="47"/>
        <v/>
      </c>
      <c r="K799">
        <f t="shared" si="48"/>
        <v>0</v>
      </c>
    </row>
    <row r="800" spans="5:11">
      <c r="E800" s="3">
        <f t="shared" si="46"/>
        <v>6</v>
      </c>
      <c r="G800" s="19" t="str">
        <f t="shared" si="47"/>
        <v/>
      </c>
      <c r="K800">
        <f t="shared" si="48"/>
        <v>0</v>
      </c>
    </row>
    <row r="801" spans="5:11">
      <c r="E801" s="3">
        <f t="shared" si="46"/>
        <v>6</v>
      </c>
      <c r="G801" s="19" t="str">
        <f t="shared" si="47"/>
        <v/>
      </c>
      <c r="K801">
        <f t="shared" si="48"/>
        <v>0</v>
      </c>
    </row>
    <row r="802" spans="5:11">
      <c r="E802" s="3">
        <f t="shared" si="46"/>
        <v>6</v>
      </c>
      <c r="G802" s="19" t="str">
        <f t="shared" si="47"/>
        <v/>
      </c>
      <c r="K802">
        <f t="shared" si="48"/>
        <v>0</v>
      </c>
    </row>
    <row r="803" spans="5:11">
      <c r="E803" s="3">
        <f t="shared" si="46"/>
        <v>6</v>
      </c>
      <c r="G803" s="19" t="str">
        <f t="shared" si="47"/>
        <v/>
      </c>
      <c r="K803">
        <f t="shared" si="48"/>
        <v>0</v>
      </c>
    </row>
    <row r="804" spans="5:11">
      <c r="E804" s="3">
        <f t="shared" si="46"/>
        <v>6</v>
      </c>
      <c r="G804" s="19" t="str">
        <f t="shared" si="47"/>
        <v/>
      </c>
      <c r="K804">
        <f t="shared" si="48"/>
        <v>0</v>
      </c>
    </row>
    <row r="805" spans="5:11">
      <c r="E805" s="3">
        <f t="shared" si="46"/>
        <v>6</v>
      </c>
      <c r="G805" s="19" t="str">
        <f t="shared" si="47"/>
        <v/>
      </c>
      <c r="H805">
        <f>SUM(A805:A811)</f>
        <v>0</v>
      </c>
      <c r="I805" s="28" t="e">
        <f>H805/H798-1</f>
        <v>#DIV/0!</v>
      </c>
      <c r="J805" s="28" t="e">
        <f>A805/A798-1</f>
        <v>#DIV/0!</v>
      </c>
      <c r="K805">
        <f t="shared" si="48"/>
        <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350520</xdr:colOff>
                    <xdr:row>0</xdr:row>
                    <xdr:rowOff>68580</xdr:rowOff>
                  </from>
                  <to>
                    <xdr:col>1</xdr:col>
                    <xdr:colOff>1363980</xdr:colOff>
                    <xdr:row>0</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60" activePane="bottomLeft" state="frozen"/>
      <selection pane="bottomLeft" activeCell="A560" sqref="A560"/>
    </sheetView>
  </sheetViews>
  <sheetFormatPr defaultRowHeight="14.4"/>
  <cols>
    <col min="1" max="1" width="8.886718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2.109375" customWidth="1"/>
    <col min="11" max="11" width="14" bestFit="1" customWidth="1"/>
    <col min="13" max="13" width="14.109375" bestFit="1" customWidth="1"/>
  </cols>
  <sheetData>
    <row r="1" spans="1:14" s="7" customFormat="1" ht="39.9" customHeight="1">
      <c r="A1" s="31" t="s">
        <v>290</v>
      </c>
      <c r="B1" s="1" t="s">
        <v>1</v>
      </c>
      <c r="C1" s="1" t="s">
        <v>9</v>
      </c>
      <c r="D1" s="1" t="s">
        <v>291</v>
      </c>
      <c r="E1" s="1" t="s">
        <v>299</v>
      </c>
      <c r="F1" s="6" t="s">
        <v>7</v>
      </c>
      <c r="G1" s="7" t="s">
        <v>465</v>
      </c>
      <c r="H1" s="7" t="s">
        <v>467</v>
      </c>
      <c r="I1" s="7">
        <f>SUM(A:A)</f>
        <v>64524</v>
      </c>
      <c r="J1" s="7">
        <f>MAX(A:A)</f>
        <v>518</v>
      </c>
      <c r="K1" s="15">
        <f>VLOOKUP(J1,A:F,6,FALSE)</f>
        <v>44267.625</v>
      </c>
      <c r="L1" s="7">
        <f>COUNT(DataN)-5</f>
        <v>583</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6.8.2021 saakka. Suurin arvo 518,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0.13501483679525217</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0.1215686274509804</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-0.22496831432192654</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-0.3125</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196</v>
      </c>
      <c r="B371" t="s">
        <v>394</v>
      </c>
      <c r="C371" t="s">
        <v>456</v>
      </c>
      <c r="E371" s="3">
        <f t="shared" si="16"/>
        <v>1</v>
      </c>
      <c r="F371" s="5">
        <v>44200.625</v>
      </c>
      <c r="G371" s="19" t="str">
        <f t="shared" si="15"/>
        <v>2021-W01</v>
      </c>
      <c r="H371">
        <f>SUM(A371:A377)</f>
        <v>970</v>
      </c>
      <c r="I371" s="28">
        <f>H371/H364-1</f>
        <v>6.7106710671067216E-2</v>
      </c>
      <c r="J371" s="28">
        <f t="shared" si="17"/>
        <v>-0.12107623318385652</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162</v>
      </c>
      <c r="B374" t="s">
        <v>397</v>
      </c>
      <c r="C374" t="s">
        <v>456</v>
      </c>
      <c r="E374" s="3">
        <f t="shared" si="16"/>
        <v>4</v>
      </c>
      <c r="F374" s="5">
        <v>44203.625</v>
      </c>
      <c r="G374" s="19" t="str">
        <f t="shared" si="15"/>
        <v/>
      </c>
      <c r="J374" s="28">
        <f t="shared" si="17"/>
        <v>0.19117647058823528</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-0.11649484536082477</v>
      </c>
      <c r="J378" s="28">
        <f t="shared" si="17"/>
        <v>-4.5918367346938771E-2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96</v>
      </c>
      <c r="B384" t="s">
        <v>407</v>
      </c>
      <c r="C384" t="s">
        <v>456</v>
      </c>
      <c r="E384" s="3">
        <f t="shared" si="16"/>
        <v>7</v>
      </c>
      <c r="F384" s="5">
        <v>44213.625</v>
      </c>
      <c r="G384" s="19" t="str">
        <f t="shared" si="15"/>
        <v/>
      </c>
      <c r="J384" s="28">
        <f t="shared" si="17"/>
        <v>-0.19327731092436973</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255</v>
      </c>
      <c r="B392" t="s">
        <v>415</v>
      </c>
      <c r="C392" t="s">
        <v>456</v>
      </c>
      <c r="E392" s="3">
        <f t="shared" si="19"/>
        <v>1</v>
      </c>
      <c r="F392" s="5">
        <v>44221.625</v>
      </c>
      <c r="G392" s="19" t="str">
        <f t="shared" si="18"/>
        <v>2021-W04</v>
      </c>
      <c r="H392">
        <f>SUM(A392:A398)</f>
        <v>1376</v>
      </c>
      <c r="I392" s="28">
        <f>H392/H385-1</f>
        <v>7.7525450274079866E-2</v>
      </c>
      <c r="J392" s="28">
        <f t="shared" si="17"/>
        <v>-7.7821011673151474E-3</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0.14462209302325579</v>
      </c>
      <c r="J399" s="28">
        <f t="shared" si="20"/>
        <v>0.16078431372549029</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2518</v>
      </c>
      <c r="I420" s="28">
        <f>H420/H413-1</f>
        <v>0.22649780808572828</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418</v>
      </c>
      <c r="B422" t="s">
        <v>461</v>
      </c>
      <c r="C422" t="s">
        <v>456</v>
      </c>
      <c r="E422" s="3">
        <f t="shared" si="19"/>
        <v>3</v>
      </c>
      <c r="F422" s="5">
        <v>44251.625</v>
      </c>
      <c r="G422" s="19" t="str">
        <f t="shared" si="18"/>
        <v/>
      </c>
      <c r="J422" s="28">
        <f t="shared" si="20"/>
        <v>0.27051671732522786</v>
      </c>
    </row>
    <row r="423" spans="1:10">
      <c r="A423" s="3">
        <v>361</v>
      </c>
      <c r="B423" t="s">
        <v>463</v>
      </c>
      <c r="C423" t="s">
        <v>456</v>
      </c>
      <c r="E423" s="3">
        <f t="shared" si="19"/>
        <v>4</v>
      </c>
      <c r="F423" s="5">
        <v>44252.625</v>
      </c>
      <c r="G423" s="19" t="str">
        <f t="shared" si="18"/>
        <v/>
      </c>
      <c r="J423" s="28">
        <f t="shared" si="20"/>
        <v>0.11076923076923073</v>
      </c>
    </row>
    <row r="424" spans="1:10">
      <c r="A424" s="3">
        <v>431</v>
      </c>
      <c r="B424" t="s">
        <v>464</v>
      </c>
      <c r="C424" t="s">
        <v>456</v>
      </c>
      <c r="E424" s="3">
        <f t="shared" si="19"/>
        <v>5</v>
      </c>
      <c r="F424" s="5">
        <v>44253.625</v>
      </c>
      <c r="G424" s="19" t="str">
        <f t="shared" si="18"/>
        <v/>
      </c>
      <c r="J424" s="28">
        <f t="shared" si="20"/>
        <v>0.40849673202614389</v>
      </c>
    </row>
    <row r="425" spans="1:10">
      <c r="A425" s="3">
        <v>268</v>
      </c>
      <c r="B425" t="s">
        <v>469</v>
      </c>
      <c r="C425" t="s">
        <v>456</v>
      </c>
      <c r="E425" s="3">
        <f t="shared" si="19"/>
        <v>6</v>
      </c>
      <c r="F425" s="5">
        <v>44254.625</v>
      </c>
      <c r="G425" s="19" t="str">
        <f t="shared" si="18"/>
        <v/>
      </c>
      <c r="J425" s="28">
        <f t="shared" si="20"/>
        <v>0.44864864864864873</v>
      </c>
    </row>
    <row r="426" spans="1:10">
      <c r="A426" s="3">
        <v>269</v>
      </c>
      <c r="B426" t="s">
        <v>470</v>
      </c>
      <c r="C426" t="s">
        <v>456</v>
      </c>
      <c r="E426" s="3">
        <f t="shared" si="19"/>
        <v>7</v>
      </c>
      <c r="F426" s="5">
        <v>44255.625</v>
      </c>
      <c r="G426" s="19" t="str">
        <f t="shared" si="18"/>
        <v/>
      </c>
      <c r="J426" s="28">
        <f t="shared" si="20"/>
        <v>0.22272727272727266</v>
      </c>
    </row>
    <row r="427" spans="1:10">
      <c r="A427" s="3">
        <v>481</v>
      </c>
      <c r="B427" t="s">
        <v>471</v>
      </c>
      <c r="C427" t="s">
        <v>456</v>
      </c>
      <c r="E427" s="3">
        <f t="shared" si="19"/>
        <v>1</v>
      </c>
      <c r="F427" s="5">
        <v>44256.625</v>
      </c>
      <c r="G427" s="19" t="str">
        <f t="shared" si="18"/>
        <v>2021-W09</v>
      </c>
      <c r="H427">
        <f>SUM(A427:A433)</f>
        <v>2790</v>
      </c>
      <c r="I427" s="28">
        <f>H427/H420-1</f>
        <v>0.10802223987291493</v>
      </c>
      <c r="J427" s="28">
        <f t="shared" si="20"/>
        <v>0.23969072164948457</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0.13636363636363646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-2.5522041763341052E-2</v>
      </c>
    </row>
    <row r="432" spans="1:10">
      <c r="A432" s="3">
        <v>277</v>
      </c>
      <c r="B432" t="s">
        <v>476</v>
      </c>
      <c r="C432" t="s">
        <v>456</v>
      </c>
      <c r="E432" s="3">
        <f t="shared" si="19"/>
        <v>6</v>
      </c>
      <c r="F432" s="5">
        <v>44261.625</v>
      </c>
      <c r="G432" s="19" t="str">
        <f t="shared" si="18"/>
        <v/>
      </c>
      <c r="J432" s="28">
        <f t="shared" si="20"/>
        <v>3.3582089552238736E-2</v>
      </c>
    </row>
    <row r="433" spans="1:10">
      <c r="A433" s="3">
        <v>256</v>
      </c>
      <c r="B433" t="s">
        <v>477</v>
      </c>
      <c r="C433" t="s">
        <v>456</v>
      </c>
      <c r="E433" s="3">
        <f t="shared" si="19"/>
        <v>7</v>
      </c>
      <c r="F433" s="5">
        <v>44262.625</v>
      </c>
      <c r="G433" s="19" t="str">
        <f t="shared" si="18"/>
        <v/>
      </c>
      <c r="J433" s="28">
        <f t="shared" si="20"/>
        <v>-4.8327137546468446E-2</v>
      </c>
    </row>
    <row r="434" spans="1:10">
      <c r="A434" s="3">
        <v>501</v>
      </c>
      <c r="B434" t="s">
        <v>478</v>
      </c>
      <c r="C434" t="s">
        <v>456</v>
      </c>
      <c r="E434" s="3">
        <f t="shared" si="19"/>
        <v>1</v>
      </c>
      <c r="F434" s="5">
        <v>44263.625</v>
      </c>
      <c r="G434" s="19" t="str">
        <f t="shared" si="18"/>
        <v>2021-W10</v>
      </c>
      <c r="H434">
        <f>SUM(A434:A440)</f>
        <v>3096</v>
      </c>
      <c r="I434" s="28">
        <f>H434/H427-1</f>
        <v>0.10967741935483866</v>
      </c>
      <c r="J434" s="28">
        <f t="shared" si="20"/>
        <v>4.1580041580041582E-2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518</v>
      </c>
      <c r="B438" t="s">
        <v>482</v>
      </c>
      <c r="C438" t="s">
        <v>456</v>
      </c>
      <c r="E438" s="3">
        <f t="shared" si="19"/>
        <v>5</v>
      </c>
      <c r="F438" s="5">
        <v>44267.625</v>
      </c>
      <c r="G438" s="19" t="str">
        <f t="shared" si="18"/>
        <v/>
      </c>
      <c r="J438" s="28">
        <f t="shared" si="20"/>
        <v>0.23333333333333339</v>
      </c>
    </row>
    <row r="439" spans="1:10">
      <c r="A439" s="3">
        <v>327</v>
      </c>
      <c r="B439" t="s">
        <v>483</v>
      </c>
      <c r="C439" t="s">
        <v>456</v>
      </c>
      <c r="E439" s="3">
        <f t="shared" si="19"/>
        <v>6</v>
      </c>
      <c r="F439" s="5">
        <v>44268.625</v>
      </c>
      <c r="G439" s="19" t="str">
        <f t="shared" si="18"/>
        <v/>
      </c>
      <c r="J439" s="28">
        <f t="shared" si="20"/>
        <v>0.18050541516245477</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-7.8488372093023284E-2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-0.1428571428571429</v>
      </c>
    </row>
    <row r="446" spans="1:10">
      <c r="A446" s="3">
        <v>287</v>
      </c>
      <c r="B446" t="s">
        <v>490</v>
      </c>
      <c r="C446" t="s">
        <v>456</v>
      </c>
      <c r="E446" s="3">
        <f t="shared" si="19"/>
        <v>6</v>
      </c>
      <c r="F446" s="5">
        <v>44275.625</v>
      </c>
      <c r="G446" s="19" t="str">
        <f t="shared" si="18"/>
        <v/>
      </c>
      <c r="J446" s="28">
        <f t="shared" si="20"/>
        <v>-0.1223241590214067</v>
      </c>
    </row>
    <row r="447" spans="1:10">
      <c r="A447" s="3">
        <v>288</v>
      </c>
      <c r="B447" t="s">
        <v>491</v>
      </c>
      <c r="C447" t="s">
        <v>456</v>
      </c>
      <c r="E447" s="3">
        <f t="shared" si="19"/>
        <v>7</v>
      </c>
      <c r="F447" s="5">
        <v>44276.625</v>
      </c>
      <c r="G447" s="19" t="str">
        <f t="shared" si="18"/>
        <v/>
      </c>
      <c r="J447" s="28">
        <f t="shared" si="20"/>
        <v>9.92366412213741E-2</v>
      </c>
    </row>
    <row r="448" spans="1:10">
      <c r="A448" s="3">
        <v>451</v>
      </c>
      <c r="B448" t="s">
        <v>492</v>
      </c>
      <c r="C448" t="s">
        <v>456</v>
      </c>
      <c r="E448" s="3">
        <f t="shared" si="19"/>
        <v>1</v>
      </c>
      <c r="F448" s="5">
        <v>44277.625</v>
      </c>
      <c r="G448" s="19" t="str">
        <f t="shared" si="18"/>
        <v>2021-W12</v>
      </c>
      <c r="H448">
        <f>SUM(A448:A454)</f>
        <v>2506</v>
      </c>
      <c r="I448" s="28">
        <f>H448/H441-1</f>
        <v>-0.12162635821941814</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1904</v>
      </c>
      <c r="I455" s="28">
        <f>H455/H448-1</f>
        <v>-0.24022346368715086</v>
      </c>
      <c r="J455" s="28">
        <f t="shared" si="20"/>
        <v>-0.16186252771618626</v>
      </c>
    </row>
    <row r="456" spans="1:10">
      <c r="A456" s="3">
        <v>322</v>
      </c>
      <c r="B456" t="s">
        <v>500</v>
      </c>
      <c r="C456" t="s">
        <v>456</v>
      </c>
      <c r="E456" s="3">
        <f t="shared" si="22"/>
        <v>2</v>
      </c>
      <c r="F456" s="5">
        <v>44285.625</v>
      </c>
      <c r="G456" s="19" t="str">
        <f t="shared" si="21"/>
        <v/>
      </c>
      <c r="J456" s="28">
        <f t="shared" si="20"/>
        <v>-0.28761061946902655</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190</v>
      </c>
      <c r="B460" t="s">
        <v>504</v>
      </c>
      <c r="C460" t="s">
        <v>456</v>
      </c>
      <c r="E460" s="3">
        <f t="shared" si="22"/>
        <v>6</v>
      </c>
      <c r="F460" s="5">
        <v>44289.625</v>
      </c>
      <c r="G460" s="19" t="str">
        <f t="shared" si="21"/>
        <v/>
      </c>
      <c r="J460" s="28">
        <f t="shared" si="23"/>
        <v>-4.5226130653266305E-2</v>
      </c>
    </row>
    <row r="461" spans="1:10">
      <c r="A461" s="3">
        <v>206</v>
      </c>
      <c r="B461" t="s">
        <v>505</v>
      </c>
      <c r="C461" t="s">
        <v>456</v>
      </c>
      <c r="E461" s="3">
        <f t="shared" si="22"/>
        <v>7</v>
      </c>
      <c r="F461" s="5">
        <v>44290.625</v>
      </c>
      <c r="G461" s="19" t="str">
        <f t="shared" si="21"/>
        <v/>
      </c>
      <c r="J461" s="28">
        <f t="shared" si="23"/>
        <v>-0.16935483870967738</v>
      </c>
    </row>
    <row r="462" spans="1:10">
      <c r="A462" s="3">
        <v>234</v>
      </c>
      <c r="B462" t="s">
        <v>506</v>
      </c>
      <c r="C462" t="s">
        <v>456</v>
      </c>
      <c r="E462" s="3">
        <f t="shared" si="22"/>
        <v>1</v>
      </c>
      <c r="F462" s="5">
        <v>44291.625</v>
      </c>
      <c r="G462" s="19" t="str">
        <f t="shared" si="21"/>
        <v>2021-W14</v>
      </c>
      <c r="H462">
        <f>SUM(A462:A468)</f>
        <v>1451</v>
      </c>
      <c r="I462" s="28">
        <f>H462/H455-1</f>
        <v>-0.23792016806722693</v>
      </c>
      <c r="J462" s="28">
        <f t="shared" si="23"/>
        <v>-0.38095238095238093</v>
      </c>
    </row>
    <row r="463" spans="1:10">
      <c r="A463" s="3">
        <v>306</v>
      </c>
      <c r="B463" t="s">
        <v>507</v>
      </c>
      <c r="C463" t="s">
        <v>456</v>
      </c>
      <c r="E463" s="3">
        <f t="shared" si="22"/>
        <v>2</v>
      </c>
      <c r="F463" s="5">
        <v>44292.625</v>
      </c>
      <c r="G463" s="19" t="str">
        <f t="shared" si="21"/>
        <v/>
      </c>
      <c r="J463" s="28">
        <f t="shared" si="23"/>
        <v>-4.9689440993788803E-2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-0.27894736842105261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-0.30392832529290148</v>
      </c>
      <c r="J469" s="28">
        <f t="shared" si="23"/>
        <v>-8.1196581196581241E-2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741</v>
      </c>
      <c r="I490" s="28">
        <f>H490/H483-1</f>
        <v>5.4054054054053946E-2</v>
      </c>
      <c r="J490" s="28">
        <f t="shared" si="23"/>
        <v>0.30578512396694224</v>
      </c>
    </row>
    <row r="491" spans="1:10">
      <c r="A491" s="3">
        <v>113</v>
      </c>
      <c r="B491" t="s">
        <v>536</v>
      </c>
      <c r="C491" t="s">
        <v>456</v>
      </c>
      <c r="E491" s="3">
        <f t="shared" si="22"/>
        <v>2</v>
      </c>
      <c r="F491" s="5">
        <v>44320.625</v>
      </c>
      <c r="G491" s="19" t="str">
        <f t="shared" si="21"/>
        <v/>
      </c>
      <c r="J491" s="28">
        <f t="shared" si="23"/>
        <v>3.669724770642202E-2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690</v>
      </c>
      <c r="I497" s="28">
        <f>H497/H490-1</f>
        <v>-6.8825910931174072E-2</v>
      </c>
      <c r="J497" s="28">
        <f t="shared" si="23"/>
        <v>-0.12658227848101267</v>
      </c>
    </row>
    <row r="498" spans="1:10">
      <c r="A498" s="3">
        <v>108</v>
      </c>
      <c r="B498" t="s">
        <v>544</v>
      </c>
      <c r="C498" t="s">
        <v>456</v>
      </c>
      <c r="E498" s="3">
        <f t="shared" si="22"/>
        <v>2</v>
      </c>
      <c r="F498" s="5">
        <v>44327.625</v>
      </c>
      <c r="G498" s="19" t="str">
        <f t="shared" si="21"/>
        <v/>
      </c>
      <c r="J498" s="28">
        <f t="shared" si="23"/>
        <v>-4.4247787610619427E-2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55</v>
      </c>
      <c r="B503" t="s">
        <v>549</v>
      </c>
      <c r="C503" t="s">
        <v>456</v>
      </c>
      <c r="E503" s="3">
        <f t="shared" si="22"/>
        <v>7</v>
      </c>
      <c r="F503" s="5">
        <v>44332.625</v>
      </c>
      <c r="G503" s="19" t="str">
        <f t="shared" si="21"/>
        <v/>
      </c>
      <c r="J503" s="28">
        <f t="shared" si="23"/>
        <v>-0.20289855072463769</v>
      </c>
    </row>
    <row r="504" spans="1:10">
      <c r="A504" s="3">
        <v>120</v>
      </c>
      <c r="B504" t="s">
        <v>550</v>
      </c>
      <c r="C504" t="s">
        <v>456</v>
      </c>
      <c r="E504" s="3">
        <f t="shared" si="22"/>
        <v>1</v>
      </c>
      <c r="F504" s="5">
        <v>44333.625</v>
      </c>
      <c r="G504" s="19" t="str">
        <f t="shared" si="21"/>
        <v>2021-W20</v>
      </c>
      <c r="H504">
        <f>SUM(A504:A510)</f>
        <v>638</v>
      </c>
      <c r="I504" s="28">
        <f>H504/H497-1</f>
        <v>-7.5362318840579756E-2</v>
      </c>
      <c r="J504" s="28">
        <f t="shared" si="23"/>
        <v>-0.13043478260869568</v>
      </c>
    </row>
    <row r="505" spans="1:10">
      <c r="A505" s="3">
        <v>109</v>
      </c>
      <c r="B505" t="s">
        <v>551</v>
      </c>
      <c r="C505" t="s">
        <v>456</v>
      </c>
      <c r="E505" s="3">
        <f t="shared" si="22"/>
        <v>2</v>
      </c>
      <c r="F505" s="5">
        <v>44334.625</v>
      </c>
      <c r="G505" s="19" t="str">
        <f t="shared" si="21"/>
        <v/>
      </c>
      <c r="J505" s="28">
        <f t="shared" si="23"/>
        <v>9.2592592592593004E-3</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-1.8181818181818188E-2</v>
      </c>
    </row>
    <row r="511" spans="1:10">
      <c r="A511" s="3">
        <v>109</v>
      </c>
      <c r="B511" t="s">
        <v>557</v>
      </c>
      <c r="C511" t="s">
        <v>456</v>
      </c>
      <c r="E511" s="3">
        <f t="shared" si="22"/>
        <v>1</v>
      </c>
      <c r="F511" s="5">
        <v>44340.625</v>
      </c>
      <c r="G511" s="19" t="str">
        <f t="shared" si="21"/>
        <v>2021-W21</v>
      </c>
      <c r="H511">
        <f>SUM(A511:A517)</f>
        <v>469</v>
      </c>
      <c r="I511" s="28">
        <f>H511/H504-1</f>
        <v>-0.26489028213166144</v>
      </c>
      <c r="J511" s="28">
        <f t="shared" si="23"/>
        <v>-9.1666666666666674E-2</v>
      </c>
    </row>
    <row r="512" spans="1:10">
      <c r="A512" s="3">
        <v>86</v>
      </c>
      <c r="B512" t="s">
        <v>558</v>
      </c>
      <c r="C512" t="s">
        <v>456</v>
      </c>
      <c r="E512" s="3">
        <f t="shared" si="22"/>
        <v>2</v>
      </c>
      <c r="F512" s="5">
        <v>44341.625</v>
      </c>
      <c r="G512" s="19" t="str">
        <f t="shared" si="21"/>
        <v/>
      </c>
      <c r="J512" s="28">
        <f t="shared" si="23"/>
        <v>-0.21100917431192656</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555</v>
      </c>
      <c r="I539" s="28">
        <f>H539/H532-1</f>
        <v>1.1264367816091956</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126</v>
      </c>
      <c r="B543" t="s">
        <v>589</v>
      </c>
      <c r="C543" t="s">
        <v>456</v>
      </c>
      <c r="E543" s="3">
        <f t="shared" si="25"/>
        <v>5</v>
      </c>
      <c r="F543" s="5">
        <v>44372.625</v>
      </c>
      <c r="G543" s="19" t="str">
        <f t="shared" si="24"/>
        <v/>
      </c>
      <c r="J543" s="28">
        <f t="shared" si="26"/>
        <v>2.8181818181818183</v>
      </c>
    </row>
    <row r="544" spans="1:10">
      <c r="A544" s="3">
        <v>79</v>
      </c>
      <c r="B544" t="s">
        <v>590</v>
      </c>
      <c r="C544" t="s">
        <v>456</v>
      </c>
      <c r="E544" s="3">
        <f t="shared" si="25"/>
        <v>6</v>
      </c>
      <c r="F544" s="5">
        <v>44373.625</v>
      </c>
      <c r="G544" s="19" t="str">
        <f t="shared" si="24"/>
        <v/>
      </c>
      <c r="J544" s="28">
        <f t="shared" si="26"/>
        <v>2.0384615384615383</v>
      </c>
    </row>
    <row r="545" spans="1:10">
      <c r="A545" s="3">
        <v>58</v>
      </c>
      <c r="B545" t="s">
        <v>591</v>
      </c>
      <c r="C545" t="s">
        <v>456</v>
      </c>
      <c r="E545" s="3">
        <f t="shared" si="25"/>
        <v>7</v>
      </c>
      <c r="F545" s="5">
        <v>44374.625</v>
      </c>
      <c r="G545" s="19" t="str">
        <f t="shared" si="24"/>
        <v/>
      </c>
      <c r="J545" s="28">
        <f t="shared" si="26"/>
        <v>0.44999999999999996</v>
      </c>
    </row>
    <row r="546" spans="1:10">
      <c r="A546" s="3">
        <v>114</v>
      </c>
      <c r="B546" t="s">
        <v>592</v>
      </c>
      <c r="C546" t="s">
        <v>456</v>
      </c>
      <c r="E546" s="3">
        <f t="shared" si="25"/>
        <v>1</v>
      </c>
      <c r="F546" s="5">
        <v>44375.625</v>
      </c>
      <c r="G546" s="19" t="str">
        <f t="shared" si="24"/>
        <v>2021-W26</v>
      </c>
      <c r="H546">
        <f>SUM(A546:A552)</f>
        <v>627</v>
      </c>
      <c r="I546" s="28">
        <f>H546/H539-1</f>
        <v>0.12972972972972974</v>
      </c>
      <c r="J546" s="28">
        <f t="shared" si="26"/>
        <v>1.0357142857142856</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-0.38888888888888884</v>
      </c>
    </row>
    <row r="551" spans="1:10">
      <c r="A551" s="3">
        <v>60</v>
      </c>
      <c r="B551" t="s">
        <v>597</v>
      </c>
      <c r="C551" t="s">
        <v>456</v>
      </c>
      <c r="E551" s="3">
        <f t="shared" si="25"/>
        <v>6</v>
      </c>
      <c r="F551" s="5">
        <v>44380.625</v>
      </c>
      <c r="G551" s="19" t="str">
        <f t="shared" si="24"/>
        <v/>
      </c>
      <c r="J551" s="28">
        <f t="shared" si="26"/>
        <v>-0.240506329113924</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0.45773524720893133</v>
      </c>
      <c r="J553" s="28">
        <f t="shared" si="26"/>
        <v>-0.13157894736842102</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1317</v>
      </c>
      <c r="I560" s="28">
        <f>H560/H553-1</f>
        <v>0.44091903719912473</v>
      </c>
      <c r="J560" s="28">
        <f t="shared" si="26"/>
        <v>0.92929292929292928</v>
      </c>
    </row>
    <row r="561" spans="1:10">
      <c r="A561" s="3">
        <v>204</v>
      </c>
      <c r="B561" t="s">
        <v>607</v>
      </c>
      <c r="C561" t="s">
        <v>456</v>
      </c>
      <c r="E561" s="3">
        <f t="shared" si="25"/>
        <v>2</v>
      </c>
      <c r="F561" s="5">
        <v>44390.625</v>
      </c>
      <c r="G561" s="19" t="str">
        <f t="shared" si="24"/>
        <v/>
      </c>
      <c r="J561" s="28">
        <f t="shared" si="26"/>
        <v>0.53383458646616533</v>
      </c>
    </row>
    <row r="562" spans="1:10">
      <c r="A562" s="3">
        <v>233</v>
      </c>
      <c r="B562" t="s">
        <v>608</v>
      </c>
      <c r="C562" t="s">
        <v>456</v>
      </c>
      <c r="E562" s="3">
        <f t="shared" si="25"/>
        <v>3</v>
      </c>
      <c r="F562" s="5">
        <v>44391.625</v>
      </c>
      <c r="G562" s="19" t="str">
        <f t="shared" si="24"/>
        <v/>
      </c>
      <c r="J562" s="28">
        <f t="shared" si="26"/>
        <v>0.484076433121019</v>
      </c>
    </row>
    <row r="563" spans="1:10">
      <c r="A563" s="3">
        <v>214</v>
      </c>
      <c r="B563" t="s">
        <v>609</v>
      </c>
      <c r="C563" t="s">
        <v>456</v>
      </c>
      <c r="E563" s="3">
        <f t="shared" si="25"/>
        <v>4</v>
      </c>
      <c r="F563" s="5">
        <v>44392.625</v>
      </c>
      <c r="G563" s="19" t="str">
        <f t="shared" si="24"/>
        <v/>
      </c>
      <c r="J563" s="28">
        <f t="shared" si="26"/>
        <v>0.34591194968553451</v>
      </c>
    </row>
    <row r="564" spans="1:10">
      <c r="A564" s="3">
        <v>205</v>
      </c>
      <c r="B564" t="s">
        <v>610</v>
      </c>
      <c r="C564" t="s">
        <v>456</v>
      </c>
      <c r="E564" s="3">
        <f t="shared" si="25"/>
        <v>5</v>
      </c>
      <c r="F564" s="5">
        <v>44393.625</v>
      </c>
      <c r="G564" s="19" t="str">
        <f t="shared" si="24"/>
        <v/>
      </c>
      <c r="J564" s="28">
        <f t="shared" si="26"/>
        <v>0.17816091954022983</v>
      </c>
    </row>
    <row r="565" spans="1:10">
      <c r="A565" s="3">
        <v>135</v>
      </c>
      <c r="B565" t="s">
        <v>611</v>
      </c>
      <c r="C565" t="s">
        <v>456</v>
      </c>
      <c r="E565" s="3">
        <f t="shared" si="25"/>
        <v>6</v>
      </c>
      <c r="F565" s="5">
        <v>44394.625</v>
      </c>
      <c r="G565" s="19" t="str">
        <f t="shared" si="24"/>
        <v/>
      </c>
      <c r="J565" s="28">
        <f t="shared" si="26"/>
        <v>0.46739130434782616</v>
      </c>
    </row>
    <row r="566" spans="1:10">
      <c r="A566" s="3">
        <v>135</v>
      </c>
      <c r="B566" t="s">
        <v>612</v>
      </c>
      <c r="C566" t="s">
        <v>456</v>
      </c>
      <c r="E566" s="3">
        <f t="shared" si="25"/>
        <v>7</v>
      </c>
      <c r="F566" s="5">
        <v>44395.625</v>
      </c>
      <c r="G566" s="19" t="str">
        <f t="shared" si="24"/>
        <v/>
      </c>
      <c r="J566" s="28">
        <f t="shared" si="26"/>
        <v>0.35000000000000009</v>
      </c>
    </row>
    <row r="567" spans="1:10">
      <c r="A567" s="3">
        <v>213</v>
      </c>
      <c r="B567" t="s">
        <v>613</v>
      </c>
      <c r="C567" t="s">
        <v>456</v>
      </c>
      <c r="E567" s="3">
        <f t="shared" si="25"/>
        <v>1</v>
      </c>
      <c r="F567" s="5">
        <v>44396.625</v>
      </c>
      <c r="G567" s="19" t="str">
        <f t="shared" si="24"/>
        <v>2021-W29</v>
      </c>
      <c r="H567">
        <f>SUM(A567:A573)</f>
        <v>1481</v>
      </c>
      <c r="I567" s="28">
        <f>H567/H560-1</f>
        <v>0.12452543659832949</v>
      </c>
      <c r="J567" s="28">
        <f t="shared" si="26"/>
        <v>0.11518324607329844</v>
      </c>
    </row>
    <row r="568" spans="1:10">
      <c r="A568" s="3">
        <v>240</v>
      </c>
      <c r="B568" t="s">
        <v>614</v>
      </c>
      <c r="C568" t="s">
        <v>456</v>
      </c>
      <c r="E568" s="3">
        <f t="shared" si="25"/>
        <v>2</v>
      </c>
      <c r="F568" s="5">
        <v>44397.625</v>
      </c>
      <c r="G568" s="19" t="str">
        <f t="shared" si="24"/>
        <v/>
      </c>
      <c r="J568" s="28">
        <f t="shared" si="26"/>
        <v>0.17647058823529416</v>
      </c>
    </row>
    <row r="569" spans="1:10">
      <c r="A569" s="3">
        <v>226</v>
      </c>
      <c r="B569" t="s">
        <v>615</v>
      </c>
      <c r="C569" t="s">
        <v>456</v>
      </c>
      <c r="E569" s="3">
        <f t="shared" si="25"/>
        <v>3</v>
      </c>
      <c r="F569" s="5">
        <v>44398.625</v>
      </c>
      <c r="G569" s="19" t="str">
        <f t="shared" si="24"/>
        <v/>
      </c>
      <c r="J569" s="28">
        <f t="shared" si="26"/>
        <v>-3.0042918454935674E-2</v>
      </c>
    </row>
    <row r="570" spans="1:10">
      <c r="A570" s="3">
        <v>209</v>
      </c>
      <c r="B570" t="s">
        <v>616</v>
      </c>
      <c r="C570" t="s">
        <v>456</v>
      </c>
      <c r="E570" s="3">
        <f t="shared" si="25"/>
        <v>4</v>
      </c>
      <c r="F570" s="5">
        <v>44399.625</v>
      </c>
      <c r="G570" s="19" t="str">
        <f t="shared" si="24"/>
        <v/>
      </c>
      <c r="J570" s="28">
        <f t="shared" si="26"/>
        <v>-2.3364485981308358E-2</v>
      </c>
    </row>
    <row r="571" spans="1:10">
      <c r="A571" s="3">
        <v>240</v>
      </c>
      <c r="B571" t="s">
        <v>617</v>
      </c>
      <c r="C571" t="s">
        <v>456</v>
      </c>
      <c r="E571" s="3">
        <f t="shared" si="25"/>
        <v>5</v>
      </c>
      <c r="F571" s="5">
        <v>44400.625</v>
      </c>
      <c r="G571" s="19" t="str">
        <f t="shared" si="24"/>
        <v/>
      </c>
      <c r="J571" s="28">
        <f t="shared" si="26"/>
        <v>0.1707317073170731</v>
      </c>
    </row>
    <row r="572" spans="1:10">
      <c r="A572" s="3">
        <v>170</v>
      </c>
      <c r="B572" t="s">
        <v>618</v>
      </c>
      <c r="C572" t="s">
        <v>456</v>
      </c>
      <c r="E572" s="3">
        <f t="shared" si="25"/>
        <v>6</v>
      </c>
      <c r="F572" s="5">
        <v>44401.625</v>
      </c>
      <c r="G572" s="19" t="str">
        <f t="shared" si="24"/>
        <v/>
      </c>
      <c r="J572" s="28">
        <f t="shared" si="26"/>
        <v>0.2592592592592593</v>
      </c>
    </row>
    <row r="573" spans="1:10">
      <c r="A573" s="3">
        <v>183</v>
      </c>
      <c r="B573" t="s">
        <v>619</v>
      </c>
      <c r="C573" t="s">
        <v>456</v>
      </c>
      <c r="E573" s="3">
        <f t="shared" si="25"/>
        <v>7</v>
      </c>
      <c r="F573" s="5">
        <v>44402.625</v>
      </c>
      <c r="G573" s="19" t="str">
        <f t="shared" si="24"/>
        <v/>
      </c>
      <c r="J573" s="28">
        <f t="shared" si="26"/>
        <v>0.35555555555555562</v>
      </c>
    </row>
    <row r="574" spans="1:10">
      <c r="A574" s="3">
        <v>408</v>
      </c>
      <c r="B574" t="s">
        <v>620</v>
      </c>
      <c r="C574" t="s">
        <v>456</v>
      </c>
      <c r="E574" s="3">
        <f t="shared" si="25"/>
        <v>1</v>
      </c>
      <c r="F574" s="5">
        <v>44403.625</v>
      </c>
      <c r="G574" s="19" t="str">
        <f t="shared" si="24"/>
        <v>2021-W30</v>
      </c>
      <c r="H574">
        <f>SUM(A574:A580)</f>
        <v>2306</v>
      </c>
      <c r="I574" s="28">
        <f>H574/H567-1</f>
        <v>0.55705604321404456</v>
      </c>
      <c r="J574" s="28">
        <f t="shared" si="26"/>
        <v>0.91549295774647876</v>
      </c>
    </row>
    <row r="575" spans="1:10">
      <c r="A575" s="3">
        <v>317</v>
      </c>
      <c r="B575" t="s">
        <v>621</v>
      </c>
      <c r="C575" t="s">
        <v>456</v>
      </c>
      <c r="E575" s="3">
        <f t="shared" si="25"/>
        <v>2</v>
      </c>
      <c r="F575" s="5">
        <v>44404.625</v>
      </c>
      <c r="G575" s="19" t="str">
        <f t="shared" si="24"/>
        <v/>
      </c>
      <c r="J575" s="28">
        <f t="shared" si="26"/>
        <v>0.3208333333333333</v>
      </c>
    </row>
    <row r="576" spans="1:10">
      <c r="A576" s="3">
        <v>410</v>
      </c>
      <c r="B576" t="s">
        <v>622</v>
      </c>
      <c r="C576" t="s">
        <v>456</v>
      </c>
      <c r="E576" s="3">
        <f t="shared" si="25"/>
        <v>3</v>
      </c>
      <c r="F576" s="5">
        <v>44405.625</v>
      </c>
      <c r="G576" s="19" t="str">
        <f t="shared" si="24"/>
        <v/>
      </c>
      <c r="J576" s="28">
        <f t="shared" si="26"/>
        <v>0.81415929203539816</v>
      </c>
    </row>
    <row r="577" spans="1:10">
      <c r="A577" s="3">
        <v>357</v>
      </c>
      <c r="B577" t="s">
        <v>623</v>
      </c>
      <c r="C577" t="s">
        <v>456</v>
      </c>
      <c r="E577" s="3">
        <f t="shared" si="25"/>
        <v>4</v>
      </c>
      <c r="F577" s="5">
        <v>44406.625</v>
      </c>
      <c r="G577" s="19" t="str">
        <f t="shared" si="24"/>
        <v/>
      </c>
      <c r="J577" s="28">
        <f t="shared" si="26"/>
        <v>0.70813397129186595</v>
      </c>
    </row>
    <row r="578" spans="1:10">
      <c r="A578" s="3">
        <v>314</v>
      </c>
      <c r="B578" t="s">
        <v>624</v>
      </c>
      <c r="C578" t="s">
        <v>456</v>
      </c>
      <c r="E578" s="3">
        <f t="shared" si="25"/>
        <v>5</v>
      </c>
      <c r="F578" s="5">
        <v>44407.625</v>
      </c>
      <c r="G578" s="19" t="str">
        <f t="shared" si="24"/>
        <v/>
      </c>
      <c r="J578" s="28">
        <f t="shared" si="26"/>
        <v>0.30833333333333335</v>
      </c>
    </row>
    <row r="579" spans="1:10">
      <c r="A579" s="3">
        <v>232</v>
      </c>
      <c r="B579" t="s">
        <v>625</v>
      </c>
      <c r="C579" t="s">
        <v>456</v>
      </c>
      <c r="E579" s="3">
        <f t="shared" si="25"/>
        <v>6</v>
      </c>
      <c r="F579" s="5">
        <v>44408.625</v>
      </c>
      <c r="G579" s="19" t="str">
        <f t="shared" ref="G579:G642" si="27">IF(WEEKDAY(F579,2)=1,YEAR(F579)&amp;"-W"&amp;TEXT(WEEKNUM(F579,14),"00"),"")</f>
        <v/>
      </c>
      <c r="J579" s="28">
        <f t="shared" si="26"/>
        <v>0.36470588235294121</v>
      </c>
    </row>
    <row r="580" spans="1:10">
      <c r="A580" s="3">
        <v>268</v>
      </c>
      <c r="B580" t="s">
        <v>626</v>
      </c>
      <c r="C580" t="s">
        <v>456</v>
      </c>
      <c r="E580" s="3">
        <f t="shared" si="25"/>
        <v>7</v>
      </c>
      <c r="F580" s="5">
        <v>44409.625</v>
      </c>
      <c r="G580" s="19" t="str">
        <f t="shared" si="27"/>
        <v/>
      </c>
      <c r="J580" s="28">
        <f t="shared" si="26"/>
        <v>0.46448087431693996</v>
      </c>
    </row>
    <row r="581" spans="1:10">
      <c r="A581" s="3">
        <v>443</v>
      </c>
      <c r="B581" t="s">
        <v>627</v>
      </c>
      <c r="C581" t="s">
        <v>456</v>
      </c>
      <c r="E581" s="3">
        <f t="shared" ref="E581:E644" si="28">WEEKDAY(F581,2)</f>
        <v>1</v>
      </c>
      <c r="F581" s="5">
        <v>44410.625</v>
      </c>
      <c r="G581" s="19" t="str">
        <f t="shared" si="27"/>
        <v>2021-W31</v>
      </c>
      <c r="H581">
        <f>SUM(A581:A587)</f>
        <v>2404</v>
      </c>
      <c r="I581" s="28">
        <f>H581/H574-1</f>
        <v>4.249783174327848E-2</v>
      </c>
      <c r="J581" s="28">
        <f t="shared" si="26"/>
        <v>8.5784313725490113E-2</v>
      </c>
    </row>
    <row r="582" spans="1:10">
      <c r="A582" s="3">
        <v>435</v>
      </c>
      <c r="B582" t="s">
        <v>628</v>
      </c>
      <c r="C582" t="s">
        <v>456</v>
      </c>
      <c r="E582" s="3">
        <f t="shared" si="28"/>
        <v>2</v>
      </c>
      <c r="F582" s="5">
        <v>44411.625</v>
      </c>
      <c r="G582" s="19" t="str">
        <f t="shared" si="27"/>
        <v/>
      </c>
      <c r="J582" s="28">
        <f t="shared" si="26"/>
        <v>0.37223974763406931</v>
      </c>
    </row>
    <row r="583" spans="1:10">
      <c r="A583" s="3">
        <v>386</v>
      </c>
      <c r="B583" t="s">
        <v>629</v>
      </c>
      <c r="C583" t="s">
        <v>456</v>
      </c>
      <c r="E583" s="3">
        <f t="shared" si="28"/>
        <v>3</v>
      </c>
      <c r="F583" s="5">
        <v>44412.625</v>
      </c>
      <c r="G583" s="19" t="str">
        <f t="shared" si="27"/>
        <v/>
      </c>
      <c r="J583" s="28">
        <f t="shared" si="26"/>
        <v>-5.8536585365853711E-2</v>
      </c>
    </row>
    <row r="584" spans="1:10">
      <c r="A584" s="3">
        <v>341</v>
      </c>
      <c r="B584" t="s">
        <v>630</v>
      </c>
      <c r="C584" t="s">
        <v>456</v>
      </c>
      <c r="E584" s="3">
        <f t="shared" si="28"/>
        <v>4</v>
      </c>
      <c r="F584" s="5">
        <v>44413.625</v>
      </c>
      <c r="G584" s="19" t="str">
        <f t="shared" si="27"/>
        <v/>
      </c>
      <c r="J584" s="28">
        <f t="shared" si="26"/>
        <v>-4.4817927170868299E-2</v>
      </c>
    </row>
    <row r="585" spans="1:10">
      <c r="A585" s="3">
        <v>307</v>
      </c>
      <c r="B585" t="s">
        <v>631</v>
      </c>
      <c r="C585" t="s">
        <v>456</v>
      </c>
      <c r="E585" s="3">
        <f t="shared" si="28"/>
        <v>5</v>
      </c>
      <c r="F585" s="5">
        <v>44414.625</v>
      </c>
      <c r="G585" s="19" t="str">
        <f t="shared" si="27"/>
        <v/>
      </c>
      <c r="J585" s="28">
        <f t="shared" ref="J585:J641" si="29">A585/A578-1</f>
        <v>-2.2292993630573243E-2</v>
      </c>
    </row>
    <row r="586" spans="1:10">
      <c r="A586" s="3">
        <v>223</v>
      </c>
      <c r="B586" t="s">
        <v>632</v>
      </c>
      <c r="C586" t="s">
        <v>456</v>
      </c>
      <c r="E586" s="3">
        <f t="shared" si="28"/>
        <v>6</v>
      </c>
      <c r="F586" s="5">
        <v>44415.625</v>
      </c>
      <c r="G586" s="19" t="str">
        <f t="shared" si="27"/>
        <v/>
      </c>
      <c r="J586" s="28">
        <f t="shared" si="29"/>
        <v>-3.8793103448275912E-2</v>
      </c>
    </row>
    <row r="587" spans="1:10">
      <c r="A587" s="3">
        <v>269</v>
      </c>
      <c r="B587" t="s">
        <v>633</v>
      </c>
      <c r="C587" t="s">
        <v>456</v>
      </c>
      <c r="E587" s="3">
        <f t="shared" si="28"/>
        <v>7</v>
      </c>
      <c r="F587" s="5">
        <v>44416.625</v>
      </c>
      <c r="G587" s="19" t="str">
        <f t="shared" si="27"/>
        <v/>
      </c>
      <c r="J587" s="28">
        <f t="shared" si="29"/>
        <v>3.7313432835821558E-3</v>
      </c>
    </row>
    <row r="588" spans="1:10">
      <c r="A588" s="3">
        <v>227</v>
      </c>
      <c r="B588" t="s">
        <v>634</v>
      </c>
      <c r="C588" t="s">
        <v>456</v>
      </c>
      <c r="E588" s="3">
        <f t="shared" si="28"/>
        <v>1</v>
      </c>
      <c r="F588" s="5">
        <v>44417.625</v>
      </c>
      <c r="G588" s="19" t="str">
        <f t="shared" si="27"/>
        <v>2021-W32</v>
      </c>
      <c r="H588">
        <f>SUM(A588:A594)</f>
        <v>227</v>
      </c>
      <c r="I588" s="28">
        <f>H588/H581-1</f>
        <v>-0.90557404326123125</v>
      </c>
      <c r="J588" s="28">
        <f t="shared" si="29"/>
        <v>-0.48758465011286678</v>
      </c>
    </row>
    <row r="589" spans="1:10">
      <c r="A589" s="3">
        <v>0</v>
      </c>
      <c r="B589" t="s">
        <v>635</v>
      </c>
      <c r="C589" t="s">
        <v>456</v>
      </c>
      <c r="E589" s="3">
        <f t="shared" si="28"/>
        <v>2</v>
      </c>
      <c r="F589" s="5">
        <v>44418.359502314815</v>
      </c>
      <c r="G589" s="19" t="str">
        <f t="shared" si="27"/>
        <v/>
      </c>
      <c r="J589" s="28">
        <f t="shared" si="29"/>
        <v>-1</v>
      </c>
    </row>
    <row r="590" spans="1:10">
      <c r="E590" s="3">
        <f t="shared" si="28"/>
        <v>6</v>
      </c>
      <c r="G590" s="19" t="str">
        <f t="shared" si="27"/>
        <v/>
      </c>
      <c r="J590" s="28">
        <f t="shared" si="29"/>
        <v>-1</v>
      </c>
    </row>
    <row r="591" spans="1:10">
      <c r="E591" s="3">
        <f t="shared" si="28"/>
        <v>6</v>
      </c>
      <c r="G591" s="19" t="str">
        <f t="shared" si="27"/>
        <v/>
      </c>
      <c r="J591" s="28">
        <f t="shared" si="29"/>
        <v>-1</v>
      </c>
    </row>
    <row r="592" spans="1:10">
      <c r="E592" s="3">
        <f t="shared" si="28"/>
        <v>6</v>
      </c>
      <c r="G592" s="19" t="str">
        <f t="shared" si="27"/>
        <v/>
      </c>
      <c r="J592" s="28">
        <f t="shared" si="29"/>
        <v>-1</v>
      </c>
    </row>
    <row r="593" spans="5:10">
      <c r="E593" s="3">
        <f t="shared" si="28"/>
        <v>6</v>
      </c>
      <c r="G593" s="19" t="str">
        <f t="shared" si="27"/>
        <v/>
      </c>
      <c r="J593" s="28">
        <f t="shared" si="29"/>
        <v>-1</v>
      </c>
    </row>
    <row r="594" spans="5:10">
      <c r="E594" s="3">
        <f t="shared" si="28"/>
        <v>6</v>
      </c>
      <c r="G594" s="19" t="str">
        <f t="shared" si="27"/>
        <v/>
      </c>
      <c r="J594" s="28">
        <f t="shared" si="29"/>
        <v>-1</v>
      </c>
    </row>
    <row r="595" spans="5:10">
      <c r="E595" s="3">
        <f t="shared" si="28"/>
        <v>6</v>
      </c>
      <c r="G595" s="19" t="str">
        <f t="shared" si="27"/>
        <v/>
      </c>
      <c r="H595">
        <f>SUM(A595:A601)</f>
        <v>0</v>
      </c>
      <c r="I595" s="28">
        <f>H595/H588-1</f>
        <v>-1</v>
      </c>
      <c r="J595" s="28">
        <f t="shared" si="29"/>
        <v>-1</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350520</xdr:colOff>
                    <xdr:row>0</xdr:row>
                    <xdr:rowOff>45720</xdr:rowOff>
                  </from>
                  <to>
                    <xdr:col>1</xdr:col>
                    <xdr:colOff>1363980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88" workbookViewId="0">
      <selection activeCell="A88" sqref="A88"/>
    </sheetView>
  </sheetViews>
  <sheetFormatPr defaultRowHeight="14.4"/>
  <cols>
    <col min="1" max="1" width="12.88671875" bestFit="1" customWidth="1"/>
    <col min="4" max="4" width="10.109375" bestFit="1" customWidth="1"/>
    <col min="5" max="5" width="8.88671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397</v>
      </c>
      <c r="D371">
        <f>HUS!A371</f>
        <v>196</v>
      </c>
      <c r="E371" s="38">
        <f t="shared" si="5"/>
        <v>0.49370277078085645</v>
      </c>
    </row>
    <row r="372" spans="1:5">
      <c r="A372" s="30">
        <f>Kaikki!F372</f>
        <v>44201.625</v>
      </c>
      <c r="B372" s="37" t="str">
        <f>Kaikki!G372</f>
        <v/>
      </c>
      <c r="C372">
        <f>Kaikki!A372</f>
        <v>261</v>
      </c>
      <c r="D372">
        <f>HUS!A372</f>
        <v>153</v>
      </c>
      <c r="E372" s="38">
        <f t="shared" si="5"/>
        <v>0.58620689655172409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187</v>
      </c>
      <c r="D377">
        <f>HUS!A377</f>
        <v>119</v>
      </c>
      <c r="E377" s="38">
        <f t="shared" si="5"/>
        <v>0.63636363636363635</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96</v>
      </c>
      <c r="E384" s="38">
        <f t="shared" si="5"/>
        <v>0.48730964467005078</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407</v>
      </c>
      <c r="D387">
        <f>HUS!A387</f>
        <v>211</v>
      </c>
      <c r="E387" s="38">
        <f t="shared" ref="E387:E450" si="6">D387/C387</f>
        <v>0.51842751842751844</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255</v>
      </c>
      <c r="E392" s="38">
        <f t="shared" si="6"/>
        <v>0.42148760330578511</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599</v>
      </c>
      <c r="D422">
        <f>HUS!A422</f>
        <v>418</v>
      </c>
      <c r="E422" s="38">
        <f t="shared" si="6"/>
        <v>0.69782971619365608</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431</v>
      </c>
      <c r="E424" s="38">
        <f t="shared" si="6"/>
        <v>0.62645348837209303</v>
      </c>
    </row>
    <row r="425" spans="1:5">
      <c r="A425" s="30">
        <f>Kaikki!F425</f>
        <v>44254.625</v>
      </c>
      <c r="B425" s="37" t="str">
        <f>Kaikki!G425</f>
        <v/>
      </c>
      <c r="C425">
        <f>Kaikki!A425</f>
        <v>404</v>
      </c>
      <c r="D425">
        <f>HUS!A425</f>
        <v>268</v>
      </c>
      <c r="E425" s="38">
        <f t="shared" si="6"/>
        <v>0.6633663366336634</v>
      </c>
    </row>
    <row r="426" spans="1:5">
      <c r="A426" s="30">
        <f>Kaikki!F426</f>
        <v>44255.625</v>
      </c>
      <c r="B426" s="37" t="str">
        <f>Kaikki!G426</f>
        <v/>
      </c>
      <c r="C426">
        <f>Kaikki!A426</f>
        <v>424</v>
      </c>
      <c r="D426">
        <f>HUS!A426</f>
        <v>269</v>
      </c>
      <c r="E426" s="38">
        <f t="shared" si="6"/>
        <v>0.63443396226415094</v>
      </c>
    </row>
    <row r="427" spans="1:5">
      <c r="A427" s="30">
        <f>Kaikki!F427</f>
        <v>44256.625</v>
      </c>
      <c r="B427" s="37" t="str">
        <f>Kaikki!G427</f>
        <v>2021-W09</v>
      </c>
      <c r="C427">
        <f>Kaikki!A427</f>
        <v>873</v>
      </c>
      <c r="D427">
        <f>HUS!A427</f>
        <v>481</v>
      </c>
      <c r="E427" s="38">
        <f t="shared" si="6"/>
        <v>0.55097365406643761</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518</v>
      </c>
      <c r="E438" s="38">
        <f t="shared" si="6"/>
        <v>0.6410891089108911</v>
      </c>
    </row>
    <row r="439" spans="1:5">
      <c r="A439" s="30">
        <f>Kaikki!F439</f>
        <v>44268.625</v>
      </c>
      <c r="B439" s="37" t="str">
        <f>Kaikki!G439</f>
        <v/>
      </c>
      <c r="C439">
        <f>Kaikki!A439</f>
        <v>492</v>
      </c>
      <c r="D439">
        <f>HUS!A439</f>
        <v>327</v>
      </c>
      <c r="E439" s="38">
        <f t="shared" si="6"/>
        <v>0.66463414634146345</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374</v>
      </c>
      <c r="D454">
        <f>HUS!A454</f>
        <v>248</v>
      </c>
      <c r="E454" s="38">
        <f t="shared" si="7"/>
        <v>0.66310160427807485</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323</v>
      </c>
      <c r="D460">
        <f>HUS!A460</f>
        <v>190</v>
      </c>
      <c r="E460" s="38">
        <f t="shared" si="7"/>
        <v>0.58823529411764708</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361</v>
      </c>
      <c r="D462">
        <f>HUS!A462</f>
        <v>234</v>
      </c>
      <c r="E462" s="38">
        <f t="shared" si="7"/>
        <v>0.64819944598337953</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324</v>
      </c>
      <c r="D470">
        <f>HUS!A470</f>
        <v>155</v>
      </c>
      <c r="E470" s="38">
        <f t="shared" si="7"/>
        <v>0.47839506172839508</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205</v>
      </c>
      <c r="D491">
        <f>HUS!A491</f>
        <v>113</v>
      </c>
      <c r="E491" s="38">
        <f t="shared" si="7"/>
        <v>0.551219512195122</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217</v>
      </c>
      <c r="D498">
        <f>HUS!A498</f>
        <v>108</v>
      </c>
      <c r="E498" s="38">
        <f t="shared" si="7"/>
        <v>0.49769585253456222</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86</v>
      </c>
      <c r="E501" s="38">
        <f t="shared" si="7"/>
        <v>0.3510204081632653</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133</v>
      </c>
      <c r="D503">
        <f>HUS!A503</f>
        <v>55</v>
      </c>
      <c r="E503" s="38">
        <f t="shared" si="7"/>
        <v>0.41353383458646614</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107</v>
      </c>
      <c r="D509">
        <f>HUS!A509</f>
        <v>54</v>
      </c>
      <c r="E509" s="38">
        <f t="shared" si="7"/>
        <v>0.50467289719626163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150</v>
      </c>
      <c r="D518">
        <f>HUS!A518</f>
        <v>99</v>
      </c>
      <c r="E518" s="38">
        <f t="shared" si="8"/>
        <v>0.66</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102</v>
      </c>
      <c r="D522">
        <f>HUS!A522</f>
        <v>64</v>
      </c>
      <c r="E522" s="38">
        <f t="shared" si="8"/>
        <v>0.62745098039215685</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65</v>
      </c>
      <c r="D534">
        <f>HUS!A534</f>
        <v>35</v>
      </c>
      <c r="E534" s="38">
        <f t="shared" si="8"/>
        <v>0.53846153846153844</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80</v>
      </c>
      <c r="D536">
        <f>HUS!A536</f>
        <v>33</v>
      </c>
      <c r="E536" s="38">
        <f t="shared" si="8"/>
        <v>0.41249999999999998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146</v>
      </c>
      <c r="D541">
        <f>HUS!A541</f>
        <v>76</v>
      </c>
      <c r="E541" s="38">
        <f t="shared" si="8"/>
        <v>0.52054794520547942</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195</v>
      </c>
      <c r="D543">
        <f>HUS!A543</f>
        <v>126</v>
      </c>
      <c r="E543" s="38">
        <f t="shared" si="8"/>
        <v>0.64615384615384619</v>
      </c>
    </row>
    <row r="544" spans="1:5">
      <c r="A544" s="30">
        <f>Kaikki!F544</f>
        <v>44373.625</v>
      </c>
      <c r="B544" s="37" t="str">
        <f>Kaikki!G544</f>
        <v/>
      </c>
      <c r="C544">
        <f>Kaikki!A544</f>
        <v>129</v>
      </c>
      <c r="D544">
        <f>HUS!A544</f>
        <v>79</v>
      </c>
      <c r="E544" s="38">
        <f t="shared" si="8"/>
        <v>0.61240310077519378</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114</v>
      </c>
      <c r="E546" s="38">
        <f t="shared" si="8"/>
        <v>0.4956521739130435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207</v>
      </c>
      <c r="D549">
        <f>HUS!A549</f>
        <v>96</v>
      </c>
      <c r="E549" s="38">
        <f t="shared" si="8"/>
        <v>0.46376811594202899</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129</v>
      </c>
      <c r="D551">
        <f>HUS!A551</f>
        <v>60</v>
      </c>
      <c r="E551" s="38">
        <f t="shared" si="8"/>
        <v>0.46511627906976744</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245</v>
      </c>
      <c r="D553">
        <f>HUS!A553</f>
        <v>99</v>
      </c>
      <c r="E553" s="38">
        <f t="shared" si="8"/>
        <v>0.40408163265306124</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291</v>
      </c>
      <c r="D555">
        <f>HUS!A555</f>
        <v>157</v>
      </c>
      <c r="E555" s="38">
        <f t="shared" si="8"/>
        <v>0.53951890034364258</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topLeftCell="QX22" zoomScaleNormal="100" workbookViewId="0">
      <selection activeCell="QX37" sqref="QX37"/>
    </sheetView>
  </sheetViews>
  <sheetFormatPr defaultRowHeight="14.4"/>
  <cols>
    <col min="2" max="2" width="10.109375" bestFit="1" customWidth="1"/>
    <col min="3" max="3" width="10.109375" customWidth="1"/>
    <col min="4" max="4" width="10.88671875" bestFit="1" customWidth="1"/>
    <col min="6" max="6" width="9.88671875" bestFit="1" customWidth="1"/>
    <col min="7" max="7" width="11.44140625" customWidth="1"/>
    <col min="10" max="11" width="10.109375" bestFit="1" customWidth="1"/>
    <col min="12" max="12" width="9.109375" style="4"/>
    <col min="14" max="14" width="15.109375" style="16" bestFit="1" customWidth="1"/>
    <col min="15" max="15" width="15" bestFit="1" customWidth="1"/>
    <col min="17" max="17" width="9.88671875" style="16" customWidth="1"/>
    <col min="19" max="19" width="15" bestFit="1" customWidth="1"/>
    <col min="20" max="20" width="15" style="16" bestFit="1" customWidth="1"/>
    <col min="23" max="23" width="15" style="16" bestFit="1" customWidth="1"/>
    <col min="26" max="26" width="12.109375" style="16" customWidth="1"/>
    <col min="27" max="27" width="15" bestFit="1" customWidth="1"/>
    <col min="29" max="29" width="12.109375" style="16" customWidth="1"/>
    <col min="31" max="31" width="15" bestFit="1" customWidth="1"/>
    <col min="32" max="32" width="12.109375" style="16" customWidth="1"/>
    <col min="35" max="35" width="15" style="16" bestFit="1" customWidth="1"/>
    <col min="38" max="38" width="12.109375" style="16" customWidth="1"/>
    <col min="39" max="39" width="15" bestFit="1" customWidth="1"/>
    <col min="41" max="41" width="12.109375" style="16" customWidth="1"/>
    <col min="43" max="43" width="15" bestFit="1" customWidth="1"/>
    <col min="44" max="44" width="9.109375" style="16"/>
    <col min="47" max="47" width="9.109375" style="16"/>
    <col min="50" max="50" width="9.109375" style="16"/>
    <col min="53" max="53" width="9.109375" style="16"/>
    <col min="56" max="56" width="9.109375" style="16"/>
    <col min="59" max="59" width="9.109375" style="16"/>
    <col min="62" max="62" width="9.109375" style="16"/>
    <col min="65" max="65" width="9.109375" style="16"/>
    <col min="68" max="68" width="9.109375" style="16"/>
    <col min="71" max="71" width="9.109375" style="16"/>
    <col min="74" max="74" width="9.109375" style="16"/>
    <col min="77" max="77" width="9.109375" style="16"/>
    <col min="80" max="80" width="9.109375" style="16"/>
    <col min="83" max="83" width="9.109375" style="16"/>
    <col min="86" max="86" width="9.109375" style="16"/>
    <col min="89" max="89" width="9.109375" style="16"/>
  </cols>
  <sheetData>
    <row r="1" spans="1:797">
      <c r="C1" s="4"/>
    </row>
    <row r="2" spans="1:797">
      <c r="C2" s="4"/>
    </row>
    <row r="3" spans="1:797">
      <c r="C3" s="4"/>
    </row>
    <row r="4" spans="1:797">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797">
      <c r="C5" s="4" t="s">
        <v>5</v>
      </c>
      <c r="D5" t="s">
        <v>0</v>
      </c>
      <c r="E5" t="s">
        <v>6</v>
      </c>
      <c r="F5">
        <f ca="1">SUM(F7:F35)</f>
        <v>781</v>
      </c>
      <c r="G5" t="s">
        <v>227</v>
      </c>
      <c r="H5" t="s">
        <v>345</v>
      </c>
      <c r="J5" t="s">
        <v>346</v>
      </c>
      <c r="K5" t="s">
        <v>345</v>
      </c>
      <c r="N5" s="16" t="s">
        <v>302</v>
      </c>
      <c r="Q5" s="16" t="s">
        <v>303</v>
      </c>
      <c r="T5" s="16" t="s">
        <v>304</v>
      </c>
    </row>
    <row r="6" spans="1:797">
      <c r="B6" t="str">
        <f ca="1">IF(WEEKDAY(C6,2)=1,"Ma "&amp;TEXT(C6,"p"),TEXT(C6,"p.k"))</f>
        <v>Ma 12</v>
      </c>
      <c r="C6" s="4">
        <f t="shared" ref="C6:C34" ca="1" si="0">C7-1</f>
        <v>44389</v>
      </c>
      <c r="D6" s="11">
        <f t="shared" ref="D6:D35" ca="1" si="1">SUMIF(aika,"&lt;"&amp;(C6+1),DataN)</f>
        <v>98813</v>
      </c>
      <c r="P6" s="10">
        <v>244</v>
      </c>
    </row>
    <row r="7" spans="1:797" s="10" customFormat="1">
      <c r="B7" t="str">
        <f t="shared" ref="B7:B35" ca="1" si="2">IF(WEEKDAY(C7,2)=1,"Ma "&amp;TEXT(C7,"p"),TEXT(C7,"p.k"))</f>
        <v>13.7</v>
      </c>
      <c r="C7" s="9">
        <f t="shared" ca="1" si="0"/>
        <v>44390</v>
      </c>
      <c r="D7" s="10">
        <f t="shared" ca="1" si="1"/>
        <v>99154</v>
      </c>
      <c r="E7" s="10">
        <f t="shared" ref="E7:E35" ca="1" si="3">D7-D6</f>
        <v>341</v>
      </c>
      <c r="F7" s="10">
        <f t="shared" ref="F7:F35" ca="1" si="4">_xlfn.IFNA(E7-G7,"")</f>
        <v>0</v>
      </c>
      <c r="G7" s="10">
        <f ca="1">VLOOKUP(C7,Previous,3,FALSE)</f>
        <v>341</v>
      </c>
      <c r="H7" s="10">
        <f ca="1">SUM(E7:E13)</f>
        <v>2332</v>
      </c>
      <c r="J7" s="10">
        <f ca="1">SUM(E7:E20)</f>
        <v>5601</v>
      </c>
      <c r="L7" s="14"/>
      <c r="N7" s="17">
        <v>44390</v>
      </c>
      <c r="O7" s="10">
        <v>99154</v>
      </c>
      <c r="P7">
        <v>341</v>
      </c>
      <c r="Q7" s="17">
        <v>44390</v>
      </c>
      <c r="R7" s="10">
        <v>99154</v>
      </c>
      <c r="S7" s="10">
        <v>341</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v>44388</v>
      </c>
      <c r="ACQ7" s="10">
        <v>98813</v>
      </c>
      <c r="ACR7" s="10">
        <v>330</v>
      </c>
      <c r="ACS7" s="17">
        <v>44390</v>
      </c>
      <c r="ACT7" s="10">
        <v>99154</v>
      </c>
      <c r="ACU7" s="10">
        <v>341</v>
      </c>
      <c r="ACV7" s="17"/>
      <c r="ACY7" s="17"/>
      <c r="ADB7" s="17"/>
      <c r="ADE7" s="17"/>
      <c r="ADH7" s="17"/>
      <c r="ADK7" s="17"/>
      <c r="ADN7" s="17"/>
      <c r="ADQ7" s="17"/>
    </row>
    <row r="8" spans="1:797">
      <c r="B8" t="str">
        <f t="shared" ca="1" si="2"/>
        <v>14.7</v>
      </c>
      <c r="C8" s="4">
        <f t="shared" ca="1" si="0"/>
        <v>44391</v>
      </c>
      <c r="D8" s="11">
        <f t="shared" ca="1" si="1"/>
        <v>99540</v>
      </c>
      <c r="E8">
        <f t="shared" ca="1" si="3"/>
        <v>386</v>
      </c>
      <c r="F8" s="11">
        <f t="shared" ca="1" si="4"/>
        <v>0</v>
      </c>
      <c r="G8" s="11">
        <f t="shared" ref="G8:G35" ca="1" si="5">VLOOKUP(C8,Previous,3,FALSE)</f>
        <v>386</v>
      </c>
      <c r="L8" s="3"/>
      <c r="N8" s="16">
        <v>44391</v>
      </c>
      <c r="O8">
        <v>99540</v>
      </c>
      <c r="P8">
        <v>386</v>
      </c>
      <c r="Q8" s="16">
        <v>44391</v>
      </c>
      <c r="R8">
        <v>99540</v>
      </c>
      <c r="S8">
        <v>386</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v>44390</v>
      </c>
      <c r="ACQ8">
        <v>99154</v>
      </c>
      <c r="ACR8">
        <v>341</v>
      </c>
      <c r="ACS8" s="16">
        <v>44391</v>
      </c>
      <c r="ACT8">
        <v>99540</v>
      </c>
      <c r="ACU8">
        <v>386</v>
      </c>
      <c r="ACV8" s="16"/>
      <c r="ACY8" s="16"/>
      <c r="ADB8" s="16"/>
      <c r="ADE8" s="16"/>
      <c r="ADH8" s="16"/>
      <c r="ADK8" s="16"/>
      <c r="ADN8" s="16"/>
      <c r="ADQ8" s="16"/>
    </row>
    <row r="9" spans="1:797">
      <c r="B9" t="str">
        <f t="shared" ca="1" si="2"/>
        <v>15.7</v>
      </c>
      <c r="C9" s="4">
        <f t="shared" ca="1" si="0"/>
        <v>44392</v>
      </c>
      <c r="D9" s="11">
        <f t="shared" ca="1" si="1"/>
        <v>99919</v>
      </c>
      <c r="E9">
        <f t="shared" ca="1" si="3"/>
        <v>379</v>
      </c>
      <c r="F9" s="11">
        <f t="shared" ca="1" si="4"/>
        <v>0</v>
      </c>
      <c r="G9" s="11">
        <f t="shared" ca="1" si="5"/>
        <v>379</v>
      </c>
      <c r="L9" s="3"/>
      <c r="N9" s="16">
        <v>44392</v>
      </c>
      <c r="O9">
        <v>99919</v>
      </c>
      <c r="P9">
        <v>379</v>
      </c>
      <c r="Q9" s="16">
        <v>44392</v>
      </c>
      <c r="R9">
        <v>99919</v>
      </c>
      <c r="S9">
        <v>379</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v>44391</v>
      </c>
      <c r="ACQ9">
        <v>99540</v>
      </c>
      <c r="ACR9">
        <v>386</v>
      </c>
      <c r="ACS9" s="16">
        <v>44392</v>
      </c>
      <c r="ACT9">
        <v>99919</v>
      </c>
      <c r="ACU9">
        <v>379</v>
      </c>
      <c r="ACV9" s="16"/>
      <c r="ACY9" s="16"/>
      <c r="ADB9" s="16"/>
      <c r="ADE9" s="16"/>
      <c r="ADH9" s="16"/>
      <c r="ADK9" s="16"/>
      <c r="ADN9" s="16"/>
      <c r="ADQ9" s="16"/>
    </row>
    <row r="10" spans="1:797">
      <c r="B10" t="str">
        <f t="shared" ca="1" si="2"/>
        <v>16.7</v>
      </c>
      <c r="C10" s="4">
        <f t="shared" ca="1" si="0"/>
        <v>44393</v>
      </c>
      <c r="D10" s="11">
        <f t="shared" ca="1" si="1"/>
        <v>100274</v>
      </c>
      <c r="E10">
        <f t="shared" ca="1" si="3"/>
        <v>355</v>
      </c>
      <c r="F10" s="11">
        <f t="shared" ca="1" si="4"/>
        <v>0</v>
      </c>
      <c r="G10" s="11">
        <f t="shared" ca="1" si="5"/>
        <v>355</v>
      </c>
      <c r="L10" s="10"/>
      <c r="N10" s="16">
        <v>44393</v>
      </c>
      <c r="O10">
        <v>100274</v>
      </c>
      <c r="P10">
        <v>355</v>
      </c>
      <c r="Q10" s="16">
        <v>44393</v>
      </c>
      <c r="R10">
        <v>100274</v>
      </c>
      <c r="S10">
        <v>355</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v>44392</v>
      </c>
      <c r="ACQ10">
        <v>99919</v>
      </c>
      <c r="ACR10">
        <v>379</v>
      </c>
      <c r="ACS10" s="16">
        <v>44393</v>
      </c>
      <c r="ACT10">
        <v>100274</v>
      </c>
      <c r="ACU10">
        <v>355</v>
      </c>
      <c r="ACV10" s="16"/>
      <c r="ACY10" s="16"/>
      <c r="ADB10" s="16"/>
      <c r="ADE10" s="16"/>
      <c r="ADH10" s="16"/>
      <c r="ADK10" s="16"/>
      <c r="ADN10" s="16"/>
      <c r="ADQ10" s="16"/>
    </row>
    <row r="11" spans="1:797">
      <c r="B11" t="str">
        <f t="shared" ca="1" si="2"/>
        <v>17.7</v>
      </c>
      <c r="C11" s="4">
        <f t="shared" ca="1" si="0"/>
        <v>44394</v>
      </c>
      <c r="D11" s="11">
        <f t="shared" ca="1" si="1"/>
        <v>100477</v>
      </c>
      <c r="E11">
        <f t="shared" ca="1" si="3"/>
        <v>203</v>
      </c>
      <c r="F11" s="11">
        <f t="shared" ca="1" si="4"/>
        <v>0</v>
      </c>
      <c r="G11" s="11">
        <f t="shared" ca="1" si="5"/>
        <v>203</v>
      </c>
      <c r="K11" s="10">
        <f ca="1">SUM(E11:E17)</f>
        <v>2725</v>
      </c>
      <c r="L11" s="3"/>
      <c r="N11" s="16">
        <v>44394</v>
      </c>
      <c r="O11">
        <v>100477</v>
      </c>
      <c r="P11">
        <v>203</v>
      </c>
      <c r="Q11" s="16">
        <v>44394</v>
      </c>
      <c r="R11">
        <v>100477</v>
      </c>
      <c r="S11">
        <v>203</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v>44393</v>
      </c>
      <c r="ACQ11">
        <v>100274</v>
      </c>
      <c r="ACR11">
        <v>355</v>
      </c>
      <c r="ACS11" s="16">
        <v>44394</v>
      </c>
      <c r="ACT11">
        <v>100477</v>
      </c>
      <c r="ACU11">
        <v>203</v>
      </c>
      <c r="ACV11" s="16"/>
      <c r="ACY11" s="16"/>
      <c r="ADB11" s="16"/>
      <c r="ADE11" s="16"/>
      <c r="ADH11" s="16"/>
      <c r="ADK11" s="16"/>
      <c r="ADN11" s="16"/>
      <c r="ADQ11" s="16"/>
    </row>
    <row r="12" spans="1:797">
      <c r="B12" t="str">
        <f t="shared" ca="1" si="2"/>
        <v>18.7</v>
      </c>
      <c r="C12" s="4">
        <f t="shared" ca="1" si="0"/>
        <v>44395</v>
      </c>
      <c r="D12" s="11">
        <f t="shared" ca="1" si="1"/>
        <v>100724</v>
      </c>
      <c r="E12">
        <f t="shared" ca="1" si="3"/>
        <v>247</v>
      </c>
      <c r="F12" s="11">
        <f t="shared" ca="1" si="4"/>
        <v>0</v>
      </c>
      <c r="G12" s="11">
        <f t="shared" ca="1" si="5"/>
        <v>247</v>
      </c>
      <c r="L12" s="3"/>
      <c r="N12" s="16">
        <v>44395</v>
      </c>
      <c r="O12">
        <v>100724</v>
      </c>
      <c r="P12">
        <v>247</v>
      </c>
      <c r="Q12" s="16">
        <v>44395</v>
      </c>
      <c r="R12">
        <v>100724</v>
      </c>
      <c r="S12">
        <v>247</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v>44394</v>
      </c>
      <c r="ACQ12">
        <v>100477</v>
      </c>
      <c r="ACR12">
        <v>203</v>
      </c>
      <c r="ACS12" s="16">
        <v>44395</v>
      </c>
      <c r="ACT12">
        <v>100724</v>
      </c>
      <c r="ACU12">
        <v>247</v>
      </c>
      <c r="ACV12" s="16"/>
      <c r="ACY12" s="16"/>
      <c r="ADB12" s="16"/>
      <c r="ADE12" s="16"/>
      <c r="ADH12" s="16"/>
      <c r="ADK12" s="16"/>
      <c r="ADN12" s="16"/>
      <c r="ADQ12" s="16"/>
    </row>
    <row r="13" spans="1:797">
      <c r="B13" t="str">
        <f t="shared" ca="1" si="2"/>
        <v>Ma 19</v>
      </c>
      <c r="C13" s="4">
        <f t="shared" ca="1" si="0"/>
        <v>44396</v>
      </c>
      <c r="D13" s="11">
        <f t="shared" ca="1" si="1"/>
        <v>101145</v>
      </c>
      <c r="E13">
        <f t="shared" ca="1" si="3"/>
        <v>421</v>
      </c>
      <c r="F13" s="11">
        <f t="shared" ca="1" si="4"/>
        <v>0</v>
      </c>
      <c r="G13" s="11">
        <f t="shared" ca="1" si="5"/>
        <v>421</v>
      </c>
      <c r="H13" s="10"/>
      <c r="L13" s="3"/>
      <c r="N13" s="16">
        <v>44396</v>
      </c>
      <c r="O13">
        <v>101145</v>
      </c>
      <c r="P13" s="10">
        <v>421</v>
      </c>
      <c r="Q13" s="16">
        <v>44396</v>
      </c>
      <c r="R13">
        <v>101145</v>
      </c>
      <c r="S13">
        <v>421</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v>44395</v>
      </c>
      <c r="ACQ13">
        <v>100724</v>
      </c>
      <c r="ACR13">
        <v>247</v>
      </c>
      <c r="ACS13" s="16">
        <v>44396</v>
      </c>
      <c r="ACT13">
        <v>101145</v>
      </c>
      <c r="ACU13">
        <v>421</v>
      </c>
      <c r="ACV13" s="16"/>
      <c r="ACY13" s="16"/>
      <c r="ADB13" s="16"/>
      <c r="ADE13" s="16"/>
      <c r="ADH13" s="16"/>
      <c r="ADK13" s="16"/>
      <c r="ADN13" s="16"/>
      <c r="ADQ13" s="16"/>
    </row>
    <row r="14" spans="1:797" s="10" customFormat="1">
      <c r="B14" t="str">
        <f t="shared" ca="1" si="2"/>
        <v>20.7</v>
      </c>
      <c r="C14" s="9">
        <f t="shared" ca="1" si="0"/>
        <v>44397</v>
      </c>
      <c r="D14" s="10">
        <f t="shared" ca="1" si="1"/>
        <v>101566</v>
      </c>
      <c r="E14" s="10">
        <f t="shared" ca="1" si="3"/>
        <v>421</v>
      </c>
      <c r="F14" s="10">
        <f t="shared" ca="1" si="4"/>
        <v>-1</v>
      </c>
      <c r="G14" s="10">
        <f t="shared" ca="1" si="5"/>
        <v>422</v>
      </c>
      <c r="H14" s="10">
        <f ca="1">SUM(E14:E20)</f>
        <v>3269</v>
      </c>
      <c r="I14" s="10" t="str">
        <f ca="1">TEXT(H14/H7-1,"0 %")</f>
        <v>40 %</v>
      </c>
      <c r="L14" s="14"/>
      <c r="M14"/>
      <c r="N14" s="17">
        <v>44397</v>
      </c>
      <c r="O14" s="10">
        <v>101567</v>
      </c>
      <c r="P14">
        <v>422</v>
      </c>
      <c r="Q14" s="17">
        <v>44397</v>
      </c>
      <c r="R14" s="10">
        <v>101566</v>
      </c>
      <c r="S14" s="10">
        <v>421</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v>44396</v>
      </c>
      <c r="ACQ14" s="10">
        <v>101145</v>
      </c>
      <c r="ACR14" s="10">
        <v>421</v>
      </c>
      <c r="ACS14" s="17">
        <v>44397</v>
      </c>
      <c r="ACT14" s="10">
        <v>101567</v>
      </c>
      <c r="ACU14" s="10">
        <v>422</v>
      </c>
      <c r="ACV14" s="17"/>
      <c r="ACY14" s="17"/>
      <c r="ADB14" s="17"/>
      <c r="ADE14" s="17"/>
      <c r="ADH14" s="17"/>
      <c r="ADK14" s="17"/>
      <c r="ADN14" s="17"/>
      <c r="ADQ14" s="17"/>
    </row>
    <row r="15" spans="1:797">
      <c r="B15" t="str">
        <f t="shared" ca="1" si="2"/>
        <v>21.7</v>
      </c>
      <c r="C15" s="4">
        <f t="shared" ca="1" si="0"/>
        <v>44398</v>
      </c>
      <c r="D15" s="11">
        <f t="shared" ca="1" si="1"/>
        <v>102033</v>
      </c>
      <c r="E15">
        <f t="shared" ca="1" si="3"/>
        <v>467</v>
      </c>
      <c r="F15" s="11">
        <f t="shared" ca="1" si="4"/>
        <v>0</v>
      </c>
      <c r="G15" s="11">
        <f t="shared" ca="1" si="5"/>
        <v>467</v>
      </c>
      <c r="L15" s="3"/>
      <c r="N15" s="16">
        <v>44398</v>
      </c>
      <c r="O15">
        <v>102034</v>
      </c>
      <c r="P15">
        <v>467</v>
      </c>
      <c r="Q15" s="16">
        <v>44398</v>
      </c>
      <c r="R15">
        <v>102033</v>
      </c>
      <c r="S15">
        <v>467</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v>44397</v>
      </c>
      <c r="ACQ15">
        <v>101567</v>
      </c>
      <c r="ACR15">
        <v>422</v>
      </c>
      <c r="ACS15" s="16">
        <v>44398</v>
      </c>
      <c r="ACT15">
        <v>102034</v>
      </c>
      <c r="ACU15">
        <v>467</v>
      </c>
      <c r="ACV15" s="16"/>
      <c r="ACY15" s="16"/>
      <c r="ADB15" s="16"/>
      <c r="ADE15" s="16"/>
      <c r="ADH15" s="16"/>
      <c r="ADK15" s="16"/>
      <c r="ADN15" s="16"/>
      <c r="ADQ15" s="16"/>
    </row>
    <row r="16" spans="1:797">
      <c r="B16" t="str">
        <f t="shared" ca="1" si="2"/>
        <v>22.7</v>
      </c>
      <c r="C16" s="4">
        <f t="shared" ca="1" si="0"/>
        <v>44399</v>
      </c>
      <c r="D16" s="11">
        <f t="shared" ca="1" si="1"/>
        <v>102520</v>
      </c>
      <c r="E16">
        <f t="shared" ca="1" si="3"/>
        <v>487</v>
      </c>
      <c r="F16" s="11">
        <f t="shared" ca="1" si="4"/>
        <v>0</v>
      </c>
      <c r="G16" s="11">
        <f t="shared" ca="1" si="5"/>
        <v>487</v>
      </c>
      <c r="L16" s="3"/>
      <c r="N16" s="16">
        <v>44399</v>
      </c>
      <c r="O16">
        <v>102521</v>
      </c>
      <c r="P16">
        <v>487</v>
      </c>
      <c r="Q16" s="16">
        <v>44399</v>
      </c>
      <c r="R16">
        <v>102520</v>
      </c>
      <c r="S16">
        <v>487</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v>44398</v>
      </c>
      <c r="ACQ16">
        <v>102034</v>
      </c>
      <c r="ACR16">
        <v>467</v>
      </c>
      <c r="ACS16" s="16">
        <v>44399</v>
      </c>
      <c r="ACT16">
        <v>102521</v>
      </c>
      <c r="ACU16">
        <v>487</v>
      </c>
      <c r="ACV16" s="16"/>
      <c r="ACY16" s="16"/>
      <c r="ADB16" s="16"/>
      <c r="ADE16" s="16"/>
      <c r="ADH16" s="16"/>
      <c r="ADK16" s="16"/>
      <c r="ADN16" s="16"/>
      <c r="ADQ16" s="16"/>
    </row>
    <row r="17" spans="2:797">
      <c r="B17" t="str">
        <f t="shared" ca="1" si="2"/>
        <v>23.7</v>
      </c>
      <c r="C17" s="4">
        <f t="shared" ca="1" si="0"/>
        <v>44400</v>
      </c>
      <c r="D17" s="11">
        <f t="shared" ca="1" si="1"/>
        <v>102999</v>
      </c>
      <c r="E17">
        <f t="shared" ca="1" si="3"/>
        <v>479</v>
      </c>
      <c r="F17" s="11">
        <f t="shared" ca="1" si="4"/>
        <v>0</v>
      </c>
      <c r="G17" s="11">
        <f t="shared" ca="1" si="5"/>
        <v>479</v>
      </c>
      <c r="N17" s="16">
        <v>44400</v>
      </c>
      <c r="O17">
        <v>103000</v>
      </c>
      <c r="P17">
        <v>479</v>
      </c>
      <c r="Q17" s="16">
        <v>44400</v>
      </c>
      <c r="R17">
        <v>102999</v>
      </c>
      <c r="S17">
        <v>479</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v>44399</v>
      </c>
      <c r="ACQ17">
        <v>102521</v>
      </c>
      <c r="ACR17">
        <v>487</v>
      </c>
      <c r="ACS17" s="16">
        <v>44400</v>
      </c>
      <c r="ACT17">
        <v>103000</v>
      </c>
      <c r="ACU17">
        <v>479</v>
      </c>
      <c r="ACV17" s="16"/>
      <c r="ACY17" s="16"/>
      <c r="ADB17" s="16"/>
      <c r="ADE17" s="16"/>
      <c r="ADH17" s="16"/>
      <c r="ADK17" s="16"/>
      <c r="ADN17" s="16"/>
      <c r="ADQ17" s="16"/>
    </row>
    <row r="18" spans="2:797">
      <c r="B18" t="str">
        <f t="shared" ca="1" si="2"/>
        <v>24.7</v>
      </c>
      <c r="C18" s="4">
        <f t="shared" ca="1" si="0"/>
        <v>44401</v>
      </c>
      <c r="D18" s="11">
        <f t="shared" ca="1" si="1"/>
        <v>103297</v>
      </c>
      <c r="E18">
        <f t="shared" ca="1" si="3"/>
        <v>298</v>
      </c>
      <c r="F18" s="11">
        <f t="shared" ca="1" si="4"/>
        <v>0</v>
      </c>
      <c r="G18" s="11">
        <f t="shared" ca="1" si="5"/>
        <v>298</v>
      </c>
      <c r="K18" s="10">
        <f ca="1">SUM(E18:E24)</f>
        <v>4391</v>
      </c>
      <c r="L18" s="10" t="str">
        <f ca="1">TEXT(K18/K11-1,"0 %")</f>
        <v>61 %</v>
      </c>
      <c r="N18" s="16">
        <v>44401</v>
      </c>
      <c r="O18">
        <v>103298</v>
      </c>
      <c r="P18">
        <v>298</v>
      </c>
      <c r="Q18" s="16">
        <v>44401</v>
      </c>
      <c r="R18">
        <v>103297</v>
      </c>
      <c r="S18">
        <v>298</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v>44400</v>
      </c>
      <c r="ACQ18">
        <v>103000</v>
      </c>
      <c r="ACR18">
        <v>479</v>
      </c>
      <c r="ACS18" s="16">
        <v>44401</v>
      </c>
      <c r="ACT18">
        <v>103298</v>
      </c>
      <c r="ACU18">
        <v>298</v>
      </c>
      <c r="ACV18" s="16"/>
      <c r="ACY18" s="16"/>
      <c r="ADB18" s="16"/>
      <c r="ADE18" s="16"/>
      <c r="ADH18" s="16"/>
      <c r="ADK18" s="16"/>
      <c r="ADN18" s="16"/>
      <c r="ADQ18" s="16"/>
    </row>
    <row r="19" spans="2:797">
      <c r="B19" t="str">
        <f t="shared" ca="1" si="2"/>
        <v>25.7</v>
      </c>
      <c r="C19" s="4">
        <f t="shared" ca="1" si="0"/>
        <v>44402</v>
      </c>
      <c r="D19" s="11">
        <f t="shared" ca="1" si="1"/>
        <v>103648</v>
      </c>
      <c r="E19">
        <f t="shared" ca="1" si="3"/>
        <v>351</v>
      </c>
      <c r="F19" s="11">
        <f t="shared" ca="1" si="4"/>
        <v>0</v>
      </c>
      <c r="G19" s="11">
        <f t="shared" ca="1" si="5"/>
        <v>351</v>
      </c>
      <c r="L19" s="3"/>
      <c r="N19" s="16">
        <v>44402</v>
      </c>
      <c r="O19">
        <v>103649</v>
      </c>
      <c r="P19">
        <v>351</v>
      </c>
      <c r="Q19" s="16">
        <v>44402</v>
      </c>
      <c r="R19">
        <v>103648</v>
      </c>
      <c r="S19">
        <v>351</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v>44401</v>
      </c>
      <c r="ACQ19">
        <v>103298</v>
      </c>
      <c r="ACR19">
        <v>298</v>
      </c>
      <c r="ACS19" s="16">
        <v>44402</v>
      </c>
      <c r="ACT19">
        <v>103649</v>
      </c>
      <c r="ACU19">
        <v>351</v>
      </c>
      <c r="ACV19" s="16"/>
      <c r="ACY19" s="16"/>
      <c r="ADB19" s="16"/>
      <c r="ADE19" s="16"/>
      <c r="ADH19" s="16"/>
      <c r="ADK19" s="16"/>
      <c r="ADN19" s="16"/>
      <c r="ADQ19" s="16"/>
    </row>
    <row r="20" spans="2:797">
      <c r="B20" t="str">
        <f t="shared" ca="1" si="2"/>
        <v>Ma 26</v>
      </c>
      <c r="C20" s="4">
        <f t="shared" ca="1" si="0"/>
        <v>44403</v>
      </c>
      <c r="D20" s="11">
        <f t="shared" ca="1" si="1"/>
        <v>104414</v>
      </c>
      <c r="E20">
        <f t="shared" ca="1" si="3"/>
        <v>766</v>
      </c>
      <c r="F20" s="11">
        <f t="shared" ca="1" si="4"/>
        <v>0</v>
      </c>
      <c r="G20" s="11">
        <f t="shared" ca="1" si="5"/>
        <v>766</v>
      </c>
      <c r="L20" s="3"/>
      <c r="N20" s="16">
        <v>44403</v>
      </c>
      <c r="O20">
        <v>104415</v>
      </c>
      <c r="P20" s="10">
        <v>766</v>
      </c>
      <c r="Q20" s="16">
        <v>44403</v>
      </c>
      <c r="R20">
        <v>104414</v>
      </c>
      <c r="S20">
        <v>766</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v>44402</v>
      </c>
      <c r="ACQ20">
        <v>103649</v>
      </c>
      <c r="ACR20">
        <v>351</v>
      </c>
      <c r="ACS20" s="16">
        <v>44403</v>
      </c>
      <c r="ACT20">
        <v>104415</v>
      </c>
      <c r="ACU20">
        <v>766</v>
      </c>
      <c r="ACV20" s="16"/>
      <c r="ACY20" s="16"/>
      <c r="ADB20" s="16"/>
      <c r="ADE20" s="16"/>
      <c r="ADH20" s="16"/>
      <c r="ADK20" s="16"/>
      <c r="ADN20" s="16"/>
      <c r="ADQ20" s="16"/>
    </row>
    <row r="21" spans="2:797" s="10" customFormat="1">
      <c r="B21" t="str">
        <f t="shared" ca="1" si="2"/>
        <v>27.7</v>
      </c>
      <c r="C21" s="9">
        <f t="shared" ca="1" si="0"/>
        <v>44404</v>
      </c>
      <c r="D21" s="10">
        <f t="shared" ca="1" si="1"/>
        <v>105089</v>
      </c>
      <c r="E21" s="10">
        <f t="shared" ca="1" si="3"/>
        <v>675</v>
      </c>
      <c r="F21" s="10">
        <f t="shared" ca="1" si="4"/>
        <v>0</v>
      </c>
      <c r="G21" s="10">
        <f t="shared" ca="1" si="5"/>
        <v>675</v>
      </c>
      <c r="H21" s="10">
        <f ca="1">SUM(E21:E27)</f>
        <v>4747</v>
      </c>
      <c r="I21" s="10" t="str">
        <f ca="1">TEXT(H21/H14-1,"0 %")</f>
        <v>45 %</v>
      </c>
      <c r="J21" s="10">
        <f ca="1">SUM(E21:E34)</f>
        <v>9023</v>
      </c>
      <c r="L21" s="14"/>
      <c r="M21"/>
      <c r="N21" s="17">
        <v>44404</v>
      </c>
      <c r="O21" s="10">
        <v>105090</v>
      </c>
      <c r="P21">
        <v>675</v>
      </c>
      <c r="Q21" s="17">
        <v>44404</v>
      </c>
      <c r="R21" s="10">
        <v>105089</v>
      </c>
      <c r="S21" s="10">
        <v>675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v>44403</v>
      </c>
      <c r="ACQ21" s="10">
        <v>104415</v>
      </c>
      <c r="ACR21" s="10">
        <v>766</v>
      </c>
      <c r="ACS21" s="17">
        <v>44404</v>
      </c>
      <c r="ACT21" s="10">
        <v>105090</v>
      </c>
      <c r="ACU21" s="10">
        <v>675</v>
      </c>
      <c r="ACV21" s="17"/>
      <c r="ACY21" s="17"/>
      <c r="ADB21" s="17"/>
      <c r="ADE21" s="17"/>
      <c r="ADH21" s="17"/>
      <c r="ADK21" s="17"/>
      <c r="ADN21" s="17"/>
      <c r="ADQ21" s="17"/>
    </row>
    <row r="22" spans="2:797">
      <c r="B22" t="str">
        <f t="shared" ca="1" si="2"/>
        <v>28.7</v>
      </c>
      <c r="C22" s="4">
        <f t="shared" ca="1" si="0"/>
        <v>44405</v>
      </c>
      <c r="D22" s="11">
        <f t="shared" ca="1" si="1"/>
        <v>105933</v>
      </c>
      <c r="E22">
        <f t="shared" ca="1" si="3"/>
        <v>844</v>
      </c>
      <c r="F22" s="11">
        <f t="shared" ca="1" si="4"/>
        <v>0</v>
      </c>
      <c r="G22" s="11">
        <f t="shared" ca="1" si="5"/>
        <v>844</v>
      </c>
      <c r="H22" s="10"/>
      <c r="L22" s="3"/>
      <c r="N22" s="16">
        <v>44405</v>
      </c>
      <c r="O22">
        <v>105934</v>
      </c>
      <c r="P22">
        <v>844</v>
      </c>
      <c r="Q22" s="16">
        <v>44405</v>
      </c>
      <c r="R22">
        <v>105933</v>
      </c>
      <c r="S22">
        <v>844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v>44404</v>
      </c>
      <c r="ACQ22">
        <v>105090</v>
      </c>
      <c r="ACR22">
        <v>675</v>
      </c>
      <c r="ACS22" s="16">
        <v>44405</v>
      </c>
      <c r="ACT22">
        <v>105934</v>
      </c>
      <c r="ACU22">
        <v>844</v>
      </c>
      <c r="ACV22" s="16"/>
      <c r="ACY22" s="16"/>
      <c r="ADB22" s="16"/>
      <c r="ADE22" s="16"/>
      <c r="ADH22" s="16"/>
      <c r="ADK22" s="16"/>
      <c r="ADN22" s="16"/>
      <c r="ADQ22" s="16"/>
    </row>
    <row r="23" spans="2:797">
      <c r="B23" t="str">
        <f t="shared" ca="1" si="2"/>
        <v>29.7</v>
      </c>
      <c r="C23" s="4">
        <f t="shared" ca="1" si="0"/>
        <v>44406</v>
      </c>
      <c r="D23" s="11">
        <f t="shared" ca="1" si="1"/>
        <v>106698</v>
      </c>
      <c r="E23">
        <f t="shared" ca="1" si="3"/>
        <v>765</v>
      </c>
      <c r="F23" s="11">
        <f t="shared" ca="1" si="4"/>
        <v>-1</v>
      </c>
      <c r="G23" s="11">
        <f t="shared" ca="1" si="5"/>
        <v>766</v>
      </c>
      <c r="K23" s="13"/>
      <c r="L23" s="3"/>
      <c r="N23" s="16">
        <v>44406</v>
      </c>
      <c r="O23">
        <v>106700</v>
      </c>
      <c r="P23">
        <v>766</v>
      </c>
      <c r="Q23" s="16">
        <v>44406</v>
      </c>
      <c r="R23">
        <v>106698</v>
      </c>
      <c r="S23">
        <v>765</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v>44405</v>
      </c>
      <c r="ACQ23">
        <v>105934</v>
      </c>
      <c r="ACR23">
        <v>844</v>
      </c>
      <c r="ACS23" s="16">
        <v>44406</v>
      </c>
      <c r="ACT23">
        <v>106700</v>
      </c>
      <c r="ACU23">
        <v>766</v>
      </c>
      <c r="ACV23" s="16"/>
      <c r="ACY23" s="16"/>
      <c r="ADB23" s="16"/>
      <c r="ADE23" s="16"/>
      <c r="ADH23" s="16"/>
      <c r="ADK23" s="16"/>
      <c r="ADN23" s="16"/>
      <c r="ADQ23" s="16"/>
    </row>
    <row r="24" spans="2:797">
      <c r="B24" t="str">
        <f t="shared" ca="1" si="2"/>
        <v>30.7</v>
      </c>
      <c r="C24" s="4">
        <f t="shared" ca="1" si="0"/>
        <v>44407</v>
      </c>
      <c r="D24" s="11">
        <f t="shared" ca="1" si="1"/>
        <v>107390</v>
      </c>
      <c r="E24">
        <f t="shared" ca="1" si="3"/>
        <v>692</v>
      </c>
      <c r="F24" s="11">
        <f t="shared" ca="1" si="4"/>
        <v>-1</v>
      </c>
      <c r="G24" s="11">
        <f t="shared" ca="1" si="5"/>
        <v>693</v>
      </c>
      <c r="N24" s="16">
        <v>44407</v>
      </c>
      <c r="O24">
        <v>107393</v>
      </c>
      <c r="P24">
        <v>693</v>
      </c>
      <c r="Q24" s="16">
        <v>44407</v>
      </c>
      <c r="R24">
        <v>107390</v>
      </c>
      <c r="S24">
        <v>692</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v>44406</v>
      </c>
      <c r="ACQ24">
        <v>106699</v>
      </c>
      <c r="ACR24">
        <v>765</v>
      </c>
      <c r="ACS24" s="16">
        <v>44407</v>
      </c>
      <c r="ACT24">
        <v>107393</v>
      </c>
      <c r="ACU24">
        <v>693</v>
      </c>
      <c r="ACV24" s="16"/>
      <c r="ACY24" s="16"/>
      <c r="ADB24" s="16"/>
      <c r="ADE24" s="16"/>
      <c r="ADH24" s="16"/>
      <c r="ADK24" s="16"/>
      <c r="ADN24" s="16"/>
      <c r="ADQ24" s="16"/>
    </row>
    <row r="25" spans="2:797">
      <c r="B25" t="str">
        <f t="shared" ca="1" si="2"/>
        <v>31.7</v>
      </c>
      <c r="C25" s="4">
        <f t="shared" ca="1" si="0"/>
        <v>44408</v>
      </c>
      <c r="D25" s="11">
        <f t="shared" ca="1" si="1"/>
        <v>107793</v>
      </c>
      <c r="E25">
        <f t="shared" ca="1" si="3"/>
        <v>403</v>
      </c>
      <c r="F25" s="11">
        <f t="shared" ca="1" si="4"/>
        <v>-2</v>
      </c>
      <c r="G25" s="11">
        <f t="shared" ca="1" si="5"/>
        <v>405</v>
      </c>
      <c r="J25" s="10"/>
      <c r="K25" s="10">
        <f ca="1">SUM(E25:E31)</f>
        <v>4871</v>
      </c>
      <c r="L25" s="10" t="str">
        <f ca="1">TEXT(K25/K18-1,"0 %")</f>
        <v>11 %</v>
      </c>
      <c r="N25" s="16">
        <v>44408</v>
      </c>
      <c r="O25">
        <v>107798</v>
      </c>
      <c r="P25">
        <v>405</v>
      </c>
      <c r="Q25" s="16">
        <v>44408</v>
      </c>
      <c r="R25">
        <v>107793</v>
      </c>
      <c r="S25">
        <v>403</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v>44407</v>
      </c>
      <c r="ACQ25">
        <v>107392</v>
      </c>
      <c r="ACR25">
        <v>693</v>
      </c>
      <c r="ACS25" s="16">
        <v>44408</v>
      </c>
      <c r="ACT25">
        <v>107798</v>
      </c>
      <c r="ACU25">
        <v>405</v>
      </c>
      <c r="ACV25" s="16"/>
      <c r="ACY25" s="16"/>
      <c r="ADB25" s="16"/>
      <c r="ADE25" s="16"/>
      <c r="ADH25" s="16"/>
      <c r="ADK25" s="16"/>
      <c r="ADN25" s="16"/>
      <c r="ADQ25" s="16"/>
    </row>
    <row r="26" spans="2:797">
      <c r="B26" t="str">
        <f t="shared" ca="1" si="2"/>
        <v>1.8</v>
      </c>
      <c r="C26" s="4">
        <f t="shared" ca="1" si="0"/>
        <v>44409</v>
      </c>
      <c r="D26" s="11">
        <f t="shared" ca="1" si="1"/>
        <v>108267</v>
      </c>
      <c r="E26">
        <f t="shared" ca="1" si="3"/>
        <v>474</v>
      </c>
      <c r="F26" s="11">
        <f t="shared" ca="1" si="4"/>
        <v>-2</v>
      </c>
      <c r="G26" s="11">
        <f t="shared" ca="1" si="5"/>
        <v>476</v>
      </c>
      <c r="L26" s="3"/>
      <c r="N26" s="16">
        <v>44409</v>
      </c>
      <c r="O26">
        <v>108274</v>
      </c>
      <c r="P26">
        <v>476</v>
      </c>
      <c r="Q26" s="16">
        <v>44409</v>
      </c>
      <c r="R26">
        <v>108267</v>
      </c>
      <c r="S26">
        <v>474</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v>44408</v>
      </c>
      <c r="ACQ26">
        <v>107798</v>
      </c>
      <c r="ACR26">
        <v>406</v>
      </c>
      <c r="ACS26" s="16">
        <v>44409</v>
      </c>
      <c r="ACT26">
        <v>108274</v>
      </c>
      <c r="ACU26">
        <v>476</v>
      </c>
      <c r="ACV26" s="16"/>
      <c r="ACY26" s="16"/>
      <c r="ADB26" s="16"/>
      <c r="ADE26" s="16"/>
      <c r="ADH26" s="16"/>
      <c r="ADK26" s="16"/>
      <c r="ADN26" s="16"/>
      <c r="ADQ26" s="16"/>
    </row>
    <row r="27" spans="2:797">
      <c r="B27" t="str">
        <f t="shared" ca="1" si="2"/>
        <v>Ma 2</v>
      </c>
      <c r="C27" s="4">
        <f t="shared" ca="1" si="0"/>
        <v>44410</v>
      </c>
      <c r="D27" s="11">
        <f t="shared" ca="1" si="1"/>
        <v>109161</v>
      </c>
      <c r="E27">
        <f t="shared" ca="1" si="3"/>
        <v>894</v>
      </c>
      <c r="F27" s="11">
        <f t="shared" ca="1" si="4"/>
        <v>-6</v>
      </c>
      <c r="G27" s="11">
        <f t="shared" ca="1" si="5"/>
        <v>900</v>
      </c>
      <c r="K27" s="13"/>
      <c r="L27" s="3"/>
      <c r="N27" s="16">
        <v>44410</v>
      </c>
      <c r="O27">
        <v>109174</v>
      </c>
      <c r="P27" s="10">
        <v>900</v>
      </c>
      <c r="Q27" s="16">
        <v>44410</v>
      </c>
      <c r="R27">
        <v>109161</v>
      </c>
      <c r="S27">
        <v>894</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v>44409</v>
      </c>
      <c r="ACQ27">
        <v>108274</v>
      </c>
      <c r="ACR27">
        <v>476</v>
      </c>
      <c r="ACS27" s="16">
        <v>44410</v>
      </c>
      <c r="ACT27">
        <v>109174</v>
      </c>
      <c r="ACU27">
        <v>900</v>
      </c>
      <c r="ACV27" s="16"/>
      <c r="ACY27" s="16"/>
      <c r="ADB27" s="16"/>
      <c r="ADE27" s="16"/>
      <c r="ADH27" s="16"/>
      <c r="ADK27" s="16"/>
      <c r="ADN27" s="16"/>
      <c r="ADQ27" s="16"/>
    </row>
    <row r="28" spans="2:797" s="10" customFormat="1">
      <c r="B28" t="str">
        <f t="shared" ca="1" si="2"/>
        <v>3.8</v>
      </c>
      <c r="C28" s="9">
        <f t="shared" ca="1" si="0"/>
        <v>44411</v>
      </c>
      <c r="D28" s="10">
        <f t="shared" ca="1" si="1"/>
        <v>110000</v>
      </c>
      <c r="E28" s="10">
        <f t="shared" ca="1" si="3"/>
        <v>839</v>
      </c>
      <c r="F28" s="10">
        <f t="shared" ca="1" si="4"/>
        <v>-2</v>
      </c>
      <c r="G28" s="10">
        <f t="shared" ca="1" si="5"/>
        <v>841</v>
      </c>
      <c r="H28" s="10">
        <f ca="1">SUM(E28:E34)</f>
        <v>4276</v>
      </c>
      <c r="I28" s="10" t="str">
        <f ca="1">TEXT(H28/H21-1,"0 %")</f>
        <v>-10 %</v>
      </c>
      <c r="L28" s="14"/>
      <c r="M28"/>
      <c r="N28" s="17">
        <v>44411</v>
      </c>
      <c r="O28" s="10">
        <v>110015</v>
      </c>
      <c r="P28">
        <v>841</v>
      </c>
      <c r="Q28" s="17">
        <v>44411</v>
      </c>
      <c r="R28" s="10">
        <v>110000</v>
      </c>
      <c r="S28" s="10">
        <v>839</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v>44410</v>
      </c>
      <c r="ACQ28" s="10">
        <v>109171</v>
      </c>
      <c r="ACR28" s="10">
        <v>897</v>
      </c>
      <c r="ACS28" s="17">
        <v>44411</v>
      </c>
      <c r="ACT28" s="10">
        <v>110015</v>
      </c>
      <c r="ACU28" s="10">
        <v>841</v>
      </c>
      <c r="ACV28" s="17"/>
      <c r="ACY28" s="17"/>
      <c r="ADB28" s="17"/>
      <c r="ADE28" s="17"/>
      <c r="ADH28" s="17"/>
      <c r="ADK28" s="17"/>
      <c r="ADN28" s="17"/>
      <c r="ADQ28" s="17"/>
    </row>
    <row r="29" spans="2:797">
      <c r="B29" t="str">
        <f t="shared" ca="1" si="2"/>
        <v>4.8</v>
      </c>
      <c r="C29" s="4">
        <f t="shared" ca="1" si="0"/>
        <v>44412</v>
      </c>
      <c r="D29" s="11">
        <f t="shared" ca="1" si="1"/>
        <v>110780</v>
      </c>
      <c r="E29">
        <f t="shared" ca="1" si="3"/>
        <v>780</v>
      </c>
      <c r="F29" s="11">
        <f t="shared" ca="1" si="4"/>
        <v>75</v>
      </c>
      <c r="G29" s="11">
        <f t="shared" ca="1" si="5"/>
        <v>705</v>
      </c>
      <c r="I29" s="10"/>
      <c r="K29" s="13"/>
      <c r="L29" s="3"/>
      <c r="N29" s="16">
        <v>44412</v>
      </c>
      <c r="O29">
        <v>110720</v>
      </c>
      <c r="P29">
        <v>705</v>
      </c>
      <c r="Q29" s="16">
        <v>44412</v>
      </c>
      <c r="R29">
        <v>110780</v>
      </c>
      <c r="S29">
        <v>780</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v>44411</v>
      </c>
      <c r="ACQ29">
        <v>110012</v>
      </c>
      <c r="ACR29">
        <v>841</v>
      </c>
      <c r="ACS29" s="16">
        <v>44412</v>
      </c>
      <c r="ACT29">
        <v>110720</v>
      </c>
      <c r="ACU29">
        <v>705</v>
      </c>
      <c r="ACV29" s="16"/>
      <c r="ACY29" s="16"/>
      <c r="ADB29" s="16"/>
      <c r="ADE29" s="16"/>
      <c r="ADH29" s="16"/>
      <c r="ADK29" s="16"/>
      <c r="ADN29" s="16"/>
      <c r="ADQ29" s="16"/>
    </row>
    <row r="30" spans="2:797">
      <c r="B30" t="str">
        <f t="shared" ca="1" si="2"/>
        <v>5.8</v>
      </c>
      <c r="C30" s="4">
        <f t="shared" ca="1" si="0"/>
        <v>44413</v>
      </c>
      <c r="D30" s="11">
        <f t="shared" ca="1" si="1"/>
        <v>111606</v>
      </c>
      <c r="E30">
        <f t="shared" ca="1" si="3"/>
        <v>826</v>
      </c>
      <c r="F30" s="11">
        <f t="shared" ca="1" si="4"/>
        <v>31</v>
      </c>
      <c r="G30" s="11">
        <f t="shared" ca="1" si="5"/>
        <v>795</v>
      </c>
      <c r="K30" s="4"/>
      <c r="L30" s="3"/>
      <c r="N30" s="16">
        <v>44413</v>
      </c>
      <c r="O30">
        <v>111515</v>
      </c>
      <c r="P30">
        <v>795</v>
      </c>
      <c r="Q30" s="16">
        <v>44413</v>
      </c>
      <c r="R30">
        <v>111606</v>
      </c>
      <c r="S30">
        <v>826</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v>44412</v>
      </c>
      <c r="ACQ30">
        <v>110712</v>
      </c>
      <c r="ACR30">
        <v>700</v>
      </c>
      <c r="ACS30" s="16">
        <v>44413</v>
      </c>
      <c r="ACT30">
        <v>111515</v>
      </c>
      <c r="ACU30">
        <v>795</v>
      </c>
      <c r="ACV30" s="16"/>
      <c r="ACY30" s="16"/>
      <c r="ADB30" s="16"/>
      <c r="ADE30" s="16"/>
      <c r="ADH30" s="16"/>
      <c r="ADK30" s="16"/>
      <c r="ADN30" s="16"/>
      <c r="ADQ30" s="16"/>
    </row>
    <row r="31" spans="2:797">
      <c r="B31" t="str">
        <f t="shared" ca="1" si="2"/>
        <v>6.8</v>
      </c>
      <c r="C31" s="4">
        <f t="shared" ca="1" si="0"/>
        <v>44414</v>
      </c>
      <c r="D31" s="11">
        <f t="shared" ca="1" si="1"/>
        <v>112261</v>
      </c>
      <c r="E31">
        <f t="shared" ca="1" si="3"/>
        <v>655</v>
      </c>
      <c r="F31" s="11">
        <f t="shared" ca="1" si="4"/>
        <v>28</v>
      </c>
      <c r="G31" s="11">
        <f t="shared" ca="1" si="5"/>
        <v>627</v>
      </c>
      <c r="K31" s="4"/>
      <c r="L31" s="3"/>
      <c r="N31" s="16">
        <v>44414</v>
      </c>
      <c r="O31">
        <v>112142</v>
      </c>
      <c r="P31">
        <v>627</v>
      </c>
      <c r="Q31" s="16">
        <v>44414</v>
      </c>
      <c r="R31">
        <v>112261</v>
      </c>
      <c r="S31">
        <v>655</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v>44413</v>
      </c>
      <c r="ACQ31">
        <v>111501</v>
      </c>
      <c r="ACR31">
        <v>789</v>
      </c>
      <c r="ACS31" s="16">
        <v>44414</v>
      </c>
      <c r="ACT31">
        <v>112142</v>
      </c>
      <c r="ACU31">
        <v>627</v>
      </c>
      <c r="ACV31" s="16"/>
      <c r="ACY31" s="16"/>
      <c r="ADB31" s="16"/>
      <c r="ADE31" s="16"/>
      <c r="ADH31" s="16"/>
      <c r="ADK31" s="16"/>
      <c r="ADN31" s="16"/>
      <c r="ADQ31" s="16"/>
    </row>
    <row r="32" spans="2:797">
      <c r="B32" t="str">
        <f t="shared" ca="1" si="2"/>
        <v>7.8</v>
      </c>
      <c r="C32" s="4">
        <f t="shared" ca="1" si="0"/>
        <v>44415</v>
      </c>
      <c r="D32" s="11">
        <f t="shared" ca="1" si="1"/>
        <v>112682</v>
      </c>
      <c r="E32">
        <f t="shared" ca="1" si="3"/>
        <v>421</v>
      </c>
      <c r="F32" s="11">
        <f t="shared" ca="1" si="4"/>
        <v>123</v>
      </c>
      <c r="G32" s="11">
        <f t="shared" ca="1" si="5"/>
        <v>298</v>
      </c>
      <c r="K32" s="4"/>
      <c r="L32" s="3"/>
      <c r="N32" s="16">
        <v>44415</v>
      </c>
      <c r="O32">
        <v>112440</v>
      </c>
      <c r="P32">
        <v>298</v>
      </c>
      <c r="Q32" s="16">
        <v>44415</v>
      </c>
      <c r="R32">
        <v>112682</v>
      </c>
      <c r="S32">
        <v>421</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v>44414</v>
      </c>
      <c r="ACQ32">
        <v>112028</v>
      </c>
      <c r="ACR32">
        <v>527</v>
      </c>
      <c r="ACS32" s="16">
        <v>44415</v>
      </c>
      <c r="ACT32">
        <v>112440</v>
      </c>
      <c r="ACU32">
        <v>298</v>
      </c>
      <c r="ACV32" s="16"/>
      <c r="ACY32" s="16"/>
      <c r="ADB32" s="16"/>
      <c r="ADE32" s="16"/>
      <c r="ADH32" s="16"/>
      <c r="ADK32" s="16"/>
      <c r="ADN32" s="16"/>
      <c r="ADQ32" s="16"/>
    </row>
    <row r="33" spans="2:1010">
      <c r="B33" t="str">
        <f t="shared" ca="1" si="2"/>
        <v>8.8</v>
      </c>
      <c r="C33" s="4">
        <f t="shared" ca="1" si="0"/>
        <v>44416</v>
      </c>
      <c r="D33" s="11">
        <f t="shared" ca="1" si="1"/>
        <v>113130</v>
      </c>
      <c r="E33">
        <f t="shared" ca="1" si="3"/>
        <v>448</v>
      </c>
      <c r="F33" s="11">
        <f t="shared" ca="1" si="4"/>
        <v>232</v>
      </c>
      <c r="G33" s="11">
        <f t="shared" ca="1" si="5"/>
        <v>216</v>
      </c>
      <c r="K33" s="4"/>
      <c r="L33" s="3"/>
      <c r="N33" s="16">
        <v>44416</v>
      </c>
      <c r="O33">
        <v>112656</v>
      </c>
      <c r="P33">
        <v>216</v>
      </c>
      <c r="Q33" s="16">
        <v>44416</v>
      </c>
      <c r="R33">
        <v>113130</v>
      </c>
      <c r="S33">
        <v>448</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v>44415</v>
      </c>
      <c r="ACQ33">
        <v>112207</v>
      </c>
      <c r="ACR33">
        <v>179</v>
      </c>
      <c r="ACS33" s="16">
        <v>44416</v>
      </c>
      <c r="ACT33">
        <v>112656</v>
      </c>
      <c r="ACU33">
        <v>216</v>
      </c>
      <c r="ACV33" s="16"/>
      <c r="ACY33" s="16"/>
      <c r="ADB33" s="16"/>
      <c r="ADE33" s="16"/>
      <c r="ADH33" s="16"/>
      <c r="ADK33" s="16"/>
      <c r="ADN33" s="16"/>
      <c r="ADQ33" s="16"/>
    </row>
    <row r="34" spans="2:1010" s="10" customFormat="1">
      <c r="B34" t="str">
        <f t="shared" ca="1" si="2"/>
        <v>Ma 9</v>
      </c>
      <c r="C34" s="9">
        <f t="shared" ca="1" si="0"/>
        <v>44417</v>
      </c>
      <c r="D34" s="10">
        <f t="shared" ca="1" si="1"/>
        <v>113437</v>
      </c>
      <c r="E34" s="10">
        <f t="shared" ca="1" si="3"/>
        <v>307</v>
      </c>
      <c r="F34" s="10">
        <f t="shared" ca="1" si="4"/>
        <v>307</v>
      </c>
      <c r="G34" s="10">
        <f t="shared" ca="1" si="5"/>
        <v>0</v>
      </c>
      <c r="K34" s="9"/>
      <c r="L34" s="14"/>
      <c r="N34" s="17">
        <v>44417</v>
      </c>
      <c r="O34" s="10">
        <v>112656</v>
      </c>
      <c r="P34" s="10">
        <v>0</v>
      </c>
      <c r="Q34" s="17">
        <v>44417</v>
      </c>
      <c r="R34" s="10">
        <v>113437</v>
      </c>
      <c r="S34" s="10">
        <v>307</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v>44416</v>
      </c>
      <c r="ACQ34" s="10">
        <v>112207</v>
      </c>
      <c r="ACR34" s="10">
        <v>0</v>
      </c>
      <c r="ACS34" s="17">
        <v>44417</v>
      </c>
      <c r="ACT34" s="10">
        <v>112656</v>
      </c>
      <c r="ACU34" s="10">
        <v>0</v>
      </c>
      <c r="ACV34" s="17"/>
      <c r="ACY34" s="17"/>
      <c r="ADB34" s="17"/>
      <c r="ADE34" s="17"/>
      <c r="ADH34" s="17"/>
      <c r="ADK34" s="17"/>
      <c r="ADN34" s="17"/>
      <c r="ADQ34" s="17"/>
    </row>
    <row r="35" spans="2:1010">
      <c r="B35" t="str">
        <f t="shared" ca="1" si="2"/>
        <v>10.8</v>
      </c>
      <c r="C35" s="12">
        <f ca="1">FLOOR(NOW(),1)</f>
        <v>44418</v>
      </c>
      <c r="D35" s="11">
        <f t="shared" ca="1" si="1"/>
        <v>113437</v>
      </c>
      <c r="E35" s="11">
        <f t="shared" ca="1" si="3"/>
        <v>0</v>
      </c>
      <c r="F35" s="11">
        <f t="shared" ca="1" si="4"/>
        <v>0</v>
      </c>
      <c r="G35" s="11">
        <f t="shared" ca="1" si="5"/>
        <v>0</v>
      </c>
      <c r="N35" s="16">
        <v>44418</v>
      </c>
      <c r="O35">
        <v>112656</v>
      </c>
      <c r="P35" s="11">
        <v>0</v>
      </c>
      <c r="Q35" s="16">
        <v>44418</v>
      </c>
      <c r="R35">
        <v>113437</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v>44417</v>
      </c>
      <c r="ACQ35">
        <v>112207</v>
      </c>
      <c r="ACR35">
        <v>0</v>
      </c>
      <c r="ACS35" s="16">
        <v>44418</v>
      </c>
      <c r="ACT35">
        <v>112656</v>
      </c>
      <c r="ACU35">
        <v>0</v>
      </c>
      <c r="ACV35" s="16"/>
      <c r="ACY35" s="16"/>
      <c r="ADB35" s="16"/>
      <c r="ADE35" s="16"/>
      <c r="ADH35" s="16"/>
      <c r="ADK35" s="16"/>
      <c r="ADN35" s="16"/>
      <c r="ADQ35" s="16"/>
    </row>
    <row r="36" spans="2:1010" s="24" customFormat="1">
      <c r="Q36" s="24">
        <f>Q35</f>
        <v>44418</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44417</v>
      </c>
      <c r="ACS36" s="24">
        <f>ACS35</f>
        <v>44418</v>
      </c>
      <c r="ACV36" s="24">
        <f>ACV35</f>
        <v>0</v>
      </c>
      <c r="ACY36" s="24">
        <f>ACY35</f>
        <v>0</v>
      </c>
      <c r="ADB36" s="24">
        <f>ADB35</f>
        <v>0</v>
      </c>
      <c r="ADE36" s="24">
        <f>ADE35</f>
        <v>0</v>
      </c>
      <c r="ADH36" s="24">
        <f>ADH35</f>
        <v>0</v>
      </c>
      <c r="ADK36" s="24">
        <f>ADK35</f>
        <v>0</v>
      </c>
      <c r="ADN36" s="24">
        <f>ADN35</f>
        <v>0</v>
      </c>
      <c r="ADQ36" s="24">
        <f>ADQ35</f>
        <v>0</v>
      </c>
      <c r="ADT36" s="24">
        <f>ADT35</f>
        <v>0</v>
      </c>
      <c r="ADW36" s="24">
        <f>ADW35</f>
        <v>0</v>
      </c>
      <c r="ADZ36" s="24">
        <f>ADZ35</f>
        <v>0</v>
      </c>
      <c r="AEC36" s="24">
        <f>AEC35</f>
        <v>0</v>
      </c>
      <c r="AEF36" s="24">
        <f>AEF35</f>
        <v>0</v>
      </c>
      <c r="AEI36" s="24">
        <f>AEI35</f>
        <v>0</v>
      </c>
      <c r="AEL36" s="24">
        <f>AEL35</f>
        <v>0</v>
      </c>
      <c r="AEO36" s="24">
        <f>AEO35</f>
        <v>0</v>
      </c>
      <c r="AER36" s="24">
        <f>AER35</f>
        <v>0</v>
      </c>
      <c r="AEU36" s="24">
        <f>AEU35</f>
        <v>0</v>
      </c>
      <c r="AEX36" s="24">
        <f>AEX35</f>
        <v>0</v>
      </c>
      <c r="AFA36" s="24">
        <f>AFA35</f>
        <v>0</v>
      </c>
      <c r="AFD36" s="24">
        <f>AFD35</f>
        <v>0</v>
      </c>
      <c r="AFG36" s="24">
        <f>AFG35</f>
        <v>0</v>
      </c>
      <c r="AFJ36" s="24">
        <f>AFJ35</f>
        <v>0</v>
      </c>
      <c r="AFM36" s="24">
        <f>AFM35</f>
        <v>0</v>
      </c>
      <c r="AFP36" s="24">
        <f>AFP35</f>
        <v>0</v>
      </c>
      <c r="AFS36" s="24">
        <f>AFS35</f>
        <v>0</v>
      </c>
      <c r="AFV36" s="24">
        <f>AFV35</f>
        <v>0</v>
      </c>
      <c r="AFY36" s="24">
        <f>AFY35</f>
        <v>0</v>
      </c>
      <c r="AGB36" s="24">
        <f>AGB35</f>
        <v>0</v>
      </c>
      <c r="AGE36" s="24">
        <f>AGE35</f>
        <v>0</v>
      </c>
      <c r="AGH36" s="24">
        <f>AGH35</f>
        <v>0</v>
      </c>
      <c r="AGK36" s="24">
        <f>AGK35</f>
        <v>0</v>
      </c>
      <c r="AGN36" s="24">
        <f>AGN35</f>
        <v>0</v>
      </c>
      <c r="AGQ36" s="24">
        <f>AGQ35</f>
        <v>0</v>
      </c>
      <c r="AGT36" s="24">
        <f>AGT35</f>
        <v>0</v>
      </c>
      <c r="AGW36" s="24">
        <f>AGW35</f>
        <v>0</v>
      </c>
      <c r="AGZ36" s="24">
        <f>AGZ35</f>
        <v>0</v>
      </c>
      <c r="AHC36" s="24">
        <f>AHC35</f>
        <v>0</v>
      </c>
      <c r="AHF36" s="24">
        <f>AHF35</f>
        <v>0</v>
      </c>
      <c r="AHI36" s="24">
        <f>AHI35</f>
        <v>0</v>
      </c>
      <c r="AHL36" s="24">
        <f>AHL35</f>
        <v>0</v>
      </c>
      <c r="AHO36" s="24">
        <f>AHO35</f>
        <v>0</v>
      </c>
      <c r="AHR36" s="24">
        <f>AHR35</f>
        <v>0</v>
      </c>
      <c r="AHU36" s="24">
        <f>AHU35</f>
        <v>0</v>
      </c>
      <c r="AHX36" s="24">
        <f>AHX35</f>
        <v>0</v>
      </c>
      <c r="AIA36" s="24">
        <f>AIA35</f>
        <v>0</v>
      </c>
      <c r="AID36" s="24">
        <f>AID35</f>
        <v>0</v>
      </c>
      <c r="AIG36" s="24">
        <f>AIG35</f>
        <v>0</v>
      </c>
      <c r="AIJ36" s="24">
        <f>AIJ35</f>
        <v>0</v>
      </c>
      <c r="AIM36" s="24">
        <f>AIM35</f>
        <v>0</v>
      </c>
      <c r="AIP36" s="24">
        <f>AIP35</f>
        <v>0</v>
      </c>
      <c r="AIS36" s="24">
        <f>AIS35</f>
        <v>0</v>
      </c>
      <c r="AIV36" s="24">
        <f>AIV35</f>
        <v>0</v>
      </c>
      <c r="AIY36" s="24">
        <f>AIY35</f>
        <v>0</v>
      </c>
      <c r="AJB36" s="24">
        <f>AJB35</f>
        <v>0</v>
      </c>
      <c r="AJE36" s="24">
        <f>AJE35</f>
        <v>0</v>
      </c>
      <c r="AJH36" s="24">
        <f>AJH35</f>
        <v>0</v>
      </c>
      <c r="AJK36" s="24">
        <f>AJK35</f>
        <v>0</v>
      </c>
      <c r="AJN36" s="24">
        <f>AJN35</f>
        <v>0</v>
      </c>
      <c r="AJQ36" s="24">
        <f>AJQ35</f>
        <v>0</v>
      </c>
      <c r="AJT36" s="24">
        <f>AJT35</f>
        <v>0</v>
      </c>
      <c r="AJW36" s="24">
        <f>AJW35</f>
        <v>0</v>
      </c>
      <c r="AJZ36" s="24">
        <f>AJZ35</f>
        <v>0</v>
      </c>
      <c r="AKC36" s="24">
        <f>AKC35</f>
        <v>0</v>
      </c>
      <c r="AKF36" s="24">
        <f>AKF35</f>
        <v>0</v>
      </c>
      <c r="AKI36" s="24">
        <f>AKI35</f>
        <v>0</v>
      </c>
      <c r="AKL36" s="24">
        <f>AKL35</f>
        <v>0</v>
      </c>
      <c r="AKO36" s="24">
        <f>AKO35</f>
        <v>0</v>
      </c>
      <c r="AKR36" s="24">
        <f>AKR35</f>
        <v>0</v>
      </c>
      <c r="AKU36" s="24">
        <f>AKU35</f>
        <v>0</v>
      </c>
      <c r="AKX36" s="24">
        <f>AKX35</f>
        <v>0</v>
      </c>
      <c r="ALA36" s="24">
        <f>ALA35</f>
        <v>0</v>
      </c>
      <c r="ALD36" s="24">
        <f>ALD35</f>
        <v>0</v>
      </c>
      <c r="ALG36" s="24">
        <f>ALG35</f>
        <v>0</v>
      </c>
      <c r="ALJ36" s="24">
        <f>ALJ35</f>
        <v>0</v>
      </c>
      <c r="ALM36" s="24">
        <f>ALM35</f>
        <v>0</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781</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2225</v>
      </c>
      <c r="ACP37" s="25">
        <f>ACT35-ACQ35</f>
        <v>449</v>
      </c>
      <c r="ACS37" s="25">
        <f>ACW35-ACT35</f>
        <v>-112656</v>
      </c>
      <c r="ACV37" s="25">
        <f>ACZ35-ACW35</f>
        <v>0</v>
      </c>
      <c r="ACY37" s="25">
        <f>ADC35-ACZ35</f>
        <v>0</v>
      </c>
      <c r="ADB37" s="25">
        <f>ADF35-ADC35</f>
        <v>0</v>
      </c>
      <c r="ADE37" s="25">
        <f>ADI35-ADF35</f>
        <v>0</v>
      </c>
      <c r="ADH37" s="25">
        <f>ADL35-ADI35</f>
        <v>0</v>
      </c>
      <c r="ADK37" s="25">
        <f>ADO35-ADL35</f>
        <v>0</v>
      </c>
      <c r="ADN37" s="25">
        <f>ADR35-ADO35</f>
        <v>0</v>
      </c>
      <c r="ADQ37" s="25">
        <f>ADU35-ADR35</f>
        <v>0</v>
      </c>
      <c r="ADT37" s="25">
        <f>ADX35-ADU35</f>
        <v>0</v>
      </c>
      <c r="ADW37" s="25">
        <f>AEA35-ADX35</f>
        <v>0</v>
      </c>
      <c r="ADZ37" s="25">
        <f>AED35-AEA35</f>
        <v>0</v>
      </c>
      <c r="AEC37" s="25">
        <f>AEG35-AED35</f>
        <v>0</v>
      </c>
      <c r="AEF37" s="25">
        <f>AEJ35-AEG35</f>
        <v>0</v>
      </c>
      <c r="AEI37" s="25">
        <f>AEM35-AEJ35</f>
        <v>0</v>
      </c>
      <c r="AEL37" s="25">
        <f>AEP35-AEM35</f>
        <v>0</v>
      </c>
      <c r="AEO37" s="25">
        <f>AES35-AEP35</f>
        <v>0</v>
      </c>
      <c r="AER37" s="25">
        <f>AEV35-AES35</f>
        <v>0</v>
      </c>
      <c r="AEU37" s="25">
        <f>AEY35-AEV35</f>
        <v>0</v>
      </c>
      <c r="AEX37" s="25">
        <f>AFB35-AEY35</f>
        <v>0</v>
      </c>
      <c r="AFA37" s="25">
        <f>AFE35-AFB35</f>
        <v>0</v>
      </c>
      <c r="AFD37" s="25">
        <f>AFH35-AFE35</f>
        <v>0</v>
      </c>
      <c r="AFG37" s="25">
        <f>AFK35-AFH35</f>
        <v>0</v>
      </c>
      <c r="AFJ37" s="25">
        <f>AFN35-AFK35</f>
        <v>0</v>
      </c>
      <c r="AFM37" s="25">
        <f>AFQ35-AFN35</f>
        <v>0</v>
      </c>
      <c r="AFP37" s="25">
        <f>AFT35-AFQ35</f>
        <v>0</v>
      </c>
      <c r="AFS37" s="25">
        <f>AFW35-AFT35</f>
        <v>0</v>
      </c>
      <c r="AFV37" s="25">
        <f>AFZ35-AFW35</f>
        <v>0</v>
      </c>
      <c r="AFY37" s="25">
        <f>AGC35-AFZ35</f>
        <v>0</v>
      </c>
      <c r="AGB37" s="25">
        <f>AGF35-AGC35</f>
        <v>0</v>
      </c>
      <c r="AGE37" s="25">
        <f>AGI35-AGF35</f>
        <v>0</v>
      </c>
      <c r="AGH37" s="25">
        <f>AGL35-AGI35</f>
        <v>0</v>
      </c>
      <c r="AGK37" s="25">
        <f>AGO35-AGL35</f>
        <v>0</v>
      </c>
      <c r="AGN37" s="25">
        <f>AGR35-AGO35</f>
        <v>0</v>
      </c>
      <c r="AGQ37" s="25">
        <f>AGU35-AGR35</f>
        <v>0</v>
      </c>
      <c r="AGT37" s="25">
        <f>AGX35-AGU35</f>
        <v>0</v>
      </c>
      <c r="AGW37" s="25">
        <f>AHA35-AGX35</f>
        <v>0</v>
      </c>
      <c r="AGZ37" s="25">
        <f>AHD35-AHA35</f>
        <v>0</v>
      </c>
      <c r="AHC37" s="25">
        <f>AHG35-AHD35</f>
        <v>0</v>
      </c>
      <c r="AHF37" s="25">
        <f>AHJ35-AHG35</f>
        <v>0</v>
      </c>
      <c r="AHI37" s="25">
        <f>AHM35-AHJ35</f>
        <v>0</v>
      </c>
      <c r="AHL37" s="25">
        <f>AHP35-AHM35</f>
        <v>0</v>
      </c>
      <c r="AHO37" s="25">
        <f>AHS35-AHP35</f>
        <v>0</v>
      </c>
      <c r="AHR37" s="25">
        <f>AHV35-AHS35</f>
        <v>0</v>
      </c>
      <c r="AHU37" s="25">
        <f>AHY35-AHV35</f>
        <v>0</v>
      </c>
      <c r="AHX37" s="25">
        <f>AIB35-AHY35</f>
        <v>0</v>
      </c>
      <c r="AIA37" s="25">
        <f>AIE35-AIB35</f>
        <v>0</v>
      </c>
      <c r="AID37" s="25">
        <f>AIH35-AIE35</f>
        <v>0</v>
      </c>
      <c r="AIG37" s="25">
        <f>AIK35-AIH35</f>
        <v>0</v>
      </c>
      <c r="AIJ37" s="25">
        <f>AIN35-AIK35</f>
        <v>0</v>
      </c>
      <c r="AIM37" s="25">
        <f>AIQ35-AIN35</f>
        <v>0</v>
      </c>
      <c r="AIP37" s="25">
        <f>AIT35-AIQ35</f>
        <v>0</v>
      </c>
      <c r="AIS37" s="25">
        <f>AIW35-AIT35</f>
        <v>0</v>
      </c>
      <c r="AIV37" s="25">
        <f>AIZ35-AIW35</f>
        <v>0</v>
      </c>
      <c r="AIY37" s="25">
        <f>AJC35-AIZ35</f>
        <v>0</v>
      </c>
      <c r="AJB37" s="25">
        <f>AJF35-AJC35</f>
        <v>0</v>
      </c>
      <c r="AJE37" s="25">
        <f>AJI35-AJF35</f>
        <v>0</v>
      </c>
      <c r="AJH37" s="25">
        <f>AJL35-AJI35</f>
        <v>0</v>
      </c>
      <c r="AJK37" s="25">
        <f>AJO35-AJL35</f>
        <v>0</v>
      </c>
      <c r="AJN37" s="25">
        <f>AJR35-AJO35</f>
        <v>0</v>
      </c>
      <c r="AJQ37" s="25">
        <f>AJU35-AJR35</f>
        <v>0</v>
      </c>
      <c r="AJT37" s="25">
        <f>AJX35-AJU35</f>
        <v>0</v>
      </c>
      <c r="AJW37" s="25">
        <f>AKA35-AJX35</f>
        <v>0</v>
      </c>
      <c r="AJZ37" s="25">
        <f>AKD35-AKA35</f>
        <v>0</v>
      </c>
      <c r="AKC37" s="25">
        <f>AKG35-AKD35</f>
        <v>0</v>
      </c>
      <c r="AKF37" s="25">
        <f>AKJ35-AKG35</f>
        <v>0</v>
      </c>
      <c r="AKI37" s="25">
        <f>AKM35-AKJ35</f>
        <v>0</v>
      </c>
      <c r="AKL37" s="25">
        <f>AKP35-AKM35</f>
        <v>0</v>
      </c>
      <c r="AKO37" s="25">
        <f>AKS35-AKP35</f>
        <v>0</v>
      </c>
      <c r="AKR37" s="25">
        <f>AKV35-AKS35</f>
        <v>0</v>
      </c>
      <c r="AKU37" s="25">
        <f>AKY35-AKV35</f>
        <v>0</v>
      </c>
      <c r="AKX37" s="25">
        <f>ALB35-AKY35</f>
        <v>0</v>
      </c>
      <c r="ALA37" s="25">
        <f>ALE35-ALB35</f>
        <v>0</v>
      </c>
      <c r="ALD37" s="25">
        <f>ALH35-ALE35</f>
        <v>0</v>
      </c>
      <c r="ALG37" s="25">
        <f>ALK35-ALH35</f>
        <v>0</v>
      </c>
      <c r="ALJ37" s="25">
        <f>ALN35-ALK35</f>
        <v>0</v>
      </c>
      <c r="ALM37" s="25">
        <f>ALQ35-ALN35</f>
        <v>0</v>
      </c>
      <c r="ALP37" s="25">
        <f>ALT35-ALQ35</f>
        <v>0</v>
      </c>
      <c r="ALS37" s="25">
        <f>ALW35-ALT35</f>
        <v>0</v>
      </c>
      <c r="ALV37" s="25">
        <f>ALZ35-ALW35</f>
        <v>0</v>
      </c>
    </row>
    <row r="38" spans="2:101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Ma</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
      </c>
      <c r="ADN38" s="27" t="str">
        <f>IF(WEEKDAY(ADN36,2)=1,"Ma","")</f>
        <v/>
      </c>
      <c r="ADQ38" s="27" t="str">
        <f>IF(WEEKDAY(ADQ36,2)=1,"Ma","")</f>
        <v/>
      </c>
      <c r="ADT38" s="27" t="str">
        <f>IF(WEEKDAY(ADT36,2)=1,"Ma","")</f>
        <v/>
      </c>
      <c r="ADW38" s="27" t="str">
        <f>IF(WEEKDAY(ADW36,2)=1,"Ma","")</f>
        <v/>
      </c>
      <c r="ADZ38" s="27" t="str">
        <f>IF(WEEKDAY(ADZ36,2)=1,"Ma","")</f>
        <v/>
      </c>
      <c r="AEC38" s="27" t="str">
        <f>IF(WEEKDAY(AEC36,2)=1,"Ma","")</f>
        <v/>
      </c>
      <c r="AEF38" s="27" t="str">
        <f>IF(WEEKDAY(AEF36,2)=1,"Ma","")</f>
        <v/>
      </c>
      <c r="AEI38" s="27" t="str">
        <f>IF(WEEKDAY(AEI36,2)=1,"Ma","")</f>
        <v/>
      </c>
      <c r="AEL38" s="27" t="str">
        <f>IF(WEEKDAY(AEL36,2)=1,"Ma","")</f>
        <v/>
      </c>
      <c r="AEO38" s="27" t="str">
        <f>IF(WEEKDAY(AEO36,2)=1,"Ma","")</f>
        <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
      </c>
      <c r="AHC38" s="27" t="str">
        <f>IF(WEEKDAY(AHC36,2)=1,"Ma","")</f>
        <v/>
      </c>
      <c r="AHF38" s="27" t="str">
        <f>IF(WEEKDAY(AHF36,2)=1,"Ma","")</f>
        <v/>
      </c>
      <c r="AHI38" s="27" t="str">
        <f>IF(WEEKDAY(AHI36,2)=1,"Ma","")</f>
        <v/>
      </c>
      <c r="AHL38" s="27" t="str">
        <f>IF(WEEKDAY(AHL36,2)=1,"Ma","")</f>
        <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
      </c>
      <c r="AIS38" s="27" t="str">
        <f>IF(WEEKDAY(AIS36,2)=1,"Ma","")</f>
        <v/>
      </c>
      <c r="AIV38" s="27" t="str">
        <f>IF(WEEKDAY(AIV36,2)=1,"Ma","")</f>
        <v/>
      </c>
      <c r="AIY38" s="27" t="str">
        <f>IF(WEEKDAY(AIY36,2)=1,"Ma","")</f>
        <v/>
      </c>
      <c r="AJB38" s="27" t="str">
        <f>IF(WEEKDAY(AJB36,2)=1,"Ma","")</f>
        <v/>
      </c>
      <c r="AJE38" s="27" t="str">
        <f>IF(WEEKDAY(AJE36,2)=1,"Ma","")</f>
        <v/>
      </c>
      <c r="AJH38" s="27" t="str">
        <f>IF(WEEKDAY(AJH36,2)=1,"Ma","")</f>
        <v/>
      </c>
      <c r="AJK38" s="27" t="str">
        <f>IF(WEEKDAY(AJK36,2)=1,"Ma","")</f>
        <v/>
      </c>
      <c r="AJN38" s="27" t="str">
        <f>IF(WEEKDAY(AJN36,2)=1,"Ma","")</f>
        <v/>
      </c>
      <c r="AJQ38" s="27" t="str">
        <f>IF(WEEKDAY(AJQ36,2)=1,"Ma","")</f>
        <v/>
      </c>
      <c r="AJT38" s="27" t="str">
        <f>IF(WEEKDAY(AJT36,2)=1,"Ma","")</f>
        <v/>
      </c>
      <c r="AJW38" s="27" t="str">
        <f>IF(WEEKDAY(AJW36,2)=1,"Ma","")</f>
        <v/>
      </c>
      <c r="AJZ38" s="27" t="str">
        <f>IF(WEEKDAY(AJZ36,2)=1,"Ma","")</f>
        <v/>
      </c>
      <c r="AKC38" s="27" t="str">
        <f>IF(WEEKDAY(AKC36,2)=1,"Ma","")</f>
        <v/>
      </c>
      <c r="AKF38" s="27" t="str">
        <f>IF(WEEKDAY(AKF36,2)=1,"Ma","")</f>
        <v/>
      </c>
      <c r="AKI38" s="27" t="str">
        <f>IF(WEEKDAY(AKI36,2)=1,"Ma","")</f>
        <v/>
      </c>
      <c r="AKL38" s="27" t="str">
        <f>IF(WEEKDAY(AKL36,2)=1,"Ma","")</f>
        <v/>
      </c>
      <c r="AKO38" s="27" t="str">
        <f>IF(WEEKDAY(AKO36,2)=1,"Ma","")</f>
        <v/>
      </c>
      <c r="AKR38" s="27" t="str">
        <f>IF(WEEKDAY(AKR36,2)=1,"Ma","")</f>
        <v/>
      </c>
      <c r="AKU38" s="27" t="str">
        <f>IF(WEEKDAY(AKU36,2)=1,"Ma","")</f>
        <v/>
      </c>
      <c r="AKX38" s="27" t="str">
        <f>IF(WEEKDAY(AKX36,2)=1,"Ma","")</f>
        <v/>
      </c>
      <c r="ALA38" s="27" t="str">
        <f>IF(WEEKDAY(ALA36,2)=1,"Ma","")</f>
        <v/>
      </c>
      <c r="ALD38" s="27" t="str">
        <f>IF(WEEKDAY(ALD36,2)=1,"Ma","")</f>
        <v/>
      </c>
      <c r="ALG38" s="27" t="str">
        <f>IF(WEEKDAY(ALG36,2)=1,"Ma","")</f>
        <v/>
      </c>
      <c r="ALJ38" s="27" t="str">
        <f>IF(WEEKDAY(ALJ36,2)=1,"Ma","")</f>
        <v/>
      </c>
    </row>
    <row r="39" spans="2:1010">
      <c r="Q39" s="20"/>
      <c r="T39" s="20"/>
    </row>
    <row r="40" spans="2:1010">
      <c r="B40" s="21">
        <f>Q36</f>
        <v>44418</v>
      </c>
      <c r="C40">
        <f t="shared" ref="C40:C47" ca="1" si="6">HLOOKUP(B40,$36:$37,2,FALSE)</f>
        <v>781</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44411</v>
      </c>
      <c r="C41">
        <f t="shared" si="6"/>
        <v>692</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44404</v>
      </c>
      <c r="C42">
        <f t="shared" si="6"/>
        <v>267</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44397</v>
      </c>
      <c r="C43" t="e">
        <f t="shared" si="6"/>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44390</v>
      </c>
      <c r="C44">
        <f t="shared" si="6"/>
        <v>290</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44383</v>
      </c>
      <c r="C45">
        <f t="shared" si="6"/>
        <v>222</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44376</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44369</v>
      </c>
      <c r="C47">
        <f t="shared" si="6"/>
        <v>110</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44414.625</v>
      </c>
      <c r="C50">
        <f>DMAX(_xlnm.Database,"n",B49:B50)</f>
        <v>655</v>
      </c>
      <c r="D50" s="21">
        <f>B50</f>
        <v>44414.625</v>
      </c>
      <c r="E50">
        <f>C50</f>
        <v>655</v>
      </c>
      <c r="F50" s="13">
        <f>B50-1</f>
        <v>44413.625</v>
      </c>
      <c r="G50">
        <f>DMAX(_xlnm.Database,"n",F49:F50)</f>
        <v>826</v>
      </c>
      <c r="H50" s="21">
        <f>F50</f>
        <v>44413.625</v>
      </c>
      <c r="I50">
        <f>G50</f>
        <v>826</v>
      </c>
      <c r="J50" s="13">
        <f>F50-1</f>
        <v>44412.625</v>
      </c>
      <c r="K50">
        <f>DMAX(_xlnm.Database,"n",J49:J50)</f>
        <v>780</v>
      </c>
      <c r="L50" s="21">
        <f>J50</f>
        <v>44412.625</v>
      </c>
      <c r="M50">
        <f>K50</f>
        <v>780</v>
      </c>
      <c r="N50" s="22">
        <f>J50-1</f>
        <v>44411.625</v>
      </c>
      <c r="O50">
        <f>DMAX(_xlnm.Database,"n",N49:N50)</f>
        <v>839</v>
      </c>
      <c r="P50" s="21">
        <f>N50</f>
        <v>44411.625</v>
      </c>
      <c r="Q50">
        <f>O50</f>
        <v>839</v>
      </c>
      <c r="R50" s="22">
        <f>N50-1</f>
        <v>44410.625</v>
      </c>
      <c r="S50">
        <f>DMAX(_xlnm.Database,"n",R49:R50)</f>
        <v>894</v>
      </c>
      <c r="T50" s="21">
        <f>R50</f>
        <v>44410.625</v>
      </c>
      <c r="U50">
        <f>S50</f>
        <v>894</v>
      </c>
      <c r="V50" s="22">
        <f>R50-1</f>
        <v>44409.625</v>
      </c>
      <c r="W50">
        <f>DMAX(_xlnm.Database,"n",V49:V50)</f>
        <v>474</v>
      </c>
      <c r="X50" s="21">
        <f>V50</f>
        <v>44409.625</v>
      </c>
      <c r="Y50">
        <f>W50</f>
        <v>474</v>
      </c>
      <c r="Z50" s="22">
        <f>V50-1</f>
        <v>44408.625</v>
      </c>
      <c r="AA50">
        <f>DMAX(_xlnm.Database,"n",Z49:Z50)</f>
        <v>403</v>
      </c>
      <c r="AB50" s="21">
        <f>Z50</f>
        <v>44408.625</v>
      </c>
      <c r="AC50">
        <f>AA50</f>
        <v>403</v>
      </c>
      <c r="AD50" s="22">
        <f>Z50-1</f>
        <v>44407.625</v>
      </c>
      <c r="AE50">
        <f>DMAX(_xlnm.Database,"n",AD49:AD50)</f>
        <v>692</v>
      </c>
      <c r="AF50" s="21">
        <f>AD50</f>
        <v>44407.625</v>
      </c>
      <c r="AG50">
        <f>AE50</f>
        <v>692</v>
      </c>
      <c r="AH50" s="16"/>
      <c r="AI50"/>
      <c r="AK50" s="16"/>
      <c r="AL50"/>
      <c r="AN50" s="16"/>
      <c r="AO50"/>
      <c r="AQ50" s="16"/>
      <c r="AR50"/>
      <c r="AT50" s="16"/>
    </row>
    <row r="51" spans="2:46">
      <c r="B51" s="13" t="s">
        <v>7</v>
      </c>
      <c r="D51" s="16">
        <f>D50-7</f>
        <v>44407.625</v>
      </c>
      <c r="E51">
        <f>C52</f>
        <v>692</v>
      </c>
      <c r="F51" s="13" t="s">
        <v>7</v>
      </c>
      <c r="H51" s="16">
        <f>H50-7</f>
        <v>44406.625</v>
      </c>
      <c r="I51">
        <f>G52</f>
        <v>765</v>
      </c>
      <c r="J51" s="13" t="s">
        <v>7</v>
      </c>
      <c r="L51" s="16">
        <f>L50-7</f>
        <v>44405.625</v>
      </c>
      <c r="M51">
        <f>K52</f>
        <v>844</v>
      </c>
      <c r="N51" t="s">
        <v>7</v>
      </c>
      <c r="P51" s="16">
        <f>P50-7</f>
        <v>44404.625</v>
      </c>
      <c r="Q51">
        <f>O52</f>
        <v>675</v>
      </c>
      <c r="R51" t="s">
        <v>7</v>
      </c>
      <c r="T51" s="16">
        <f>T50-7</f>
        <v>44403.625</v>
      </c>
      <c r="U51">
        <f>S52</f>
        <v>766</v>
      </c>
      <c r="V51" t="s">
        <v>7</v>
      </c>
      <c r="W51"/>
      <c r="X51" s="16">
        <f>X50-7</f>
        <v>44402.625</v>
      </c>
      <c r="Y51">
        <f>W52</f>
        <v>351</v>
      </c>
      <c r="Z51" t="s">
        <v>7</v>
      </c>
      <c r="AB51" s="16">
        <f>AB50-7</f>
        <v>44401.625</v>
      </c>
      <c r="AC51">
        <f>AA52</f>
        <v>298</v>
      </c>
      <c r="AD51" t="s">
        <v>7</v>
      </c>
      <c r="AF51" s="16">
        <f>AF50-7</f>
        <v>44400.625</v>
      </c>
      <c r="AG51">
        <f>AE52</f>
        <v>479</v>
      </c>
      <c r="AH51" s="16"/>
      <c r="AI51"/>
      <c r="AK51" s="16"/>
      <c r="AL51"/>
      <c r="AN51" s="16"/>
      <c r="AO51"/>
      <c r="AQ51" s="16"/>
      <c r="AR51"/>
      <c r="AT51" s="16"/>
    </row>
    <row r="52" spans="2:46">
      <c r="B52" s="13">
        <f>B50-7</f>
        <v>44407.625</v>
      </c>
      <c r="C52">
        <f>DMAX(_xlnm.Database,"n",B51:B52)</f>
        <v>692</v>
      </c>
      <c r="D52" s="16">
        <f t="shared" ref="D52:D59" si="8">D51-7</f>
        <v>44400.625</v>
      </c>
      <c r="E52">
        <f>C54</f>
        <v>479</v>
      </c>
      <c r="F52" s="13">
        <f>F50-7</f>
        <v>44406.625</v>
      </c>
      <c r="G52">
        <f>DMAX(_xlnm.Database,"n",F51:F52)</f>
        <v>765</v>
      </c>
      <c r="H52" s="16">
        <f t="shared" ref="H52:H59" si="9">H51-7</f>
        <v>44399.625</v>
      </c>
      <c r="I52">
        <f>G54</f>
        <v>487</v>
      </c>
      <c r="J52" s="13">
        <f>J50-7</f>
        <v>44405.625</v>
      </c>
      <c r="K52">
        <f>DMAX(_xlnm.Database,"n",J51:J52)</f>
        <v>844</v>
      </c>
      <c r="L52" s="16">
        <f t="shared" ref="L52:L59" si="10">L51-7</f>
        <v>44398.625</v>
      </c>
      <c r="M52">
        <f>K54</f>
        <v>467</v>
      </c>
      <c r="N52" s="22">
        <f>N50-7</f>
        <v>44404.625</v>
      </c>
      <c r="O52">
        <f>DMAX(_xlnm.Database,"n",N51:N52)</f>
        <v>675</v>
      </c>
      <c r="P52" s="16">
        <f t="shared" ref="P52:P59" si="11">P51-7</f>
        <v>44397.625</v>
      </c>
      <c r="Q52">
        <f>O54</f>
        <v>421</v>
      </c>
      <c r="R52" s="22">
        <f>R50-7</f>
        <v>44403.625</v>
      </c>
      <c r="S52">
        <f>DMAX(_xlnm.Database,"n",R51:R52)</f>
        <v>766</v>
      </c>
      <c r="T52" s="16">
        <f t="shared" ref="T52:T59" si="12">T51-7</f>
        <v>44396.625</v>
      </c>
      <c r="U52">
        <f>S54</f>
        <v>421</v>
      </c>
      <c r="V52" s="22">
        <f>V50-7</f>
        <v>44402.625</v>
      </c>
      <c r="W52">
        <f>DMAX(_xlnm.Database,"n",V51:V52)</f>
        <v>351</v>
      </c>
      <c r="X52" s="16">
        <f t="shared" ref="X52:X59" si="13">X51-7</f>
        <v>44395.625</v>
      </c>
      <c r="Y52">
        <f>W54</f>
        <v>247</v>
      </c>
      <c r="Z52" s="22">
        <f>Z50-7</f>
        <v>44401.625</v>
      </c>
      <c r="AA52">
        <f>DMAX(_xlnm.Database,"n",Z51:Z52)</f>
        <v>298</v>
      </c>
      <c r="AB52" s="16">
        <f t="shared" ref="AB52:AB59" si="14">AB51-7</f>
        <v>44394.625</v>
      </c>
      <c r="AC52">
        <f>AA54</f>
        <v>203</v>
      </c>
      <c r="AD52" s="22">
        <f>AD50-7</f>
        <v>44400.625</v>
      </c>
      <c r="AE52">
        <f>DMAX(_xlnm.Database,"n",AD51:AD52)</f>
        <v>479</v>
      </c>
      <c r="AF52" s="16">
        <f t="shared" ref="AF52:AF59" si="15">AF51-7</f>
        <v>44393.625</v>
      </c>
      <c r="AG52">
        <f>AE54</f>
        <v>355</v>
      </c>
      <c r="AH52" s="16"/>
      <c r="AI52"/>
      <c r="AK52" s="16"/>
      <c r="AL52"/>
      <c r="AN52" s="16"/>
      <c r="AO52"/>
      <c r="AQ52" s="16"/>
      <c r="AR52"/>
      <c r="AT52" s="16"/>
    </row>
    <row r="53" spans="2:46">
      <c r="B53" s="13" t="s">
        <v>7</v>
      </c>
      <c r="D53" s="16">
        <f t="shared" si="8"/>
        <v>44393.625</v>
      </c>
      <c r="E53">
        <f>C56</f>
        <v>355</v>
      </c>
      <c r="F53" s="13" t="s">
        <v>7</v>
      </c>
      <c r="H53" s="16">
        <f t="shared" si="9"/>
        <v>44392.625</v>
      </c>
      <c r="I53">
        <f>G56</f>
        <v>379</v>
      </c>
      <c r="J53" s="13" t="s">
        <v>7</v>
      </c>
      <c r="L53" s="16">
        <f t="shared" si="10"/>
        <v>44391.625</v>
      </c>
      <c r="M53">
        <f>K56</f>
        <v>386</v>
      </c>
      <c r="N53" t="s">
        <v>7</v>
      </c>
      <c r="P53" s="16">
        <f t="shared" si="11"/>
        <v>44390.625</v>
      </c>
      <c r="Q53">
        <f>O56</f>
        <v>341</v>
      </c>
      <c r="R53" t="s">
        <v>7</v>
      </c>
      <c r="T53" s="16">
        <f t="shared" si="12"/>
        <v>44389.625</v>
      </c>
      <c r="U53">
        <f>S56</f>
        <v>330</v>
      </c>
      <c r="V53" t="s">
        <v>7</v>
      </c>
      <c r="W53"/>
      <c r="X53" s="16">
        <f t="shared" si="13"/>
        <v>44388.625</v>
      </c>
      <c r="Y53">
        <f>W56</f>
        <v>157</v>
      </c>
      <c r="Z53" t="s">
        <v>7</v>
      </c>
      <c r="AB53" s="16">
        <f t="shared" si="14"/>
        <v>44387.625</v>
      </c>
      <c r="AC53">
        <f>AA56</f>
        <v>150</v>
      </c>
      <c r="AD53" t="s">
        <v>7</v>
      </c>
      <c r="AF53" s="16">
        <f t="shared" si="15"/>
        <v>44386.625</v>
      </c>
      <c r="AG53">
        <f>AE56</f>
        <v>309</v>
      </c>
      <c r="AH53" s="16"/>
      <c r="AI53"/>
      <c r="AK53" s="16"/>
      <c r="AL53"/>
      <c r="AN53" s="16"/>
      <c r="AO53"/>
      <c r="AQ53" s="16"/>
      <c r="AR53"/>
      <c r="AT53" s="16"/>
    </row>
    <row r="54" spans="2:46">
      <c r="B54" s="13">
        <f>B52-7</f>
        <v>44400.625</v>
      </c>
      <c r="C54">
        <f>DMAX(_xlnm.Database,"n",B53:B54)</f>
        <v>479</v>
      </c>
      <c r="D54" s="16">
        <f t="shared" si="8"/>
        <v>44386.625</v>
      </c>
      <c r="E54">
        <f>C58</f>
        <v>309</v>
      </c>
      <c r="F54" s="13">
        <f>F52-7</f>
        <v>44399.625</v>
      </c>
      <c r="G54">
        <f>DMAX(_xlnm.Database,"n",F53:F54)</f>
        <v>487</v>
      </c>
      <c r="H54" s="16">
        <f t="shared" si="9"/>
        <v>44385.625</v>
      </c>
      <c r="I54">
        <f>G58</f>
        <v>285</v>
      </c>
      <c r="J54" s="13">
        <f>J52-7</f>
        <v>44398.625</v>
      </c>
      <c r="K54">
        <f>DMAX(_xlnm.Database,"n",J53:J54)</f>
        <v>467</v>
      </c>
      <c r="L54" s="16">
        <f t="shared" si="10"/>
        <v>44384.625</v>
      </c>
      <c r="M54">
        <f>K58</f>
        <v>291</v>
      </c>
      <c r="N54" s="22">
        <f>N52-7</f>
        <v>44397.625</v>
      </c>
      <c r="O54">
        <f>DMAX(_xlnm.Database,"n",N53:N54)</f>
        <v>421</v>
      </c>
      <c r="P54" s="16">
        <f t="shared" si="11"/>
        <v>44383.625</v>
      </c>
      <c r="Q54">
        <f>O58</f>
        <v>260</v>
      </c>
      <c r="R54" s="22">
        <f>R52-7</f>
        <v>44396.625</v>
      </c>
      <c r="S54">
        <f>DMAX(_xlnm.Database,"n",R53:R54)</f>
        <v>421</v>
      </c>
      <c r="T54" s="16">
        <f t="shared" si="12"/>
        <v>44382.625</v>
      </c>
      <c r="U54">
        <f>S58</f>
        <v>245</v>
      </c>
      <c r="V54" s="22">
        <f>V52-7</f>
        <v>44395.625</v>
      </c>
      <c r="W54">
        <f>DMAX(_xlnm.Database,"n",V53:V54)</f>
        <v>247</v>
      </c>
      <c r="X54" s="16">
        <f t="shared" si="13"/>
        <v>44381.625</v>
      </c>
      <c r="Y54">
        <f>W58</f>
        <v>108</v>
      </c>
      <c r="Z54" s="22">
        <f>Z52-7</f>
        <v>44394.625</v>
      </c>
      <c r="AA54">
        <f>DMAX(_xlnm.Database,"n",Z53:Z54)</f>
        <v>203</v>
      </c>
      <c r="AB54" s="16">
        <f t="shared" si="14"/>
        <v>44380.625</v>
      </c>
      <c r="AC54">
        <f>AA58</f>
        <v>129</v>
      </c>
      <c r="AD54" s="22">
        <f>AD52-7</f>
        <v>44393.625</v>
      </c>
      <c r="AE54">
        <f>DMAX(_xlnm.Database,"n",AD53:AD54)</f>
        <v>355</v>
      </c>
      <c r="AF54" s="16">
        <f t="shared" si="15"/>
        <v>44379.625</v>
      </c>
      <c r="AG54">
        <f>AE58</f>
        <v>167</v>
      </c>
      <c r="AH54" s="16"/>
      <c r="AI54"/>
      <c r="AK54" s="16"/>
      <c r="AL54"/>
      <c r="AN54" s="16"/>
      <c r="AO54"/>
      <c r="AQ54" s="16"/>
      <c r="AR54"/>
      <c r="AT54" s="16"/>
    </row>
    <row r="55" spans="2:46">
      <c r="B55" s="13" t="s">
        <v>7</v>
      </c>
      <c r="D55" s="16">
        <f t="shared" si="8"/>
        <v>44379.625</v>
      </c>
      <c r="E55">
        <f>C60</f>
        <v>167</v>
      </c>
      <c r="F55" s="13" t="s">
        <v>7</v>
      </c>
      <c r="H55" s="16">
        <f t="shared" si="9"/>
        <v>44378.625</v>
      </c>
      <c r="I55">
        <f>G60</f>
        <v>207</v>
      </c>
      <c r="J55" s="13" t="s">
        <v>7</v>
      </c>
      <c r="L55" s="16">
        <f t="shared" si="10"/>
        <v>44377.625</v>
      </c>
      <c r="M55">
        <f>K60</f>
        <v>196</v>
      </c>
      <c r="N55" t="s">
        <v>7</v>
      </c>
      <c r="P55" s="16">
        <f t="shared" si="11"/>
        <v>44376.625</v>
      </c>
      <c r="Q55">
        <f>O60</f>
        <v>261</v>
      </c>
      <c r="R55" t="s">
        <v>7</v>
      </c>
      <c r="T55" s="16">
        <f t="shared" si="12"/>
        <v>44375.625</v>
      </c>
      <c r="U55">
        <f>S60</f>
        <v>230</v>
      </c>
      <c r="V55" t="s">
        <v>7</v>
      </c>
      <c r="W55"/>
      <c r="X55" s="16">
        <f t="shared" si="13"/>
        <v>44374.625</v>
      </c>
      <c r="Y55">
        <f>W60</f>
        <v>119</v>
      </c>
      <c r="Z55" t="s">
        <v>7</v>
      </c>
      <c r="AB55" s="16">
        <f t="shared" si="14"/>
        <v>44373.625</v>
      </c>
      <c r="AC55">
        <f>AA60</f>
        <v>129</v>
      </c>
      <c r="AD55" t="s">
        <v>7</v>
      </c>
      <c r="AF55" s="16">
        <f t="shared" si="15"/>
        <v>44372.625</v>
      </c>
      <c r="AG55">
        <f>AE60</f>
        <v>195</v>
      </c>
      <c r="AH55" s="16"/>
      <c r="AI55"/>
      <c r="AK55" s="16"/>
      <c r="AL55"/>
      <c r="AN55" s="16"/>
      <c r="AO55"/>
      <c r="AQ55" s="16"/>
      <c r="AR55"/>
      <c r="AT55" s="16"/>
    </row>
    <row r="56" spans="2:46">
      <c r="B56" s="13">
        <f>B54-7</f>
        <v>44393.625</v>
      </c>
      <c r="C56">
        <f>DMAX(_xlnm.Database,"n",B55:B56)</f>
        <v>355</v>
      </c>
      <c r="D56" s="16">
        <f t="shared" si="8"/>
        <v>44372.625</v>
      </c>
      <c r="E56">
        <f>C62</f>
        <v>195</v>
      </c>
      <c r="F56" s="13">
        <f>F54-7</f>
        <v>44392.625</v>
      </c>
      <c r="G56">
        <f>DMAX(_xlnm.Database,"n",F55:F56)</f>
        <v>379</v>
      </c>
      <c r="H56" s="16">
        <f t="shared" si="9"/>
        <v>44371.625</v>
      </c>
      <c r="I56">
        <f>G62</f>
        <v>162</v>
      </c>
      <c r="J56" s="13">
        <f>J54-7</f>
        <v>44391.625</v>
      </c>
      <c r="K56">
        <f>DMAX(_xlnm.Database,"n",J55:J56)</f>
        <v>386</v>
      </c>
      <c r="L56" s="16">
        <f t="shared" si="10"/>
        <v>44370.625</v>
      </c>
      <c r="M56">
        <f>K62</f>
        <v>146</v>
      </c>
      <c r="N56" s="22">
        <f>N54-7</f>
        <v>44390.625</v>
      </c>
      <c r="O56">
        <f>DMAX(_xlnm.Database,"n",N55:N56)</f>
        <v>341</v>
      </c>
      <c r="P56" s="16">
        <f t="shared" si="11"/>
        <v>44369.625</v>
      </c>
      <c r="Q56">
        <f>O62</f>
        <v>110</v>
      </c>
      <c r="R56" s="22">
        <f>R54-7</f>
        <v>44389.625</v>
      </c>
      <c r="S56">
        <f>DMAX(_xlnm.Database,"n",R55:R56)</f>
        <v>330</v>
      </c>
      <c r="T56" s="16">
        <f t="shared" si="12"/>
        <v>44368.625</v>
      </c>
      <c r="U56">
        <f>S62</f>
        <v>112</v>
      </c>
      <c r="V56" s="22">
        <f>V54-7</f>
        <v>44388.625</v>
      </c>
      <c r="W56">
        <f>DMAX(_xlnm.Database,"n",V55:V56)</f>
        <v>157</v>
      </c>
      <c r="X56" s="16">
        <f t="shared" si="13"/>
        <v>44367.625</v>
      </c>
      <c r="Y56">
        <f>W62</f>
        <v>80</v>
      </c>
      <c r="Z56" s="22">
        <f>Z54-7</f>
        <v>44387.625</v>
      </c>
      <c r="AA56">
        <f>DMAX(_xlnm.Database,"n",Z55:Z56)</f>
        <v>150</v>
      </c>
      <c r="AB56" s="16">
        <f t="shared" si="14"/>
        <v>44366.625</v>
      </c>
      <c r="AC56">
        <f>AA62</f>
        <v>57</v>
      </c>
      <c r="AD56" s="22">
        <f>AD54-7</f>
        <v>44386.625</v>
      </c>
      <c r="AE56">
        <f>DMAX(_xlnm.Database,"n",AD55:AD56)</f>
        <v>309</v>
      </c>
      <c r="AF56" s="16">
        <f t="shared" si="15"/>
        <v>44365.625</v>
      </c>
      <c r="AG56">
        <f>AE62</f>
        <v>80</v>
      </c>
      <c r="AH56" s="16"/>
      <c r="AI56"/>
      <c r="AK56" s="16"/>
      <c r="AL56"/>
      <c r="AN56" s="16"/>
      <c r="AO56"/>
      <c r="AQ56" s="16"/>
      <c r="AR56"/>
      <c r="AT56" s="16"/>
    </row>
    <row r="57" spans="2:46">
      <c r="B57" s="13" t="s">
        <v>7</v>
      </c>
      <c r="D57" s="16">
        <f t="shared" si="8"/>
        <v>44365.625</v>
      </c>
      <c r="E57">
        <f>C64</f>
        <v>80</v>
      </c>
      <c r="F57" s="13" t="s">
        <v>7</v>
      </c>
      <c r="H57" s="16">
        <f t="shared" si="9"/>
        <v>44364.625</v>
      </c>
      <c r="I57">
        <f>G64</f>
        <v>91</v>
      </c>
      <c r="J57" s="13" t="s">
        <v>7</v>
      </c>
      <c r="L57" s="16">
        <f t="shared" si="10"/>
        <v>44363.625</v>
      </c>
      <c r="M57">
        <f>K64</f>
        <v>65</v>
      </c>
      <c r="N57" t="s">
        <v>7</v>
      </c>
      <c r="P57" s="16">
        <f t="shared" si="11"/>
        <v>44362.625</v>
      </c>
      <c r="Q57">
        <f>O64</f>
        <v>78</v>
      </c>
      <c r="R57" t="s">
        <v>7</v>
      </c>
      <c r="T57" s="16">
        <f t="shared" si="12"/>
        <v>44361.625</v>
      </c>
      <c r="U57">
        <f>S64</f>
        <v>93</v>
      </c>
      <c r="V57" t="s">
        <v>7</v>
      </c>
      <c r="W57"/>
      <c r="X57" s="16">
        <f t="shared" si="13"/>
        <v>44360.625</v>
      </c>
      <c r="Y57">
        <f>W64</f>
        <v>48</v>
      </c>
      <c r="Z57" t="s">
        <v>7</v>
      </c>
      <c r="AB57" s="16">
        <f t="shared" si="14"/>
        <v>44359.625</v>
      </c>
      <c r="AC57">
        <f>AA64</f>
        <v>46</v>
      </c>
      <c r="AD57" t="s">
        <v>7</v>
      </c>
      <c r="AF57" s="16">
        <f t="shared" si="15"/>
        <v>44358.625</v>
      </c>
      <c r="AG57">
        <f>AE64</f>
        <v>70</v>
      </c>
      <c r="AH57" s="16"/>
      <c r="AI57"/>
      <c r="AK57" s="16"/>
      <c r="AL57"/>
      <c r="AN57" s="16"/>
      <c r="AO57"/>
      <c r="AQ57" s="16"/>
      <c r="AR57"/>
      <c r="AT57" s="16"/>
    </row>
    <row r="58" spans="2:46">
      <c r="B58" s="13">
        <f>B56-7</f>
        <v>44386.625</v>
      </c>
      <c r="C58">
        <f>DMAX(_xlnm.Database,"n",B57:B58)</f>
        <v>309</v>
      </c>
      <c r="D58" s="16">
        <f>D57-7</f>
        <v>44358.625</v>
      </c>
      <c r="E58">
        <f>C66</f>
        <v>70</v>
      </c>
      <c r="F58" s="13">
        <f>F56-7</f>
        <v>44385.625</v>
      </c>
      <c r="G58">
        <f>DMAX(_xlnm.Database,"n",F57:F58)</f>
        <v>285</v>
      </c>
      <c r="H58" s="16">
        <f>H57-7</f>
        <v>44357.625</v>
      </c>
      <c r="I58">
        <f>G66</f>
        <v>73</v>
      </c>
      <c r="J58" s="13">
        <f>J56-7</f>
        <v>44384.625</v>
      </c>
      <c r="K58">
        <f>DMAX(_xlnm.Database,"n",J57:J58)</f>
        <v>291</v>
      </c>
      <c r="L58" s="16">
        <f>L57-7</f>
        <v>44356.625</v>
      </c>
      <c r="M58">
        <f>K66</f>
        <v>81</v>
      </c>
      <c r="N58" s="22">
        <f>N56-7</f>
        <v>44383.625</v>
      </c>
      <c r="O58">
        <f>DMAX(_xlnm.Database,"n",N57:N58)</f>
        <v>260</v>
      </c>
      <c r="P58" s="16">
        <f>P57-7</f>
        <v>44355.625</v>
      </c>
      <c r="Q58">
        <f>O66</f>
        <v>101</v>
      </c>
      <c r="R58" s="22">
        <f>R56-7</f>
        <v>44382.625</v>
      </c>
      <c r="S58">
        <f>DMAX(_xlnm.Database,"n",R57:R58)</f>
        <v>245</v>
      </c>
      <c r="T58" s="16">
        <f>T57-7</f>
        <v>44354.625</v>
      </c>
      <c r="U58">
        <f>S66</f>
        <v>139</v>
      </c>
      <c r="V58" s="22">
        <f>V56-7</f>
        <v>44381.625</v>
      </c>
      <c r="W58">
        <f>DMAX(_xlnm.Database,"n",V57:V58)</f>
        <v>108</v>
      </c>
      <c r="X58" s="16">
        <f>X57-7</f>
        <v>44353.625</v>
      </c>
      <c r="Y58">
        <f>W66</f>
        <v>60</v>
      </c>
      <c r="Z58" s="22">
        <f>Z56-7</f>
        <v>44380.625</v>
      </c>
      <c r="AA58">
        <f>DMAX(_xlnm.Database,"n",Z57:Z58)</f>
        <v>129</v>
      </c>
      <c r="AB58" s="16">
        <f>AB57-7</f>
        <v>44352.625</v>
      </c>
      <c r="AC58">
        <f>AA66</f>
        <v>64</v>
      </c>
      <c r="AD58" s="22">
        <f>AD56-7</f>
        <v>44379.625</v>
      </c>
      <c r="AE58">
        <f>DMAX(_xlnm.Database,"n",AD57:AD58)</f>
        <v>167</v>
      </c>
      <c r="AF58" s="16">
        <f>AF57-7</f>
        <v>44351.625</v>
      </c>
      <c r="AG58">
        <f>AE66</f>
        <v>102</v>
      </c>
      <c r="AH58" s="16"/>
      <c r="AI58"/>
      <c r="AK58" s="16"/>
      <c r="AL58"/>
      <c r="AN58" s="16"/>
      <c r="AO58"/>
      <c r="AQ58" s="16"/>
      <c r="AR58"/>
      <c r="AT58" s="16"/>
    </row>
    <row r="59" spans="2:46">
      <c r="B59" s="13" t="s">
        <v>7</v>
      </c>
      <c r="D59" s="16">
        <f t="shared" si="8"/>
        <v>44351.625</v>
      </c>
      <c r="E59">
        <f>C68</f>
        <v>102</v>
      </c>
      <c r="F59" s="13" t="s">
        <v>7</v>
      </c>
      <c r="H59" s="16">
        <f t="shared" si="9"/>
        <v>44350.625</v>
      </c>
      <c r="I59">
        <f>G68</f>
        <v>111</v>
      </c>
      <c r="J59" s="13" t="s">
        <v>7</v>
      </c>
      <c r="L59" s="16">
        <f t="shared" si="10"/>
        <v>44349.625</v>
      </c>
      <c r="M59">
        <f>K68</f>
        <v>119</v>
      </c>
      <c r="N59" t="s">
        <v>7</v>
      </c>
      <c r="P59" s="16">
        <f t="shared" si="11"/>
        <v>44348.625</v>
      </c>
      <c r="Q59">
        <f>O68</f>
        <v>121</v>
      </c>
      <c r="R59" t="s">
        <v>7</v>
      </c>
      <c r="T59" s="16">
        <f t="shared" si="12"/>
        <v>44347.625</v>
      </c>
      <c r="U59">
        <f>S68</f>
        <v>150</v>
      </c>
      <c r="V59" t="s">
        <v>7</v>
      </c>
      <c r="W59"/>
      <c r="X59" s="16">
        <f t="shared" si="13"/>
        <v>44346.625</v>
      </c>
      <c r="Y59">
        <f>W68</f>
        <v>79</v>
      </c>
      <c r="Z59" t="s">
        <v>7</v>
      </c>
      <c r="AB59" s="16">
        <f t="shared" si="14"/>
        <v>44345.625</v>
      </c>
      <c r="AC59">
        <f>AA68</f>
        <v>64</v>
      </c>
      <c r="AD59" t="s">
        <v>7</v>
      </c>
      <c r="AF59" s="16">
        <f t="shared" si="15"/>
        <v>44344.625</v>
      </c>
      <c r="AG59">
        <f>AE68</f>
        <v>136</v>
      </c>
      <c r="AH59" s="16"/>
      <c r="AI59"/>
      <c r="AK59" s="16"/>
      <c r="AL59"/>
      <c r="AN59" s="16"/>
      <c r="AO59"/>
      <c r="AQ59" s="16"/>
      <c r="AR59"/>
      <c r="AT59" s="16"/>
    </row>
    <row r="60" spans="2:46">
      <c r="B60" s="13">
        <f>B58-7</f>
        <v>44379.625</v>
      </c>
      <c r="C60">
        <f>DMAX(_xlnm.Database,"n",B59:B60)</f>
        <v>167</v>
      </c>
      <c r="D60" s="16"/>
      <c r="F60" s="13">
        <f>F58-7</f>
        <v>44378.625</v>
      </c>
      <c r="G60">
        <f>DMAX(_xlnm.Database,"n",F59:F60)</f>
        <v>207</v>
      </c>
      <c r="H60" s="16"/>
      <c r="J60" s="13">
        <f>J58-7</f>
        <v>44377.625</v>
      </c>
      <c r="K60">
        <f>DMAX(_xlnm.Database,"n",J59:J60)</f>
        <v>196</v>
      </c>
      <c r="L60" s="16"/>
      <c r="N60" s="22">
        <f>N58-7</f>
        <v>44376.625</v>
      </c>
      <c r="O60">
        <f>DMAX(_xlnm.Database,"n",N59:N60)</f>
        <v>261</v>
      </c>
      <c r="P60" s="16"/>
      <c r="Q60"/>
      <c r="R60" s="22">
        <f>R58-7</f>
        <v>44375.625</v>
      </c>
      <c r="S60">
        <f>DMAX(_xlnm.Database,"n",R59:R60)</f>
        <v>230</v>
      </c>
      <c r="V60" s="22">
        <f>V58-7</f>
        <v>44374.625</v>
      </c>
      <c r="W60">
        <f>DMAX(_xlnm.Database,"n",V59:V60)</f>
        <v>119</v>
      </c>
      <c r="X60" s="16"/>
      <c r="Z60" s="22">
        <f>Z58-7</f>
        <v>44373.625</v>
      </c>
      <c r="AA60">
        <f>DMAX(_xlnm.Database,"n",Z59:Z60)</f>
        <v>129</v>
      </c>
      <c r="AB60" s="16"/>
      <c r="AC60"/>
      <c r="AD60" s="22">
        <f>AD58-7</f>
        <v>44372.625</v>
      </c>
      <c r="AE60">
        <f>DMAX(_xlnm.Database,"n",AD59:AD60)</f>
        <v>195</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44372.625</v>
      </c>
      <c r="C62">
        <f>DMAX(_xlnm.Database,"n",B61:B62)</f>
        <v>195</v>
      </c>
      <c r="D62" s="16"/>
      <c r="F62" s="13">
        <f>F60-7</f>
        <v>44371.625</v>
      </c>
      <c r="G62">
        <f>DMAX(_xlnm.Database,"n",F61:F62)</f>
        <v>162</v>
      </c>
      <c r="H62" s="16"/>
      <c r="J62" s="13">
        <f>J60-7</f>
        <v>44370.625</v>
      </c>
      <c r="K62">
        <f>DMAX(_xlnm.Database,"n",J61:J62)</f>
        <v>146</v>
      </c>
      <c r="L62" s="16"/>
      <c r="N62" s="22">
        <f>N60-7</f>
        <v>44369.625</v>
      </c>
      <c r="O62">
        <f>DMAX(_xlnm.Database,"n",N61:N62)</f>
        <v>110</v>
      </c>
      <c r="P62" s="16"/>
      <c r="Q62"/>
      <c r="R62" s="22">
        <f>R60-7</f>
        <v>44368.625</v>
      </c>
      <c r="S62">
        <f>DMAX(_xlnm.Database,"n",R61:R62)</f>
        <v>112</v>
      </c>
      <c r="V62" s="22">
        <f>V60-7</f>
        <v>44367.625</v>
      </c>
      <c r="W62">
        <f>DMAX(_xlnm.Database,"n",V61:V62)</f>
        <v>80</v>
      </c>
      <c r="X62" s="16"/>
      <c r="Z62" s="22">
        <f>Z60-7</f>
        <v>44366.625</v>
      </c>
      <c r="AA62">
        <f>DMAX(_xlnm.Database,"n",Z61:Z62)</f>
        <v>57</v>
      </c>
      <c r="AB62" s="16"/>
      <c r="AC62"/>
      <c r="AD62" s="22">
        <f>AD60-7</f>
        <v>44365.625</v>
      </c>
      <c r="AE62">
        <f>DMAX(_xlnm.Database,"n",AD61:AD62)</f>
        <v>80</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44365.625</v>
      </c>
      <c r="C64">
        <f>DMAX(_xlnm.Database,"n",B63:B64)</f>
        <v>80</v>
      </c>
      <c r="D64" s="16"/>
      <c r="F64" s="13">
        <f>F62-7</f>
        <v>44364.625</v>
      </c>
      <c r="G64">
        <f>DMAX(_xlnm.Database,"n",F63:F64)</f>
        <v>91</v>
      </c>
      <c r="H64" s="16"/>
      <c r="J64" s="13">
        <f>J62-7</f>
        <v>44363.625</v>
      </c>
      <c r="K64">
        <f>DMAX(_xlnm.Database,"n",J63:J64)</f>
        <v>65</v>
      </c>
      <c r="L64" s="16"/>
      <c r="N64" s="22">
        <f>N62-7</f>
        <v>44362.625</v>
      </c>
      <c r="O64">
        <f>DMAX(_xlnm.Database,"n",N63:N64)</f>
        <v>78</v>
      </c>
      <c r="P64" s="16"/>
      <c r="Q64"/>
      <c r="R64" s="22">
        <f>R62-7</f>
        <v>44361.625</v>
      </c>
      <c r="S64">
        <f>DMAX(_xlnm.Database,"n",R63:R64)</f>
        <v>93</v>
      </c>
      <c r="V64" s="22">
        <f>V62-7</f>
        <v>44360.625</v>
      </c>
      <c r="W64">
        <f>DMAX(_xlnm.Database,"n",V63:V64)</f>
        <v>48</v>
      </c>
      <c r="X64" s="16"/>
      <c r="Z64" s="22">
        <f>Z62-7</f>
        <v>44359.625</v>
      </c>
      <c r="AA64">
        <f>DMAX(_xlnm.Database,"n",Z63:Z64)</f>
        <v>46</v>
      </c>
      <c r="AB64" s="16"/>
      <c r="AC64"/>
      <c r="AD64" s="22">
        <f>AD62-7</f>
        <v>44358.625</v>
      </c>
      <c r="AE64">
        <f>DMAX(_xlnm.Database,"n",AD63:AD64)</f>
        <v>70</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44358.625</v>
      </c>
      <c r="C66">
        <f>DMAX(_xlnm.Database,"n",B65:B66)</f>
        <v>70</v>
      </c>
      <c r="D66" s="16"/>
      <c r="F66" s="13">
        <f>F64-7</f>
        <v>44357.625</v>
      </c>
      <c r="G66">
        <f>DMAX(_xlnm.Database,"n",F65:F66)</f>
        <v>73</v>
      </c>
      <c r="H66" s="16"/>
      <c r="J66" s="13">
        <f>J64-7</f>
        <v>44356.625</v>
      </c>
      <c r="K66">
        <f>DMAX(_xlnm.Database,"n",J65:J66)</f>
        <v>81</v>
      </c>
      <c r="L66" s="16"/>
      <c r="N66" s="22">
        <f>N64-7</f>
        <v>44355.625</v>
      </c>
      <c r="O66">
        <f>DMAX(_xlnm.Database,"n",N65:N66)</f>
        <v>101</v>
      </c>
      <c r="P66" s="16"/>
      <c r="Q66"/>
      <c r="R66" s="22">
        <f>R64-7</f>
        <v>44354.625</v>
      </c>
      <c r="S66">
        <f>DMAX(_xlnm.Database,"n",R65:R66)</f>
        <v>139</v>
      </c>
      <c r="V66" s="22">
        <f>V64-7</f>
        <v>44353.625</v>
      </c>
      <c r="W66">
        <f>DMAX(_xlnm.Database,"n",V65:V66)</f>
        <v>60</v>
      </c>
      <c r="X66" s="16"/>
      <c r="Z66" s="22">
        <f>Z64-7</f>
        <v>44352.625</v>
      </c>
      <c r="AA66">
        <f>DMAX(_xlnm.Database,"n",Z65:Z66)</f>
        <v>64</v>
      </c>
      <c r="AB66" s="16"/>
      <c r="AC66"/>
      <c r="AD66" s="22">
        <f>AD64-7</f>
        <v>44351.625</v>
      </c>
      <c r="AE66">
        <f>DMAX(_xlnm.Database,"n",AD65:AD66)</f>
        <v>102</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44351.625</v>
      </c>
      <c r="C68">
        <f>DMAX(_xlnm.Database,"n",B67:B68)</f>
        <v>102</v>
      </c>
      <c r="D68" s="16"/>
      <c r="F68" s="13">
        <f>F66-7</f>
        <v>44350.625</v>
      </c>
      <c r="G68">
        <f>DMAX(_xlnm.Database,"n",F67:F68)</f>
        <v>111</v>
      </c>
      <c r="H68" s="16"/>
      <c r="J68" s="13">
        <f>J66-7</f>
        <v>44349.625</v>
      </c>
      <c r="K68">
        <f>DMAX(_xlnm.Database,"n",J67:J68)</f>
        <v>119</v>
      </c>
      <c r="L68" s="16"/>
      <c r="N68" s="22">
        <f>N66-7</f>
        <v>44348.625</v>
      </c>
      <c r="O68">
        <f>DMAX(_xlnm.Database,"n",N67:N68)</f>
        <v>121</v>
      </c>
      <c r="P68" s="16"/>
      <c r="Q68"/>
      <c r="R68" s="22">
        <f>R66-7</f>
        <v>44347.625</v>
      </c>
      <c r="S68">
        <f>DMAX(_xlnm.Database,"n",R67:R68)</f>
        <v>150</v>
      </c>
      <c r="V68" s="22">
        <f>V66-7</f>
        <v>44346.625</v>
      </c>
      <c r="W68">
        <f>DMAX(_xlnm.Database,"n",V67:V68)</f>
        <v>79</v>
      </c>
      <c r="X68" s="16"/>
      <c r="Z68" s="22">
        <f>Z66-7</f>
        <v>44345.625</v>
      </c>
      <c r="AA68">
        <f>DMAX(_xlnm.Database,"n",Z67:Z68)</f>
        <v>64</v>
      </c>
      <c r="AB68" s="16"/>
      <c r="AC68"/>
      <c r="AD68" s="22">
        <f>AD66-7</f>
        <v>44344.625</v>
      </c>
      <c r="AE68">
        <f>DMAX(_xlnm.Database,"n",AD67:AD68)</f>
        <v>136</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44414.625</v>
      </c>
      <c r="C73">
        <f>DMAX(_xlnm.Database,"n",B72:B73)</f>
        <v>655</v>
      </c>
      <c r="D73" s="21">
        <f>B73</f>
        <v>44414.625</v>
      </c>
      <c r="E73">
        <f>C73</f>
        <v>655</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44413.625</v>
      </c>
      <c r="E74">
        <f>C75</f>
        <v>826</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44413.625</v>
      </c>
      <c r="C75">
        <f>DMAX(_xlnm.Database,"n",B74:B75)</f>
        <v>826</v>
      </c>
      <c r="D75" s="16">
        <f t="shared" ref="D75:D109" si="16">D74-1</f>
        <v>44412.625</v>
      </c>
      <c r="E75">
        <f>C77</f>
        <v>780</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44411.625</v>
      </c>
      <c r="E76">
        <f>C79</f>
        <v>839</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44412.625</v>
      </c>
      <c r="C77">
        <f>DMAX(_xlnm.Database,"n",B76:B77)</f>
        <v>780</v>
      </c>
      <c r="D77" s="16">
        <f t="shared" si="16"/>
        <v>44410.625</v>
      </c>
      <c r="E77">
        <f>C81</f>
        <v>894</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44409.625</v>
      </c>
      <c r="E78">
        <f>C83</f>
        <v>474</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44411.625</v>
      </c>
      <c r="C79">
        <f>DMAX(_xlnm.Database,"n",B78:B79)</f>
        <v>839</v>
      </c>
      <c r="D79" s="16">
        <f t="shared" si="16"/>
        <v>44408.625</v>
      </c>
      <c r="E79">
        <f>C85</f>
        <v>403</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44407.625</v>
      </c>
      <c r="E80">
        <f>C87</f>
        <v>692</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44410.625</v>
      </c>
      <c r="C81">
        <f>DMAX(_xlnm.Database,"n",B80:B81)</f>
        <v>894</v>
      </c>
      <c r="D81" s="16">
        <f t="shared" si="16"/>
        <v>44406.625</v>
      </c>
      <c r="E81">
        <f>C89</f>
        <v>765</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44405.625</v>
      </c>
      <c r="E82">
        <f>C91</f>
        <v>844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44409.625</v>
      </c>
      <c r="C83">
        <f>DMAX(_xlnm.Database,"n",B82:B83)</f>
        <v>474</v>
      </c>
      <c r="D83" s="16">
        <f t="shared" si="16"/>
        <v>44404.625</v>
      </c>
      <c r="E83">
        <f>C93</f>
        <v>675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44403.625</v>
      </c>
      <c r="E84">
        <f>C95</f>
        <v>766</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44408.625</v>
      </c>
      <c r="C85">
        <f>DMAX(_xlnm.Database,"n",B84:B85)</f>
        <v>403</v>
      </c>
      <c r="D85" s="16">
        <f t="shared" si="16"/>
        <v>44402.625</v>
      </c>
      <c r="E85">
        <f>C97</f>
        <v>351</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44401.625</v>
      </c>
      <c r="E86">
        <f>C99</f>
        <v>298</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44407.625</v>
      </c>
      <c r="C87">
        <f>DMAX(_xlnm.Database,"n",B86:B87)</f>
        <v>692</v>
      </c>
      <c r="D87" s="16">
        <f t="shared" si="16"/>
        <v>44400.625</v>
      </c>
      <c r="E87">
        <f>C101</f>
        <v>479</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44399.625</v>
      </c>
      <c r="E88">
        <f>C103</f>
        <v>487</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44406.625</v>
      </c>
      <c r="C89">
        <f>DMAX(_xlnm.Database,"n",B88:B89)</f>
        <v>765</v>
      </c>
      <c r="D89" s="16">
        <f t="shared" si="16"/>
        <v>44398.625</v>
      </c>
      <c r="E89">
        <f>C105</f>
        <v>467</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44397.625</v>
      </c>
      <c r="E90">
        <f>C107</f>
        <v>421</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44405.625</v>
      </c>
      <c r="C91">
        <f>DMAX(_xlnm.Database,"n",B90:B91)</f>
        <v>844</v>
      </c>
      <c r="D91" s="16">
        <f t="shared" si="16"/>
        <v>44396.625</v>
      </c>
      <c r="E91">
        <f>C109</f>
        <v>421</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44395.625</v>
      </c>
      <c r="E92">
        <f>C111</f>
        <v>247</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44404.625</v>
      </c>
      <c r="C93">
        <f>DMAX(_xlnm.Database,"n",B92:B93)</f>
        <v>675</v>
      </c>
      <c r="D93" s="16">
        <f t="shared" si="16"/>
        <v>44394.625</v>
      </c>
      <c r="E93">
        <f>C113</f>
        <v>203</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44393.625</v>
      </c>
      <c r="E94">
        <f>C115</f>
        <v>355</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44403.625</v>
      </c>
      <c r="C95">
        <f>DMAX(_xlnm.Database,"n",B94:B95)</f>
        <v>766</v>
      </c>
      <c r="D95" s="16">
        <f t="shared" si="16"/>
        <v>44392.625</v>
      </c>
      <c r="E95">
        <f>C117</f>
        <v>379</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44391.625</v>
      </c>
      <c r="E96">
        <f>C119</f>
        <v>386</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44402.625</v>
      </c>
      <c r="C97">
        <f>DMAX(_xlnm.Database,"n",B96:B97)</f>
        <v>351</v>
      </c>
      <c r="D97" s="16">
        <f t="shared" si="16"/>
        <v>44390.625</v>
      </c>
      <c r="E97">
        <f>C121</f>
        <v>341</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44389.625</v>
      </c>
      <c r="E98">
        <f>C123</f>
        <v>330</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44401.625</v>
      </c>
      <c r="C99">
        <f>DMAX(_xlnm.Database,"n",B98:B99)</f>
        <v>298</v>
      </c>
      <c r="D99" s="16">
        <f t="shared" si="16"/>
        <v>44388.625</v>
      </c>
      <c r="E99">
        <f>C125</f>
        <v>157</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44387.625</v>
      </c>
      <c r="E100">
        <f>C127</f>
        <v>150</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44400.625</v>
      </c>
      <c r="C101">
        <f>DMAX(_xlnm.Database,"n",B100:B101)</f>
        <v>479</v>
      </c>
      <c r="D101" s="16">
        <f t="shared" si="16"/>
        <v>44386.625</v>
      </c>
      <c r="E101">
        <f>C129</f>
        <v>309</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44385.625</v>
      </c>
      <c r="E102">
        <f>C131</f>
        <v>285</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44399.625</v>
      </c>
      <c r="C103">
        <f>DMAX(_xlnm.Database,"n",B102:B103)</f>
        <v>487</v>
      </c>
      <c r="D103" s="16">
        <f t="shared" si="16"/>
        <v>44384.625</v>
      </c>
      <c r="E103">
        <f>C133</f>
        <v>291</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44383.625</v>
      </c>
      <c r="E104">
        <f>C135</f>
        <v>260</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44398.625</v>
      </c>
      <c r="C105">
        <f>DMAX(_xlnm.Database,"n",B104:B105)</f>
        <v>467</v>
      </c>
      <c r="D105" s="16">
        <f t="shared" si="16"/>
        <v>44382.625</v>
      </c>
      <c r="E105">
        <f>C137</f>
        <v>245</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44381.625</v>
      </c>
      <c r="E106">
        <f>C139</f>
        <v>108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44397.625</v>
      </c>
      <c r="C107">
        <f>DMAX(_xlnm.Database,"n",B106:B107)</f>
        <v>421</v>
      </c>
      <c r="D107" s="16">
        <f t="shared" si="16"/>
        <v>44380.625</v>
      </c>
      <c r="E107">
        <f>C141</f>
        <v>129</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44379.625</v>
      </c>
      <c r="E108">
        <f>C143</f>
        <v>167</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44396.625</v>
      </c>
      <c r="C109">
        <f>DMAX(_xlnm.Database,"n",B108:B109)</f>
        <v>421</v>
      </c>
      <c r="D109" s="16">
        <f t="shared" si="16"/>
        <v>44378.625</v>
      </c>
      <c r="E109">
        <f>C145</f>
        <v>207</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44395.625</v>
      </c>
      <c r="C111">
        <f>DMAX(_xlnm.Database,"n",B110:B111)</f>
        <v>247</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44394.625</v>
      </c>
      <c r="C113">
        <f>DMAX(_xlnm.Database,"n",B112:B113)</f>
        <v>203</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44393.625</v>
      </c>
      <c r="C115">
        <f>DMAX(_xlnm.Database,"n",B114:B115)</f>
        <v>355</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44392.625</v>
      </c>
      <c r="C117">
        <f>DMAX(_xlnm.Database,"n",B116:B117)</f>
        <v>379</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44391.625</v>
      </c>
      <c r="C119">
        <f>DMAX(_xlnm.Database,"n",B118:B119)</f>
        <v>386</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44390.625</v>
      </c>
      <c r="C121">
        <f>DMAX(_xlnm.Database,"n",B120:B121)</f>
        <v>341</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44389.625</v>
      </c>
      <c r="C123">
        <f>DMAX(_xlnm.Database,"n",B122:B123)</f>
        <v>330</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44388.625</v>
      </c>
      <c r="C125">
        <f>DMAX(_xlnm.Database,"n",B124:B125)</f>
        <v>157</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44387.625</v>
      </c>
      <c r="C127">
        <f>DMAX(_xlnm.Database,"n",B126:B127)</f>
        <v>150</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44386.625</v>
      </c>
      <c r="C129">
        <f>DMAX(_xlnm.Database,"n",B128:B129)</f>
        <v>309</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44385.625</v>
      </c>
      <c r="C131">
        <f>DMAX(_xlnm.Database,"n",B130:B131)</f>
        <v>285</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44384.625</v>
      </c>
      <c r="C133">
        <f>DMAX(_xlnm.Database,"n",B132:B133)</f>
        <v>291</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44383.625</v>
      </c>
      <c r="C135">
        <f>DMAX(_xlnm.Database,"n",B134:B135)</f>
        <v>260</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44382.625</v>
      </c>
      <c r="C137">
        <f>DMAX(_xlnm.Database,"n",B136:B137)</f>
        <v>245</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44381.625</v>
      </c>
      <c r="C139">
        <f>DMAX(_xlnm.Database,"n",B138:B139)</f>
        <v>108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44380.625</v>
      </c>
      <c r="C141">
        <f>DMAX(_xlnm.Database,"n",B140:B141)</f>
        <v>129</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44379.625</v>
      </c>
      <c r="C143">
        <f>DMAX(_xlnm.Database,"n",B142:B143)</f>
        <v>167</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44378.625</v>
      </c>
      <c r="C145">
        <f>DMAX(_xlnm.Database,"n",B144:B145)</f>
        <v>207</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30480</xdr:colOff>
                    <xdr:row>0</xdr:row>
                    <xdr:rowOff>114300</xdr:rowOff>
                  </from>
                  <to>
                    <xdr:col>3</xdr:col>
                    <xdr:colOff>312420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workbookViewId="0">
      <selection activeCell="A20" sqref="A20"/>
    </sheetView>
  </sheetViews>
  <sheetFormatPr defaultRowHeight="14.4"/>
  <cols>
    <col min="1" max="1" width="6.109375" customWidth="1"/>
    <col min="16" max="17" width="10.109375" bestFit="1" customWidth="1"/>
    <col min="18" max="18" width="9.88671875" customWidth="1"/>
    <col min="19" max="19" width="10.10937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248.23809523809524</v>
      </c>
      <c r="O25" s="32">
        <f>T25</f>
        <v>894</v>
      </c>
      <c r="P25" s="13">
        <f>S25</f>
        <v>44410.625</v>
      </c>
      <c r="R25" s="13"/>
      <c r="S25" s="30">
        <f>DMAX(_xlnm.Database,"aika",T24:U25)</f>
        <v>44410.625</v>
      </c>
      <c r="T25" s="3">
        <f>DMAX(_xlnm.Database,"n",U24:U25)</f>
        <v>894</v>
      </c>
      <c r="U25">
        <v>1</v>
      </c>
      <c r="V25" s="3"/>
    </row>
    <row r="26" spans="2:22">
      <c r="L26">
        <v>2</v>
      </c>
      <c r="M26" t="s">
        <v>431</v>
      </c>
      <c r="N26" s="29">
        <f>AVERAGEIF(Kaikki!E:E,L26,DataN)</f>
        <v>214.21428571428572</v>
      </c>
      <c r="O26" s="32">
        <f>T27</f>
        <v>839</v>
      </c>
      <c r="P26" s="13">
        <f>S27</f>
        <v>44411.625</v>
      </c>
      <c r="R26" s="13"/>
      <c r="T26" s="3" t="s">
        <v>290</v>
      </c>
      <c r="U26" t="s">
        <v>299</v>
      </c>
    </row>
    <row r="27" spans="2:22">
      <c r="L27">
        <v>3</v>
      </c>
      <c r="M27" t="s">
        <v>432</v>
      </c>
      <c r="N27" s="29">
        <f>AVERAGEIF(Kaikki!E:E,L27,DataN)</f>
        <v>218.9404761904762</v>
      </c>
      <c r="O27" s="32">
        <f>T29</f>
        <v>844</v>
      </c>
      <c r="P27" s="13">
        <f>S29</f>
        <v>44405.625</v>
      </c>
      <c r="R27" s="13"/>
      <c r="S27" s="30">
        <f>DMAX(_xlnm.Database,"aika",T26:U27)</f>
        <v>44411.625</v>
      </c>
      <c r="T27" s="3">
        <f>DMAX(_xlnm.Database,"n",U26:U27)</f>
        <v>839</v>
      </c>
      <c r="U27">
        <v>2</v>
      </c>
      <c r="V27" s="3"/>
    </row>
    <row r="28" spans="2:22">
      <c r="L28">
        <v>4</v>
      </c>
      <c r="M28" t="s">
        <v>433</v>
      </c>
      <c r="N28" s="29">
        <f>AVERAGEIF(Kaikki!E:E,L28,DataN)</f>
        <v>209.97619047619048</v>
      </c>
      <c r="O28" s="32">
        <f>T31</f>
        <v>826</v>
      </c>
      <c r="P28" s="13">
        <f>S31</f>
        <v>44413.625</v>
      </c>
      <c r="R28" s="13"/>
      <c r="T28" s="3" t="s">
        <v>290</v>
      </c>
      <c r="U28" t="s">
        <v>299</v>
      </c>
    </row>
    <row r="29" spans="2:22">
      <c r="L29">
        <v>5</v>
      </c>
      <c r="M29" t="s">
        <v>434</v>
      </c>
      <c r="N29" s="29">
        <f>AVERAGEIF(Kaikki!E:E,L29,DataN)</f>
        <v>200.78571428571428</v>
      </c>
      <c r="O29" s="32">
        <f>T33</f>
        <v>808</v>
      </c>
      <c r="P29" s="13">
        <f>S33</f>
        <v>44267.625</v>
      </c>
      <c r="R29" s="13"/>
      <c r="S29" s="30">
        <f>DMAX(_xlnm.Database,"aika",T28:U29)</f>
        <v>44405.625</v>
      </c>
      <c r="T29" s="3">
        <f>DMAX(_xlnm.Database,"n",U28:U29)</f>
        <v>844</v>
      </c>
      <c r="U29">
        <v>3</v>
      </c>
      <c r="V29" s="3"/>
    </row>
    <row r="30" spans="2:22">
      <c r="L30">
        <v>6</v>
      </c>
      <c r="M30" t="s">
        <v>435</v>
      </c>
      <c r="N30" s="29">
        <f>AVERAGEIF(Kaikki!E:E,L30,DataN)</f>
        <v>125.11904761904762</v>
      </c>
      <c r="O30" s="32">
        <f>T35</f>
        <v>492</v>
      </c>
      <c r="P30" s="13">
        <f>S35</f>
        <v>44268.625</v>
      </c>
      <c r="R30" s="13"/>
      <c r="T30" s="3" t="s">
        <v>290</v>
      </c>
      <c r="U30" t="s">
        <v>299</v>
      </c>
    </row>
    <row r="31" spans="2:22">
      <c r="L31">
        <v>7</v>
      </c>
      <c r="M31" t="s">
        <v>436</v>
      </c>
      <c r="N31" s="29">
        <f>AVERAGEIF(Kaikki!E:E,L31,DataN)</f>
        <v>133.16666666666666</v>
      </c>
      <c r="O31" s="32">
        <f>T37</f>
        <v>474</v>
      </c>
      <c r="P31" s="13">
        <f>S37</f>
        <v>44409.625</v>
      </c>
      <c r="R31" s="13"/>
      <c r="S31" s="30">
        <f>DMAX(_xlnm.Database,"aika",T30:U31)</f>
        <v>44413.625</v>
      </c>
      <c r="T31" s="3">
        <f>DMAX(_xlnm.Database,"n",U30:U31)</f>
        <v>826</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492</v>
      </c>
      <c r="U35">
        <v>6</v>
      </c>
    </row>
    <row r="36" spans="2:21">
      <c r="M36" s="33">
        <f>MAX(Kaikki!H$2:H10000)</f>
        <v>4942</v>
      </c>
      <c r="N36" s="30">
        <f>DMAX(_xlnm.Database,"aika",M35:M36)</f>
        <v>44263.625</v>
      </c>
      <c r="O36" s="37"/>
      <c r="R36" s="13"/>
      <c r="T36" s="3" t="s">
        <v>290</v>
      </c>
      <c r="U36" t="s">
        <v>299</v>
      </c>
    </row>
    <row r="37" spans="2:21">
      <c r="R37" s="13"/>
      <c r="S37" s="30">
        <f>DMAX(_xlnm.Database,"aika",T36:U37)</f>
        <v>44409.625</v>
      </c>
      <c r="T37" s="3">
        <f>DMAX(_xlnm.Database,"n",U36:U37)</f>
        <v>474</v>
      </c>
      <c r="U37">
        <v>7</v>
      </c>
    </row>
    <row r="39" spans="2:21">
      <c r="P39" s="13"/>
    </row>
    <row r="40" spans="2:21">
      <c r="B40" t="str">
        <f ca="1">IF((Lisäys!D35-Lisäys!O35-Lisäys!F5)&lt;&gt;0," (joista vanhoja yli 28 päivän takaisia kirjauksia "&amp;(Lisäys!D35-Lisäys!O35-Lisäys!F5)&amp;")","")</f>
        <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10.8 n=781. Yhteensä N=113437. Edelliset 7 päivää 4276 (päivittyy), 4747 (muutos 45 %), 3269 (40 %) ja 2332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N=113437. Uusimmat 10.8.2021 lisäykset 781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10.8.2021 n=781. Yhteensä N=113437. Melko pysyvät 7 päivää 31.7-6.8 yhteensä 4871 (muutos 11 %), aiemmat 7 päivää 4391 (61 %) ja 2725 https://github.com/jussivirkkala/excel/tree/master/hs-koronavirus-avoindata</v>
      </c>
    </row>
    <row r="80" spans="2:2" ht="18">
      <c r="B80" s="23" t="str">
        <f>" COVID-19 tapauksia 7 päivän välein "&amp;TEXT(Lisäys!B73,"p.k.vvvv")&amp;" saakka (- uusin ... vanhin)."</f>
        <v xml:space="preserve"> COVID-19 tapauksia 7 päivän välein 6.8.2021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106680</xdr:colOff>
                    <xdr:row>1</xdr:row>
                    <xdr:rowOff>76200</xdr:rowOff>
                  </from>
                  <to>
                    <xdr:col>2</xdr:col>
                    <xdr:colOff>449580</xdr:colOff>
                    <xdr:row>3</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2021-08-10T18:20:26Z</dcterms:modified>
</cp:coreProperties>
</file>