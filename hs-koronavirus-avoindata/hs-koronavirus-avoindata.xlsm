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D6B6CC2E-E3B3-4234-9282-521CB5233E31}"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11" i="1"/>
  <c r="G309" i="1"/>
  <c r="G310" i="1"/>
  <c r="G308" i="1"/>
  <c r="CG67" i="2" l="1"/>
  <c r="CD67" i="2"/>
  <c r="CA67" i="2"/>
  <c r="BX67" i="2"/>
  <c r="BU67" i="2"/>
  <c r="BR67" i="2"/>
  <c r="BO67" i="2"/>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<sst xmlns="http://schemas.openxmlformats.org/spreadsheetml/2006/main" count="673" uniqueCount="352">
  <si>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</si>
  <si>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</si>
  <si>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</si>
  <si>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</si>
  <si>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</si>
  <si>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</si>
  <si>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</si>
  <si>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</si>
  <si>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</si>
  <si>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</si>
  <si>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</si>
  <si>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</si>
  <si>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</si>
  <si>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</si>
  <si>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</si>
  <si>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</si>
  <si>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</si>
  <si>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</si>
  <si>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</si>
  <si>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</si>
  <si>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</si>
  <si>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</si>
  <si>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</si>
  <si>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</si>
  <si>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</si>
  <si>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</si>
  <si>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</si>
  <si>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</si>
  <si>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</si>
  <si>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</si>
  <si>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</si>
  <si>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</si>
  <si>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</si>
  <si>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</si>
  <si>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</si>
  <si>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</si>
  <si>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</si>
  <si>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</si>
  <si>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</si>
  <si>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</si>
  <si>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</si>
  <si>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</si>
  <si>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</si>
  <si>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</si>
  <si>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</si>
  <si>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</si>
  <si>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</si>
  <si>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</si>
  <si>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</si>
  <si>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</si>
  <si>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</si>
  <si>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</si>
  <si>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</si>
  <si>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</si>
  <si>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</si>
  <si>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</si>
  <si>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</si>
  <si>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</si>
  <si>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</si>
  <si>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</si>
  <si>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</si>
  <si>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</si>
  <si>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</si>
  <si>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</si>
  <si>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</si>
  <si>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</si>
  <si>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</si>
  <si>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</si>
  <si>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</si>
  <si>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</si>
  <si>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</si>
  <si>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</si>
  <si>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</si>
  <si>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</si>
  <si>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</si>
  <si>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</si>
  <si>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</si>
  <si>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</si>
  <si>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</si>
  <si>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</si>
  <si>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</si>
  <si>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</si>
  <si>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</si>
  <si>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</si>
  <si>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</si>
  <si>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</si>
  <si>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</si>
  <si>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</si>
  <si>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</si>
  <si>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</si>
  <si>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</si>
  <si>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</si>
  <si>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</si>
  <si>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</si>
  <si>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</si>
  <si>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</si>
  <si>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</si>
  <si>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</si>
  <si>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</si>
  <si>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</si>
  <si>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</si>
  <si>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</si>
  <si>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</si>
  <si>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</si>
  <si>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</si>
  <si>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</si>
  <si>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</si>
  <si>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</si>
  <si>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</si>
  <si>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</si>
  <si>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</si>
  <si>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</si>
  <si>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</si>
  <si>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</si>
  <si>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</si>
  <si>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</si>
  <si>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</si>
  <si>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</si>
  <si>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</si>
  <si>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</si>
  <si>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</si>
  <si>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</si>
  <si>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</si>
  <si>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</si>
  <si>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</si>
  <si>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</si>
  <si>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</si>
  <si>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</si>
  <si>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</si>
  <si>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</si>
  <si>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</si>
  <si>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</si>
  <si>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</si>
  <si>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</si>
  <si>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</si>
  <si>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</si>
  <si>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</si>
  <si>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</si>
  <si>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</si>
  <si>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</si>
  <si>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</si>
  <si>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</si>
  <si>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</si>
  <si>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</si>
  <si>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</si>
  <si>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</si>
  <si>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</si>
  <si>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</si>
  <si>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</si>
  <si>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</si>
  <si>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</si>
  <si>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</si>
  <si>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</si>
  <si>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</si>
  <si>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</si>
  <si>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</si>
  <si>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</si>
  <si>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</si>
  <si>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</si>
  <si>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</si>
  <si>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</si>
  <si>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</si>
  <si>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</si>
  <si>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</si>
  <si>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</si>
  <si>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</si>
  <si>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</si>
  <si>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</si>
  <si>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</si>
  <si>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</si>
  <si>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</si>
  <si>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</si>
  <si>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</si>
  <si>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</si>
  <si>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</si>
  <si>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</si>
  <si>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</si>
  <si>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</si>
  <si>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</si>
  <si>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</si>
  <si>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</si>
  <si>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</si>
  <si>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</si>
  <si>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</si>
  <si>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</si>
  <si>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</si>
  <si>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</si>
  <si>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</si>
  <si>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</si>
  <si>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</si>
  <si>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</si>
  <si>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</si>
  <si>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</si>
  <si>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</si>
  <si>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</si>
  <si>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</si>
  <si>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</si>
  <si>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</si>
  <si>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</si>
  <si>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</si>
  <si>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</si>
  <si>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</si>
  <si>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</si>
  <si>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</si>
  <si>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</si>
  <si>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</si>
  <si>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</si>
  <si>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</si>
  <si>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</si>
  <si>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</si>
  <si>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</si>
  <si>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</si>
  <si>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</si>
  <si>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</si>
  <si>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</si>
  <si>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</si>
  <si>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</si>
  <si>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</si>
  <si>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</si>
  <si>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</si>
  <si>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</si>
  <si>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</si>
  <si>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</si>
  <si>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</si>
  <si>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</si>
  <si>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</si>
  <si>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</si>
  <si>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</si>
  <si>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</si>
  <si>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</si>
  <si>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</si>
  <si>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</si>
  <si>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</si>
  <si>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</si>
  <si>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</si>
  <si>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</si>
  <si>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</si>
  <si>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</si>
  <si>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</si>
  <si>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</si>
  <si>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</si>
  <si>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</si>
  <si>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</si>
  <si>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</si>
  <si>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</si>
  <si>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</si>
  <si>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</si>
  <si>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</si>
  <si>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</si>
  <si>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</si>
  <si>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</si>
  <si>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</si>
  <si>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</si>
  <si>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</si>
  <si>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</si>
  <si>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</si>
  <si>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</si>
  <si>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</si>
  <si>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</si>
  <si>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</si>
  <si>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</si>
  <si>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</si>
  <si>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</si>
  <si>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</si>
  <si>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</si>
  <si>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</si>
  <si>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</si>
  <si>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</si>
  <si>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</si>
  <si>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</si>
  <si>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</si>
  <si>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</si>
  <si>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</si>
  <si>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</si>
  <si>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</si>
  <si>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</si>
  <si>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</si>
  <si>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</si>
  <si>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</si>
  <si>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</si>
  <si>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</si>
  <si>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</si>
  <si>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</si>
  <si>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</si>
  <si>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</si>
  <si>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</si>
  <si>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</si>
  <si>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</si>
  <si>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</si>
  <si>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</si>
  <si>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</si>
  <si>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</si>
  <si>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</si>
  <si>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</si>
  <si>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</si>
  <si>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</si>
  <si>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</si>
  <si>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</si>
  <si>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</si>
  <si>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</si>
  <si>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</si>
  <si>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</si>
  <si>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</si>
  <si>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</si>
  <si>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</si>
  <si>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</si>
  <si>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</si>
  <si>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</si>
  <si>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</si>
  <si>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</si>
  <si>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</si>
  <si>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</si>
  <si>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</si>
  <si>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</si>
  <si>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</si>
  <si>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</si>
  <si>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</si>
  <si>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</si>
  <si>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</si>
  <si>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</si>
  <si>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</si>
  <si>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</si>
  <si>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</si>
  <si>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</si>
  <si>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</si>
  <si>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</si>
  <si>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</si>
  <si>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</si>
  <si>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</si>
  <si>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</si>
  <si>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</si>
  <si>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</si>
  <si>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</si>
  <si>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</si>
  <si>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</si>
  <si>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</si>
  <si>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</si>
  <si>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</si>
  <si>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</si>
  <si>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</si>
  <si>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</si>
  <si>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</si>
  <si>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</si>
  <si>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</si>
  <si>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</si>
  <si>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</si>
  <si>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</si>
  <si>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</si>
  <si>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</si>
  <si>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</si>
  <si>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</si>
  <si>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2020-11-16T09:38:39.254Z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</si>
</sst>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12.11 saakka. Suurin arvo 306, joka 7.10. Uusimpien 4 päivien arvot tulevat viiveellä, joten ne jätetty pois 16.11.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135</c:v>
                </c:pt>
                <c:pt idx="273">
                  <c:v>165</c:v>
                </c:pt>
                <c:pt idx="274">
                  <c:v>188</c:v>
                </c:pt>
                <c:pt idx="275">
                  <c:v>190</c:v>
                </c:pt>
                <c:pt idx="276">
                  <c:v>170</c:v>
                </c:pt>
                <c:pt idx="277">
                  <c:v>147</c:v>
                </c:pt>
                <c:pt idx="278">
                  <c:v>290</c:v>
                </c:pt>
                <c:pt idx="279">
                  <c:v>303</c:v>
                </c:pt>
                <c:pt idx="280">
                  <c:v>306</c:v>
                </c:pt>
                <c:pt idx="281">
                  <c:v>260</c:v>
                </c:pt>
                <c:pt idx="282">
                  <c:v>226</c:v>
                </c:pt>
                <c:pt idx="283">
                  <c:v>109</c:v>
                </c:pt>
                <c:pt idx="284">
                  <c:v>130</c:v>
                </c:pt>
                <c:pt idx="285">
                  <c:v>254</c:v>
                </c:pt>
                <c:pt idx="286">
                  <c:v>197</c:v>
                </c:pt>
                <c:pt idx="287">
                  <c:v>201</c:v>
                </c:pt>
                <c:pt idx="288">
                  <c:v>191</c:v>
                </c:pt>
                <c:pt idx="289">
                  <c:v>192</c:v>
                </c:pt>
                <c:pt idx="290">
                  <c:v>100</c:v>
                </c:pt>
                <c:pt idx="291">
                  <c:v>128</c:v>
                </c:pt>
                <c:pt idx="292">
                  <c:v>244</c:v>
                </c:pt>
                <c:pt idx="293">
                  <c:v>163</c:v>
                </c:pt>
                <c:pt idx="294">
                  <c:v>190</c:v>
                </c:pt>
                <c:pt idx="295">
                  <c:v>218</c:v>
                </c:pt>
                <c:pt idx="296">
                  <c:v>192</c:v>
                </c:pt>
                <c:pt idx="297">
                  <c:v>108</c:v>
                </c:pt>
                <c:pt idx="298">
                  <c:v>123</c:v>
                </c:pt>
                <c:pt idx="299">
                  <c:v>256</c:v>
                </c:pt>
                <c:pt idx="300">
                  <c:v>230</c:v>
                </c:pt>
                <c:pt idx="301">
                  <c:v>240</c:v>
                </c:pt>
                <c:pt idx="302">
                  <c:v>237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3106</c:v>
                </c:pt>
                <c:pt idx="1">
                  <c:v>2914</c:v>
                </c:pt>
                <c:pt idx="2">
                  <c:v>2928</c:v>
                </c:pt>
                <c:pt idx="3">
                  <c:v>2891</c:v>
                </c:pt>
                <c:pt idx="4">
                  <c:v>2444</c:v>
                </c:pt>
                <c:pt idx="5">
                  <c:v>1554</c:v>
                </c:pt>
                <c:pt idx="6">
                  <c:v>1767</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44123</c:v>
                </c:pt>
                <c:pt idx="1">
                  <c:v>44124</c:v>
                </c:pt>
                <c:pt idx="2">
                  <c:v>44125</c:v>
                </c:pt>
                <c:pt idx="3">
                  <c:v>44126</c:v>
                </c:pt>
                <c:pt idx="4">
                  <c:v>44127</c:v>
                </c:pt>
                <c:pt idx="5">
                  <c:v>44128</c:v>
                </c:pt>
                <c:pt idx="6">
                  <c:v>44129</c:v>
                </c:pt>
                <c:pt idx="7">
                  <c:v>44130</c:v>
                </c:pt>
                <c:pt idx="8">
                  <c:v>44131</c:v>
                </c:pt>
                <c:pt idx="9">
                  <c:v>44132</c:v>
                </c:pt>
                <c:pt idx="10">
                  <c:v>44133</c:v>
                </c:pt>
                <c:pt idx="11">
                  <c:v>44134</c:v>
                </c:pt>
                <c:pt idx="12">
                  <c:v>44135</c:v>
                </c:pt>
                <c:pt idx="13">
                  <c:v>44136</c:v>
                </c:pt>
                <c:pt idx="14">
                  <c:v>44137</c:v>
                </c:pt>
                <c:pt idx="15">
                  <c:v>44138</c:v>
                </c:pt>
                <c:pt idx="16">
                  <c:v>44139</c:v>
                </c:pt>
                <c:pt idx="17">
                  <c:v>44140</c:v>
                </c:pt>
                <c:pt idx="18">
                  <c:v>44141</c:v>
                </c:pt>
                <c:pt idx="19">
                  <c:v>44142</c:v>
                </c:pt>
                <c:pt idx="20">
                  <c:v>44143</c:v>
                </c:pt>
                <c:pt idx="21">
                  <c:v>44144</c:v>
                </c:pt>
                <c:pt idx="22">
                  <c:v>44145</c:v>
                </c:pt>
                <c:pt idx="23">
                  <c:v>44146</c:v>
                </c:pt>
                <c:pt idx="24">
                  <c:v>44147</c:v>
                </c:pt>
                <c:pt idx="25">
                  <c:v>44148</c:v>
                </c:pt>
                <c:pt idx="26">
                  <c:v>44149</c:v>
                </c:pt>
                <c:pt idx="27">
                  <c:v>44150</c:v>
                </c:pt>
              </c:numCache>
            </c:numRef>
          </c:cat>
          <c:val>
            <c:numRef>
              <c:f>Kuvaajat!$D$37:$D$64</c:f>
              <c:numCache>
                <c:formatCode>General</c:formatCode>
                <c:ptCount val="28"/>
                <c:pt idx="0">
                  <c:v>244</c:v>
                </c:pt>
                <c:pt idx="1">
                  <c:v>163</c:v>
                </c:pt>
                <c:pt idx="2">
                  <c:v>190</c:v>
                </c:pt>
                <c:pt idx="3">
                  <c:v>218</c:v>
                </c:pt>
                <c:pt idx="4">
                  <c:v>192</c:v>
                </c:pt>
                <c:pt idx="5">
                  <c:v>108</c:v>
                </c:pt>
                <c:pt idx="6">
                  <c:v>123</c:v>
                </c:pt>
                <c:pt idx="7">
                  <c:v>256</c:v>
                </c:pt>
                <c:pt idx="8">
                  <c:v>230</c:v>
                </c:pt>
                <c:pt idx="9">
                  <c:v>240</c:v>
                </c:pt>
                <c:pt idx="10">
                  <c:v>237</c:v>
                </c:pt>
                <c:pt idx="11">
                  <c:v>219</c:v>
                </c:pt>
                <c:pt idx="12">
                  <c:v>121</c:v>
                </c:pt>
                <c:pt idx="13">
                  <c:v>150</c:v>
                </c:pt>
                <c:pt idx="14">
                  <c:v>281</c:v>
                </c:pt>
                <c:pt idx="15">
                  <c:v>241</c:v>
                </c:pt>
                <c:pt idx="16">
                  <c:v>209</c:v>
                </c:pt>
                <c:pt idx="17">
                  <c:v>219</c:v>
                </c:pt>
                <c:pt idx="18">
                  <c:v>194</c:v>
                </c:pt>
                <c:pt idx="19">
                  <c:v>128</c:v>
                </c:pt>
                <c:pt idx="20">
                  <c:v>134</c:v>
                </c:pt>
                <c:pt idx="21">
                  <c:v>279</c:v>
                </c:pt>
                <c:pt idx="22">
                  <c:v>208</c:v>
                </c:pt>
                <c:pt idx="23">
                  <c:v>280</c:v>
                </c:pt>
                <c:pt idx="24">
                  <c:v>230</c:v>
                </c:pt>
                <c:pt idx="25">
                  <c:v>207</c:v>
                </c:pt>
                <c:pt idx="26">
                  <c:v>99</c:v>
                </c:pt>
                <c:pt idx="27">
                  <c:v>56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N=19419. Uusimmat 16.11 lisäykset punaisella n=104.</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44123</c:v>
                </c:pt>
                <c:pt idx="1">
                  <c:v>44124</c:v>
                </c:pt>
                <c:pt idx="2">
                  <c:v>44125</c:v>
                </c:pt>
                <c:pt idx="3">
                  <c:v>44126</c:v>
                </c:pt>
                <c:pt idx="4">
                  <c:v>44127</c:v>
                </c:pt>
                <c:pt idx="5">
                  <c:v>44128</c:v>
                </c:pt>
                <c:pt idx="6">
                  <c:v>44129</c:v>
                </c:pt>
                <c:pt idx="7">
                  <c:v>44130</c:v>
                </c:pt>
                <c:pt idx="8">
                  <c:v>44131</c:v>
                </c:pt>
                <c:pt idx="9">
                  <c:v>44132</c:v>
                </c:pt>
                <c:pt idx="10">
                  <c:v>44133</c:v>
                </c:pt>
                <c:pt idx="11">
                  <c:v>44134</c:v>
                </c:pt>
                <c:pt idx="12">
                  <c:v>44135</c:v>
                </c:pt>
                <c:pt idx="13">
                  <c:v>44136</c:v>
                </c:pt>
                <c:pt idx="14">
                  <c:v>44137</c:v>
                </c:pt>
                <c:pt idx="15">
                  <c:v>44138</c:v>
                </c:pt>
                <c:pt idx="16">
                  <c:v>44139</c:v>
                </c:pt>
                <c:pt idx="17">
                  <c:v>44140</c:v>
                </c:pt>
                <c:pt idx="18">
                  <c:v>44141</c:v>
                </c:pt>
                <c:pt idx="19">
                  <c:v>44142</c:v>
                </c:pt>
                <c:pt idx="20">
                  <c:v>44143</c:v>
                </c:pt>
                <c:pt idx="21">
                  <c:v>44144</c:v>
                </c:pt>
                <c:pt idx="22">
                  <c:v>44145</c:v>
                </c:pt>
                <c:pt idx="23">
                  <c:v>44146</c:v>
                </c:pt>
                <c:pt idx="24">
                  <c:v>44147</c:v>
                </c:pt>
                <c:pt idx="25">
                  <c:v>44148</c:v>
                </c:pt>
                <c:pt idx="26">
                  <c:v>44149</c:v>
                </c:pt>
                <c:pt idx="27">
                  <c:v>44150</c:v>
                </c:pt>
              </c:numCache>
            </c:numRef>
          </c:cat>
          <c:val>
            <c:numRef>
              <c:f>Kuvaajat!$D$37:$D$64</c:f>
              <c:numCache>
                <c:formatCode>General</c:formatCode>
                <c:ptCount val="28"/>
                <c:pt idx="0">
                  <c:v>244</c:v>
                </c:pt>
                <c:pt idx="1">
                  <c:v>163</c:v>
                </c:pt>
                <c:pt idx="2">
                  <c:v>190</c:v>
                </c:pt>
                <c:pt idx="3">
                  <c:v>218</c:v>
                </c:pt>
                <c:pt idx="4">
                  <c:v>192</c:v>
                </c:pt>
                <c:pt idx="5">
                  <c:v>108</c:v>
                </c:pt>
                <c:pt idx="6">
                  <c:v>123</c:v>
                </c:pt>
                <c:pt idx="7">
                  <c:v>256</c:v>
                </c:pt>
                <c:pt idx="8">
                  <c:v>230</c:v>
                </c:pt>
                <c:pt idx="9">
                  <c:v>240</c:v>
                </c:pt>
                <c:pt idx="10">
                  <c:v>237</c:v>
                </c:pt>
                <c:pt idx="11">
                  <c:v>219</c:v>
                </c:pt>
                <c:pt idx="12">
                  <c:v>121</c:v>
                </c:pt>
                <c:pt idx="13">
                  <c:v>150</c:v>
                </c:pt>
                <c:pt idx="14">
                  <c:v>281</c:v>
                </c:pt>
                <c:pt idx="15">
                  <c:v>241</c:v>
                </c:pt>
                <c:pt idx="16">
                  <c:v>209</c:v>
                </c:pt>
                <c:pt idx="17">
                  <c:v>219</c:v>
                </c:pt>
                <c:pt idx="18">
                  <c:v>194</c:v>
                </c:pt>
                <c:pt idx="19">
                  <c:v>128</c:v>
                </c:pt>
                <c:pt idx="20">
                  <c:v>134</c:v>
                </c:pt>
                <c:pt idx="21">
                  <c:v>279</c:v>
                </c:pt>
                <c:pt idx="22">
                  <c:v>208</c:v>
                </c:pt>
                <c:pt idx="23">
                  <c:v>280</c:v>
                </c:pt>
                <c:pt idx="24">
                  <c:v>230</c:v>
                </c:pt>
                <c:pt idx="25">
                  <c:v>207</c:v>
                </c:pt>
                <c:pt idx="26">
                  <c:v>99</c:v>
                </c:pt>
                <c:pt idx="27">
                  <c:v>56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44123</c:v>
                </c:pt>
                <c:pt idx="1">
                  <c:v>44124</c:v>
                </c:pt>
                <c:pt idx="2">
                  <c:v>44125</c:v>
                </c:pt>
                <c:pt idx="3">
                  <c:v>44126</c:v>
                </c:pt>
                <c:pt idx="4">
                  <c:v>44127</c:v>
                </c:pt>
                <c:pt idx="5">
                  <c:v>44128</c:v>
                </c:pt>
                <c:pt idx="6">
                  <c:v>44129</c:v>
                </c:pt>
                <c:pt idx="7">
                  <c:v>44130</c:v>
                </c:pt>
                <c:pt idx="8">
                  <c:v>44131</c:v>
                </c:pt>
                <c:pt idx="9">
                  <c:v>44132</c:v>
                </c:pt>
                <c:pt idx="10">
                  <c:v>44133</c:v>
                </c:pt>
                <c:pt idx="11">
                  <c:v>44134</c:v>
                </c:pt>
                <c:pt idx="12">
                  <c:v>44135</c:v>
                </c:pt>
                <c:pt idx="13">
                  <c:v>44136</c:v>
                </c:pt>
                <c:pt idx="14">
                  <c:v>44137</c:v>
                </c:pt>
                <c:pt idx="15">
                  <c:v>44138</c:v>
                </c:pt>
                <c:pt idx="16">
                  <c:v>44139</c:v>
                </c:pt>
                <c:pt idx="17">
                  <c:v>44140</c:v>
                </c:pt>
                <c:pt idx="18">
                  <c:v>44141</c:v>
                </c:pt>
                <c:pt idx="19">
                  <c:v>44142</c:v>
                </c:pt>
                <c:pt idx="20">
                  <c:v>44143</c:v>
                </c:pt>
                <c:pt idx="21">
                  <c:v>44144</c:v>
                </c:pt>
                <c:pt idx="22">
                  <c:v>44145</c:v>
                </c:pt>
                <c:pt idx="23">
                  <c:v>44146</c:v>
                </c:pt>
                <c:pt idx="24">
                  <c:v>44147</c:v>
                </c:pt>
                <c:pt idx="25">
                  <c:v>44148</c:v>
                </c:pt>
                <c:pt idx="26">
                  <c:v>44149</c:v>
                </c:pt>
                <c:pt idx="27">
                  <c:v>44150</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-1</c:v>
                </c:pt>
                <c:pt idx="20">
                  <c:v>0</c:v>
                </c:pt>
                <c:pt idx="21">
                  <c:v>1</c:v>
                </c:pt>
                <c:pt idx="22">
                  <c:v>0</c:v>
                </c:pt>
                <c:pt idx="23">
                  <c:v>1</c:v>
                </c:pt>
                <c:pt idx="24">
                  <c:v>4</c:v>
                </c:pt>
                <c:pt idx="25">
                  <c:v>6</c:v>
                </c:pt>
                <c:pt idx="26">
                  <c:v>36</c:v>
                </c:pt>
                <c:pt idx="27">
                  <c:v>56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22"/>
  <sheetViews>
    <sheetView workbookViewId="0">
      <pane ySplit="1" topLeftCell="A2" activePane="bottomLeft" state="frozen"/>
      <selection pane="bottomLeft" activeCell="J3" sqref="J3"/>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19419</v>
      </c>
      <c r="I1" s="8">
        <v>44151.486504629633</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12.11 saakka. Suurin arvo 306, joka 7.10. Uusimpien 4 päivien arvot tulevat viiveellä, joten ne jätetty pois 16.11.</v>
      </c>
      <c r="M1" s="7">
        <f>COUNTA(Id)-2-5</f>
        <v>315</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3106</v>
      </c>
    </row>
    <row r="31" spans="1:11">
      <c r="A31">
        <v>0</v>
      </c>
      <c r="B31" t="s">
        <v>263</v>
      </c>
      <c r="C31" t="s">
        <v>8</v>
      </c>
      <c r="E31" s="3">
        <f t="shared" si="0"/>
        <v>4</v>
      </c>
      <c r="F31" s="5">
        <v>43860.625</v>
      </c>
      <c r="I31">
        <v>2</v>
      </c>
      <c r="J31" t="s">
        <v>303</v>
      </c>
      <c r="K31">
        <f t="shared" si="1"/>
        <v>2914</v>
      </c>
    </row>
    <row r="32" spans="1:11">
      <c r="A32">
        <v>0</v>
      </c>
      <c r="B32" t="s">
        <v>264</v>
      </c>
      <c r="C32" t="s">
        <v>8</v>
      </c>
      <c r="E32" s="3">
        <f t="shared" si="0"/>
        <v>5</v>
      </c>
      <c r="F32" s="5">
        <v>43861.625</v>
      </c>
      <c r="I32">
        <v>3</v>
      </c>
      <c r="J32" t="s">
        <v>304</v>
      </c>
      <c r="K32">
        <f t="shared" si="1"/>
        <v>2928</v>
      </c>
    </row>
    <row r="33" spans="1:11">
      <c r="A33">
        <v>0</v>
      </c>
      <c r="B33" t="s">
        <v>265</v>
      </c>
      <c r="C33" t="s">
        <v>8</v>
      </c>
      <c r="E33" s="3">
        <f t="shared" si="0"/>
        <v>6</v>
      </c>
      <c r="F33" s="5">
        <v>43862.625</v>
      </c>
      <c r="I33">
        <v>4</v>
      </c>
      <c r="J33" t="s">
        <v>305</v>
      </c>
      <c r="K33">
        <f t="shared" si="1"/>
        <v>2891</v>
      </c>
    </row>
    <row r="34" spans="1:11">
      <c r="A34">
        <v>0</v>
      </c>
      <c r="B34" t="s">
        <v>266</v>
      </c>
      <c r="C34" t="s">
        <v>8</v>
      </c>
      <c r="E34" s="3">
        <f t="shared" si="0"/>
        <v>7</v>
      </c>
      <c r="F34" s="5">
        <v>43863.625</v>
      </c>
      <c r="I34">
        <v>5</v>
      </c>
      <c r="J34" t="s">
        <v>306</v>
      </c>
      <c r="K34">
        <f t="shared" si="1"/>
        <v>2444</v>
      </c>
    </row>
    <row r="35" spans="1:11">
      <c r="A35">
        <v>0</v>
      </c>
      <c r="B35" t="s">
        <v>267</v>
      </c>
      <c r="C35" t="s">
        <v>8</v>
      </c>
      <c r="E35" s="3">
        <f t="shared" si="0"/>
        <v>1</v>
      </c>
      <c r="F35" s="5">
        <v>43864.625</v>
      </c>
      <c r="I35">
        <v>6</v>
      </c>
      <c r="J35" t="s">
        <v>307</v>
      </c>
      <c r="K35">
        <f t="shared" si="1"/>
        <v>1554</v>
      </c>
    </row>
    <row r="36" spans="1:11">
      <c r="A36">
        <v>0</v>
      </c>
      <c r="B36" t="s">
        <v>268</v>
      </c>
      <c r="C36" t="s">
        <v>8</v>
      </c>
      <c r="E36" s="3">
        <f t="shared" si="0"/>
        <v>2</v>
      </c>
      <c r="F36" s="5">
        <v>43865.625</v>
      </c>
      <c r="I36">
        <v>7</v>
      </c>
      <c r="J36" t="s">
        <v>308</v>
      </c>
      <c r="K36">
        <f t="shared" si="1"/>
        <v>1767</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7">
      <c r="A241">
        <v>32</v>
      </c>
      <c r="B241" t="s">
        <v>194</v>
      </c>
      <c r="C241" t="s">
        <v>8</v>
      </c>
      <c r="E241" s="3">
        <f t="shared" si="4"/>
        <v>4</v>
      </c>
      <c r="F241" s="5">
        <v>44070.625</v>
      </c>
    </row>
    <row r="242" spans="1:7">
      <c r="A242">
        <v>33</v>
      </c>
      <c r="B242" t="s">
        <v>195</v>
      </c>
      <c r="C242" t="s">
        <v>8</v>
      </c>
      <c r="E242" s="3">
        <f t="shared" si="4"/>
        <v>5</v>
      </c>
      <c r="F242" s="5">
        <v>44071.625</v>
      </c>
    </row>
    <row r="243" spans="1:7">
      <c r="A243">
        <v>19</v>
      </c>
      <c r="B243" t="s">
        <v>196</v>
      </c>
      <c r="C243" t="s">
        <v>8</v>
      </c>
      <c r="E243" s="3">
        <f t="shared" si="4"/>
        <v>6</v>
      </c>
      <c r="F243" s="5">
        <v>44072.625</v>
      </c>
    </row>
    <row r="244" spans="1:7">
      <c r="A244">
        <v>18</v>
      </c>
      <c r="B244" t="s">
        <v>197</v>
      </c>
      <c r="C244" t="s">
        <v>8</v>
      </c>
      <c r="E244" s="3">
        <f t="shared" si="4"/>
        <v>7</v>
      </c>
      <c r="F244" s="5">
        <v>44073.625</v>
      </c>
    </row>
    <row r="245" spans="1:7">
      <c r="A245">
        <v>48</v>
      </c>
      <c r="B245" t="s">
        <v>198</v>
      </c>
      <c r="C245" t="s">
        <v>8</v>
      </c>
      <c r="E245" s="3">
        <f t="shared" si="4"/>
        <v>1</v>
      </c>
      <c r="F245" s="5">
        <v>44074.625</v>
      </c>
    </row>
    <row r="246" spans="1:7">
      <c r="A246">
        <v>29</v>
      </c>
      <c r="B246" t="s">
        <v>199</v>
      </c>
      <c r="C246" t="s">
        <v>8</v>
      </c>
      <c r="E246" s="3">
        <f t="shared" si="4"/>
        <v>2</v>
      </c>
      <c r="F246" s="5">
        <v>44075.625</v>
      </c>
    </row>
    <row r="247" spans="1:7">
      <c r="A247">
        <v>26</v>
      </c>
      <c r="B247" t="s">
        <v>200</v>
      </c>
      <c r="C247" t="s">
        <v>8</v>
      </c>
      <c r="E247" s="3">
        <f t="shared" si="4"/>
        <v>3</v>
      </c>
      <c r="F247" s="5">
        <v>44076.625</v>
      </c>
    </row>
    <row r="248" spans="1:7">
      <c r="A248">
        <v>35</v>
      </c>
      <c r="B248" t="s">
        <v>201</v>
      </c>
      <c r="C248" t="s">
        <v>8</v>
      </c>
      <c r="E248" s="3">
        <f t="shared" si="4"/>
        <v>4</v>
      </c>
      <c r="F248" s="5">
        <v>44077.625</v>
      </c>
      <c r="G248" t="str">
        <f>IF(WEEKDAY(F248,2)=1,"Maanantai","")</f>
        <v/>
      </c>
    </row>
    <row r="249" spans="1:7">
      <c r="A249">
        <v>42</v>
      </c>
      <c r="B249" t="s">
        <v>202</v>
      </c>
      <c r="C249" t="s">
        <v>8</v>
      </c>
      <c r="E249" s="3">
        <f t="shared" si="4"/>
        <v>5</v>
      </c>
      <c r="F249" s="5">
        <v>44078.625</v>
      </c>
      <c r="G249" t="str">
        <f t="shared" ref="G249:G251" si="5">IF(WEEKDAY(F249,2)=1,"Maanantai","")</f>
        <v/>
      </c>
    </row>
    <row r="250" spans="1:7">
      <c r="A250">
        <v>22</v>
      </c>
      <c r="B250" t="s">
        <v>203</v>
      </c>
      <c r="C250" t="s">
        <v>8</v>
      </c>
      <c r="E250" s="3">
        <f t="shared" si="4"/>
        <v>6</v>
      </c>
      <c r="F250" s="5">
        <v>44079.625</v>
      </c>
      <c r="G250" t="str">
        <f t="shared" si="5"/>
        <v/>
      </c>
    </row>
    <row r="251" spans="1:7">
      <c r="A251">
        <v>33</v>
      </c>
      <c r="B251" t="s">
        <v>204</v>
      </c>
      <c r="C251" t="s">
        <v>8</v>
      </c>
      <c r="E251" s="3">
        <f t="shared" si="4"/>
        <v>7</v>
      </c>
      <c r="F251" s="5">
        <v>44080.625</v>
      </c>
      <c r="G251" t="str">
        <f t="shared" si="5"/>
        <v/>
      </c>
    </row>
    <row r="252" spans="1:7">
      <c r="A252">
        <v>45</v>
      </c>
      <c r="B252" t="s">
        <v>205</v>
      </c>
      <c r="C252" t="s">
        <v>8</v>
      </c>
      <c r="E252" s="3">
        <f t="shared" si="4"/>
        <v>1</v>
      </c>
      <c r="F252" s="5">
        <v>44081.625</v>
      </c>
      <c r="G252" t="str">
        <f>IF(WEEKDAY(F252,2)=1,"Maanantai","")</f>
        <v>Maanantai</v>
      </c>
    </row>
    <row r="253" spans="1:7">
      <c r="A253">
        <v>57</v>
      </c>
      <c r="B253" t="s">
        <v>206</v>
      </c>
      <c r="C253" t="s">
        <v>8</v>
      </c>
      <c r="E253" s="3">
        <f t="shared" si="4"/>
        <v>2</v>
      </c>
      <c r="F253" s="5">
        <v>44082.625</v>
      </c>
      <c r="G253" t="str">
        <f t="shared" ref="G253:G307" si="6">IF(WEEKDAY(F253,2)=1,"Maanantai","")</f>
        <v/>
      </c>
    </row>
    <row r="254" spans="1:7">
      <c r="A254">
        <v>55</v>
      </c>
      <c r="B254" t="s">
        <v>207</v>
      </c>
      <c r="C254" t="s">
        <v>8</v>
      </c>
      <c r="E254" s="3">
        <f t="shared" si="4"/>
        <v>3</v>
      </c>
      <c r="F254" s="5">
        <v>44083.625</v>
      </c>
      <c r="G254" t="str">
        <f t="shared" si="6"/>
        <v/>
      </c>
    </row>
    <row r="255" spans="1:7">
      <c r="A255">
        <v>52</v>
      </c>
      <c r="B255" t="s">
        <v>208</v>
      </c>
      <c r="C255" t="s">
        <v>8</v>
      </c>
      <c r="E255" s="3">
        <f t="shared" si="4"/>
        <v>4</v>
      </c>
      <c r="F255" s="5">
        <v>44084.625</v>
      </c>
      <c r="G255" t="str">
        <f t="shared" si="6"/>
        <v/>
      </c>
    </row>
    <row r="256" spans="1:7">
      <c r="A256">
        <v>57</v>
      </c>
      <c r="B256" t="s">
        <v>209</v>
      </c>
      <c r="C256" t="s">
        <v>8</v>
      </c>
      <c r="E256" s="3">
        <f t="shared" si="4"/>
        <v>5</v>
      </c>
      <c r="F256" s="5">
        <v>44085.625</v>
      </c>
      <c r="G256" t="str">
        <f t="shared" si="6"/>
        <v/>
      </c>
    </row>
    <row r="257" spans="1:7">
      <c r="A257">
        <v>41</v>
      </c>
      <c r="B257" t="s">
        <v>210</v>
      </c>
      <c r="C257" t="s">
        <v>8</v>
      </c>
      <c r="E257" s="3">
        <f t="shared" si="4"/>
        <v>6</v>
      </c>
      <c r="F257" s="5">
        <v>44086.625</v>
      </c>
      <c r="G257" t="str">
        <f t="shared" si="6"/>
        <v/>
      </c>
    </row>
    <row r="258" spans="1:7">
      <c r="A258">
        <v>46</v>
      </c>
      <c r="B258" t="s">
        <v>211</v>
      </c>
      <c r="C258" t="s">
        <v>8</v>
      </c>
      <c r="E258" s="3">
        <f t="shared" si="4"/>
        <v>7</v>
      </c>
      <c r="F258" s="5">
        <v>44087.625</v>
      </c>
      <c r="G258" t="str">
        <f t="shared" si="6"/>
        <v/>
      </c>
    </row>
    <row r="259" spans="1:7">
      <c r="A259">
        <v>59</v>
      </c>
      <c r="B259" t="s">
        <v>212</v>
      </c>
      <c r="C259" t="s">
        <v>8</v>
      </c>
      <c r="E259" s="3">
        <f t="shared" ref="E259:E311" si="7">WEEKDAY(F259,2)</f>
        <v>1</v>
      </c>
      <c r="F259" s="5">
        <v>44088.625</v>
      </c>
      <c r="G259" t="str">
        <f t="shared" si="6"/>
        <v>Maanantai</v>
      </c>
    </row>
    <row r="260" spans="1:7">
      <c r="A260">
        <v>53</v>
      </c>
      <c r="B260" t="s">
        <v>213</v>
      </c>
      <c r="C260" t="s">
        <v>8</v>
      </c>
      <c r="E260" s="3">
        <f t="shared" si="7"/>
        <v>2</v>
      </c>
      <c r="F260" s="5">
        <v>44089.625</v>
      </c>
      <c r="G260" t="str">
        <f t="shared" si="6"/>
        <v/>
      </c>
    </row>
    <row r="261" spans="1:7">
      <c r="A261">
        <v>57</v>
      </c>
      <c r="B261" t="s">
        <v>214</v>
      </c>
      <c r="C261" t="s">
        <v>8</v>
      </c>
      <c r="E261" s="3">
        <f t="shared" si="7"/>
        <v>3</v>
      </c>
      <c r="F261" s="5">
        <v>44090.625</v>
      </c>
      <c r="G261" t="str">
        <f t="shared" si="6"/>
        <v/>
      </c>
    </row>
    <row r="262" spans="1:7">
      <c r="A262">
        <v>85</v>
      </c>
      <c r="B262" t="s">
        <v>215</v>
      </c>
      <c r="C262" t="s">
        <v>8</v>
      </c>
      <c r="E262" s="3">
        <f t="shared" si="7"/>
        <v>4</v>
      </c>
      <c r="F262" s="5">
        <v>44091.625</v>
      </c>
      <c r="G262" t="str">
        <f t="shared" si="6"/>
        <v/>
      </c>
    </row>
    <row r="263" spans="1:7">
      <c r="A263">
        <v>77</v>
      </c>
      <c r="B263" t="s">
        <v>216</v>
      </c>
      <c r="C263" t="s">
        <v>8</v>
      </c>
      <c r="E263" s="3">
        <f t="shared" si="7"/>
        <v>5</v>
      </c>
      <c r="F263" s="5">
        <v>44092.625</v>
      </c>
      <c r="G263" t="str">
        <f t="shared" si="6"/>
        <v/>
      </c>
    </row>
    <row r="264" spans="1:7">
      <c r="A264">
        <v>61</v>
      </c>
      <c r="B264" t="s">
        <v>217</v>
      </c>
      <c r="C264" t="s">
        <v>8</v>
      </c>
      <c r="E264" s="3">
        <f t="shared" si="7"/>
        <v>6</v>
      </c>
      <c r="F264" s="5">
        <v>44093.625</v>
      </c>
      <c r="G264" t="str">
        <f t="shared" si="6"/>
        <v/>
      </c>
    </row>
    <row r="265" spans="1:7">
      <c r="A265">
        <v>74</v>
      </c>
      <c r="B265" t="s">
        <v>218</v>
      </c>
      <c r="C265" t="s">
        <v>8</v>
      </c>
      <c r="E265" s="3">
        <f t="shared" si="7"/>
        <v>7</v>
      </c>
      <c r="F265" s="5">
        <v>44094.625</v>
      </c>
      <c r="G265" t="str">
        <f t="shared" si="6"/>
        <v/>
      </c>
    </row>
    <row r="266" spans="1:7">
      <c r="A266">
        <v>120</v>
      </c>
      <c r="B266" t="s">
        <v>219</v>
      </c>
      <c r="C266" t="s">
        <v>8</v>
      </c>
      <c r="E266" s="3">
        <f t="shared" si="7"/>
        <v>1</v>
      </c>
      <c r="F266" s="5">
        <v>44095.625</v>
      </c>
      <c r="G266" t="str">
        <f t="shared" si="6"/>
        <v>Maanantai</v>
      </c>
    </row>
    <row r="267" spans="1:7">
      <c r="A267">
        <v>108</v>
      </c>
      <c r="B267" t="s">
        <v>220</v>
      </c>
      <c r="C267" t="s">
        <v>8</v>
      </c>
      <c r="E267" s="3">
        <f t="shared" si="7"/>
        <v>2</v>
      </c>
      <c r="F267" s="5">
        <v>44096.625</v>
      </c>
      <c r="G267" t="str">
        <f t="shared" si="6"/>
        <v/>
      </c>
    </row>
    <row r="268" spans="1:7">
      <c r="A268">
        <v>117</v>
      </c>
      <c r="B268" t="s">
        <v>221</v>
      </c>
      <c r="C268" t="s">
        <v>8</v>
      </c>
      <c r="E268" s="3">
        <f t="shared" si="7"/>
        <v>3</v>
      </c>
      <c r="F268" s="5">
        <v>44097.625</v>
      </c>
      <c r="G268" t="str">
        <f t="shared" si="6"/>
        <v/>
      </c>
    </row>
    <row r="269" spans="1:7">
      <c r="A269">
        <v>97</v>
      </c>
      <c r="B269" t="s">
        <v>222</v>
      </c>
      <c r="C269" t="s">
        <v>8</v>
      </c>
      <c r="E269" s="3">
        <f t="shared" si="7"/>
        <v>4</v>
      </c>
      <c r="F269" s="5">
        <v>44098.625</v>
      </c>
      <c r="G269" t="str">
        <f t="shared" si="6"/>
        <v/>
      </c>
    </row>
    <row r="270" spans="1:7">
      <c r="A270">
        <v>127</v>
      </c>
      <c r="B270" t="s">
        <v>223</v>
      </c>
      <c r="C270" t="s">
        <v>8</v>
      </c>
      <c r="E270" s="3">
        <f t="shared" si="7"/>
        <v>5</v>
      </c>
      <c r="F270" s="5">
        <v>44099.625</v>
      </c>
      <c r="G270" t="str">
        <f t="shared" si="6"/>
        <v/>
      </c>
    </row>
    <row r="271" spans="1:7">
      <c r="A271">
        <v>74</v>
      </c>
      <c r="B271" t="s">
        <v>224</v>
      </c>
      <c r="C271" t="s">
        <v>8</v>
      </c>
      <c r="E271" s="3">
        <f t="shared" si="7"/>
        <v>6</v>
      </c>
      <c r="F271" s="5">
        <v>44100.625</v>
      </c>
      <c r="G271" t="str">
        <f t="shared" si="6"/>
        <v/>
      </c>
    </row>
    <row r="272" spans="1:7">
      <c r="A272">
        <v>71</v>
      </c>
      <c r="B272" t="s">
        <v>225</v>
      </c>
      <c r="C272" t="s">
        <v>8</v>
      </c>
      <c r="E272" s="3">
        <f t="shared" si="7"/>
        <v>7</v>
      </c>
      <c r="F272" s="5">
        <v>44101.625</v>
      </c>
      <c r="G272" t="str">
        <f t="shared" si="6"/>
        <v/>
      </c>
    </row>
    <row r="273" spans="1:8">
      <c r="A273">
        <v>122</v>
      </c>
      <c r="B273" t="s">
        <v>226</v>
      </c>
      <c r="C273" t="s">
        <v>8</v>
      </c>
      <c r="E273" s="3">
        <f t="shared" si="7"/>
        <v>1</v>
      </c>
      <c r="F273" s="5">
        <v>44102.625</v>
      </c>
      <c r="G273" t="str">
        <f t="shared" si="6"/>
        <v>Maanantai</v>
      </c>
    </row>
    <row r="274" spans="1:8">
      <c r="A274">
        <v>135</v>
      </c>
      <c r="B274" t="s">
        <v>227</v>
      </c>
      <c r="C274" t="s">
        <v>8</v>
      </c>
      <c r="E274" s="3">
        <f t="shared" si="7"/>
        <v>2</v>
      </c>
      <c r="F274" s="5">
        <v>44103.625</v>
      </c>
      <c r="G274" t="str">
        <f t="shared" si="6"/>
        <v/>
      </c>
    </row>
    <row r="275" spans="1:8">
      <c r="A275">
        <v>165</v>
      </c>
      <c r="B275" t="s">
        <v>229</v>
      </c>
      <c r="C275" t="s">
        <v>8</v>
      </c>
      <c r="E275" s="3">
        <f t="shared" si="7"/>
        <v>3</v>
      </c>
      <c r="F275" s="5">
        <v>44104.625</v>
      </c>
      <c r="G275" t="str">
        <f t="shared" si="6"/>
        <v/>
      </c>
    </row>
    <row r="276" spans="1:8">
      <c r="A276">
        <v>188</v>
      </c>
      <c r="B276" t="s">
        <v>231</v>
      </c>
      <c r="C276" t="s">
        <v>8</v>
      </c>
      <c r="E276" s="3">
        <f t="shared" si="7"/>
        <v>4</v>
      </c>
      <c r="F276" s="5">
        <v>44105.625</v>
      </c>
      <c r="G276" t="str">
        <f t="shared" si="6"/>
        <v/>
      </c>
    </row>
    <row r="277" spans="1:8">
      <c r="A277">
        <v>190</v>
      </c>
      <c r="B277" t="s">
        <v>232</v>
      </c>
      <c r="C277" t="s">
        <v>8</v>
      </c>
      <c r="E277" s="3">
        <f t="shared" si="7"/>
        <v>5</v>
      </c>
      <c r="F277" s="5">
        <v>44106.625</v>
      </c>
      <c r="G277" t="str">
        <f t="shared" si="6"/>
        <v/>
      </c>
    </row>
    <row r="278" spans="1:8">
      <c r="A278">
        <v>170</v>
      </c>
      <c r="B278" t="s">
        <v>234</v>
      </c>
      <c r="C278" t="s">
        <v>8</v>
      </c>
      <c r="E278" s="3">
        <f t="shared" si="7"/>
        <v>6</v>
      </c>
      <c r="F278" s="5">
        <v>44107.625</v>
      </c>
      <c r="G278" t="str">
        <f t="shared" si="6"/>
        <v/>
      </c>
    </row>
    <row r="279" spans="1:8">
      <c r="A279">
        <v>147</v>
      </c>
      <c r="B279" t="s">
        <v>293</v>
      </c>
      <c r="C279" t="s">
        <v>8</v>
      </c>
      <c r="E279" s="3">
        <f t="shared" si="7"/>
        <v>7</v>
      </c>
      <c r="F279" s="5">
        <v>44108.625</v>
      </c>
      <c r="G279" t="str">
        <f t="shared" si="6"/>
        <v/>
      </c>
    </row>
    <row r="280" spans="1:8" s="10" customFormat="1">
      <c r="A280" s="10">
        <v>290</v>
      </c>
      <c r="B280" s="10" t="s">
        <v>294</v>
      </c>
      <c r="C280" s="10" t="s">
        <v>8</v>
      </c>
      <c r="E280" s="14">
        <f t="shared" si="7"/>
        <v>1</v>
      </c>
      <c r="F280" s="18">
        <v>44109.625</v>
      </c>
      <c r="G280" s="10" t="str">
        <f t="shared" si="6"/>
        <v>Maanantai</v>
      </c>
      <c r="H280" s="9"/>
    </row>
    <row r="281" spans="1:8">
      <c r="A281">
        <v>303</v>
      </c>
      <c r="B281" t="s">
        <v>295</v>
      </c>
      <c r="C281" t="s">
        <v>8</v>
      </c>
      <c r="E281" s="3">
        <f t="shared" si="7"/>
        <v>2</v>
      </c>
      <c r="F281" s="5">
        <v>44110.625</v>
      </c>
      <c r="G281" t="str">
        <f t="shared" si="6"/>
        <v/>
      </c>
    </row>
    <row r="282" spans="1:8">
      <c r="A282">
        <v>306</v>
      </c>
      <c r="B282" t="s">
        <v>296</v>
      </c>
      <c r="C282" t="s">
        <v>8</v>
      </c>
      <c r="E282" s="3">
        <f t="shared" si="7"/>
        <v>3</v>
      </c>
      <c r="F282" s="5">
        <v>44111.625</v>
      </c>
      <c r="G282" t="str">
        <f t="shared" si="6"/>
        <v/>
      </c>
    </row>
    <row r="283" spans="1:8">
      <c r="A283">
        <v>260</v>
      </c>
      <c r="B283" t="s">
        <v>297</v>
      </c>
      <c r="C283" t="s">
        <v>8</v>
      </c>
      <c r="E283" s="3">
        <f t="shared" si="7"/>
        <v>4</v>
      </c>
      <c r="F283" s="5">
        <v>44112.625</v>
      </c>
      <c r="G283" t="str">
        <f t="shared" si="6"/>
        <v/>
      </c>
    </row>
    <row r="284" spans="1:8">
      <c r="A284">
        <v>226</v>
      </c>
      <c r="B284" t="s">
        <v>298</v>
      </c>
      <c r="C284" t="s">
        <v>8</v>
      </c>
      <c r="E284" s="3">
        <f t="shared" si="7"/>
        <v>5</v>
      </c>
      <c r="F284" s="5">
        <v>44113.625</v>
      </c>
      <c r="G284" t="str">
        <f t="shared" si="6"/>
        <v/>
      </c>
    </row>
    <row r="285" spans="1:8">
      <c r="A285">
        <v>109</v>
      </c>
      <c r="B285" t="s">
        <v>310</v>
      </c>
      <c r="C285" t="s">
        <v>8</v>
      </c>
      <c r="E285" s="3">
        <f t="shared" si="7"/>
        <v>6</v>
      </c>
      <c r="F285" s="5">
        <v>44114.625</v>
      </c>
      <c r="G285" t="str">
        <f t="shared" si="6"/>
        <v/>
      </c>
    </row>
    <row r="286" spans="1:8">
      <c r="A286">
        <v>130</v>
      </c>
      <c r="B286" t="s">
        <v>311</v>
      </c>
      <c r="C286" t="s">
        <v>8</v>
      </c>
      <c r="E286" s="3">
        <f t="shared" si="7"/>
        <v>7</v>
      </c>
      <c r="F286" s="5">
        <v>44115.625</v>
      </c>
      <c r="G286" t="str">
        <f t="shared" si="6"/>
        <v/>
      </c>
    </row>
    <row r="287" spans="1:8" s="10" customFormat="1">
      <c r="A287" s="10">
        <v>254</v>
      </c>
      <c r="B287" s="10" t="s">
        <v>315</v>
      </c>
      <c r="C287" s="10" t="s">
        <v>8</v>
      </c>
      <c r="E287" s="14">
        <f t="shared" si="7"/>
        <v>1</v>
      </c>
      <c r="F287" s="18">
        <v>44116.625</v>
      </c>
      <c r="G287" s="10" t="str">
        <f t="shared" si="6"/>
        <v>Maanantai</v>
      </c>
      <c r="H287" s="9"/>
    </row>
    <row r="288" spans="1:8">
      <c r="A288">
        <v>197</v>
      </c>
      <c r="B288" t="s">
        <v>316</v>
      </c>
      <c r="C288" t="s">
        <v>8</v>
      </c>
      <c r="E288" s="3">
        <f t="shared" si="7"/>
        <v>2</v>
      </c>
      <c r="F288" s="5">
        <v>44117.625</v>
      </c>
      <c r="G288" t="str">
        <f t="shared" si="6"/>
        <v/>
      </c>
    </row>
    <row r="289" spans="1:8">
      <c r="A289">
        <v>201</v>
      </c>
      <c r="B289" t="s">
        <v>317</v>
      </c>
      <c r="C289" t="s">
        <v>8</v>
      </c>
      <c r="E289" s="3">
        <f t="shared" si="7"/>
        <v>3</v>
      </c>
      <c r="F289" s="5">
        <v>44118.625</v>
      </c>
      <c r="G289" t="str">
        <f t="shared" si="6"/>
        <v/>
      </c>
    </row>
    <row r="290" spans="1:8">
      <c r="A290">
        <v>191</v>
      </c>
      <c r="B290" t="s">
        <v>318</v>
      </c>
      <c r="C290" t="s">
        <v>8</v>
      </c>
      <c r="E290" s="3">
        <f t="shared" si="7"/>
        <v>4</v>
      </c>
      <c r="F290" s="5">
        <v>44119.625</v>
      </c>
      <c r="G290" t="str">
        <f t="shared" si="6"/>
        <v/>
      </c>
    </row>
    <row r="291" spans="1:8">
      <c r="A291">
        <v>192</v>
      </c>
      <c r="B291" t="s">
        <v>319</v>
      </c>
      <c r="C291" t="s">
        <v>8</v>
      </c>
      <c r="E291" s="3">
        <f t="shared" si="7"/>
        <v>5</v>
      </c>
      <c r="F291" s="5">
        <v>44120.625</v>
      </c>
      <c r="G291" t="str">
        <f t="shared" si="6"/>
        <v/>
      </c>
    </row>
    <row r="292" spans="1:8">
      <c r="A292">
        <v>100</v>
      </c>
      <c r="B292" t="s">
        <v>320</v>
      </c>
      <c r="C292" t="s">
        <v>8</v>
      </c>
      <c r="E292" s="3">
        <f t="shared" si="7"/>
        <v>6</v>
      </c>
      <c r="F292" s="5">
        <v>44121.625</v>
      </c>
      <c r="G292" t="str">
        <f t="shared" si="6"/>
        <v/>
      </c>
    </row>
    <row r="293" spans="1:8">
      <c r="A293">
        <v>128</v>
      </c>
      <c r="B293" t="s">
        <v>321</v>
      </c>
      <c r="C293" t="s">
        <v>8</v>
      </c>
      <c r="E293" s="3">
        <f t="shared" si="7"/>
        <v>7</v>
      </c>
      <c r="F293" s="5">
        <v>44122.625</v>
      </c>
      <c r="G293" t="str">
        <f t="shared" si="6"/>
        <v/>
      </c>
    </row>
    <row r="294" spans="1:8" s="10" customFormat="1">
      <c r="A294" s="10">
        <v>244</v>
      </c>
      <c r="B294" s="10" t="s">
        <v>322</v>
      </c>
      <c r="C294" s="10" t="s">
        <v>8</v>
      </c>
      <c r="E294" s="14">
        <f t="shared" si="7"/>
        <v>1</v>
      </c>
      <c r="F294" s="18">
        <v>44123.625</v>
      </c>
      <c r="G294" s="10" t="str">
        <f t="shared" si="6"/>
        <v>Maanantai</v>
      </c>
      <c r="H294" s="9"/>
    </row>
    <row r="295" spans="1:8">
      <c r="A295">
        <v>163</v>
      </c>
      <c r="B295" t="s">
        <v>323</v>
      </c>
      <c r="C295" t="s">
        <v>8</v>
      </c>
      <c r="E295" s="3">
        <f t="shared" si="7"/>
        <v>2</v>
      </c>
      <c r="F295" s="5">
        <v>44124.625</v>
      </c>
      <c r="G295" t="str">
        <f t="shared" si="6"/>
        <v/>
      </c>
    </row>
    <row r="296" spans="1:8">
      <c r="A296">
        <v>190</v>
      </c>
      <c r="B296" t="s">
        <v>324</v>
      </c>
      <c r="C296" t="s">
        <v>8</v>
      </c>
      <c r="E296" s="3">
        <f t="shared" si="7"/>
        <v>3</v>
      </c>
      <c r="F296" s="5">
        <v>44125.625</v>
      </c>
      <c r="G296" t="str">
        <f t="shared" si="6"/>
        <v/>
      </c>
    </row>
    <row r="297" spans="1:8">
      <c r="A297">
        <v>218</v>
      </c>
      <c r="B297" t="s">
        <v>325</v>
      </c>
      <c r="C297" t="s">
        <v>8</v>
      </c>
      <c r="E297" s="3">
        <f t="shared" si="7"/>
        <v>4</v>
      </c>
      <c r="F297" s="5">
        <v>44126.625</v>
      </c>
      <c r="G297" t="str">
        <f t="shared" si="6"/>
        <v/>
      </c>
    </row>
    <row r="298" spans="1:8">
      <c r="A298">
        <v>192</v>
      </c>
      <c r="B298" t="s">
        <v>326</v>
      </c>
      <c r="C298" t="s">
        <v>8</v>
      </c>
      <c r="E298" s="3">
        <f t="shared" si="7"/>
        <v>5</v>
      </c>
      <c r="F298" s="5">
        <v>44127.625</v>
      </c>
      <c r="G298" t="str">
        <f t="shared" si="6"/>
        <v/>
      </c>
    </row>
    <row r="299" spans="1:8">
      <c r="A299">
        <v>108</v>
      </c>
      <c r="B299" t="s">
        <v>327</v>
      </c>
      <c r="C299" t="s">
        <v>8</v>
      </c>
      <c r="E299" s="3">
        <f t="shared" si="7"/>
        <v>6</v>
      </c>
      <c r="F299" s="5">
        <v>44128.625</v>
      </c>
      <c r="G299" t="str">
        <f t="shared" si="6"/>
        <v/>
      </c>
    </row>
    <row r="300" spans="1:8">
      <c r="A300">
        <v>123</v>
      </c>
      <c r="B300" t="s">
        <v>328</v>
      </c>
      <c r="C300" t="s">
        <v>8</v>
      </c>
      <c r="E300" s="3">
        <f t="shared" si="7"/>
        <v>7</v>
      </c>
      <c r="F300" s="5">
        <v>44129.625</v>
      </c>
      <c r="G300" t="str">
        <f t="shared" si="6"/>
        <v/>
      </c>
    </row>
    <row r="301" spans="1:8" s="10" customFormat="1">
      <c r="A301" s="10">
        <v>256</v>
      </c>
      <c r="B301" s="10" t="s">
        <v>330</v>
      </c>
      <c r="C301" s="10" t="s">
        <v>8</v>
      </c>
      <c r="E301" s="14">
        <f t="shared" si="7"/>
        <v>1</v>
      </c>
      <c r="F301" s="18">
        <v>44130.625</v>
      </c>
      <c r="G301" s="10" t="str">
        <f t="shared" si="6"/>
        <v>Maanantai</v>
      </c>
      <c r="H301" s="9"/>
    </row>
    <row r="302" spans="1:8">
      <c r="A302">
        <v>230</v>
      </c>
      <c r="B302" t="s">
        <v>331</v>
      </c>
      <c r="C302" t="s">
        <v>8</v>
      </c>
      <c r="E302" s="3">
        <f t="shared" si="7"/>
        <v>2</v>
      </c>
      <c r="F302" s="5">
        <v>44131.625</v>
      </c>
      <c r="G302" t="str">
        <f t="shared" si="6"/>
        <v/>
      </c>
    </row>
    <row r="303" spans="1:8">
      <c r="A303">
        <v>240</v>
      </c>
      <c r="B303" t="s">
        <v>332</v>
      </c>
      <c r="C303" t="s">
        <v>8</v>
      </c>
      <c r="E303" s="3">
        <f t="shared" si="7"/>
        <v>3</v>
      </c>
      <c r="F303" s="5">
        <v>44132.625</v>
      </c>
      <c r="G303" t="str">
        <f t="shared" si="6"/>
        <v/>
      </c>
    </row>
    <row r="304" spans="1:8">
      <c r="A304">
        <v>237</v>
      </c>
      <c r="B304" t="s">
        <v>333</v>
      </c>
      <c r="C304" t="s">
        <v>8</v>
      </c>
      <c r="E304" s="3">
        <f t="shared" si="7"/>
        <v>4</v>
      </c>
      <c r="F304" s="5">
        <v>44133.625</v>
      </c>
      <c r="G304" t="str">
        <f t="shared" si="6"/>
        <v/>
      </c>
    </row>
    <row r="305" spans="1:8">
      <c r="A305">
        <v>219</v>
      </c>
      <c r="B305" t="s">
        <v>334</v>
      </c>
      <c r="C305" t="s">
        <v>8</v>
      </c>
      <c r="E305" s="3">
        <f t="shared" si="7"/>
        <v>5</v>
      </c>
      <c r="F305" s="5">
        <v>44134.625</v>
      </c>
      <c r="G305" t="str">
        <f t="shared" si="6"/>
        <v/>
      </c>
    </row>
    <row r="306" spans="1:8">
      <c r="A306">
        <v>121</v>
      </c>
      <c r="B306" t="s">
        <v>335</v>
      </c>
      <c r="C306" t="s">
        <v>8</v>
      </c>
      <c r="E306" s="3">
        <f t="shared" si="7"/>
        <v>6</v>
      </c>
      <c r="F306" s="5">
        <v>44135.625</v>
      </c>
      <c r="G306" t="str">
        <f t="shared" si="6"/>
        <v/>
      </c>
    </row>
    <row r="307" spans="1:8">
      <c r="A307">
        <v>150</v>
      </c>
      <c r="B307" t="s">
        <v>336</v>
      </c>
      <c r="C307" t="s">
        <v>8</v>
      </c>
      <c r="E307" s="3">
        <f t="shared" si="7"/>
        <v>7</v>
      </c>
      <c r="F307" s="5">
        <v>44136.625</v>
      </c>
      <c r="G307" t="str">
        <f t="shared" si="6"/>
        <v/>
      </c>
    </row>
    <row r="308" spans="1:8" s="10" customFormat="1">
      <c r="A308" s="10">
        <v>281</v>
      </c>
      <c r="B308" s="10" t="s">
        <v>337</v>
      </c>
      <c r="C308" s="10" t="s">
        <v>8</v>
      </c>
      <c r="E308" s="14">
        <f t="shared" si="7"/>
        <v>1</v>
      </c>
      <c r="F308" s="18">
        <v>44137.625</v>
      </c>
      <c r="G308" s="10" t="str">
        <f>IF(WEEKDAY(F308,2)=1,"Maanantai","")</f>
        <v>Maanantai</v>
      </c>
      <c r="H308" s="9"/>
    </row>
    <row r="309" spans="1:8">
      <c r="A309">
        <v>241</v>
      </c>
      <c r="B309" t="s">
        <v>338</v>
      </c>
      <c r="C309" t="s">
        <v>8</v>
      </c>
      <c r="E309" s="3">
        <f t="shared" si="7"/>
        <v>2</v>
      </c>
      <c r="F309" s="5">
        <v>44138.625</v>
      </c>
      <c r="G309" t="str">
        <f t="shared" ref="G309:G310" si="8">IF(WEEKDAY(F309,2)=1,"Maanantai","")</f>
        <v/>
      </c>
    </row>
    <row r="310" spans="1:8">
      <c r="A310">
        <v>209</v>
      </c>
      <c r="B310" t="s">
        <v>339</v>
      </c>
      <c r="C310" t="s">
        <v>8</v>
      </c>
      <c r="E310" s="3">
        <f t="shared" si="7"/>
        <v>3</v>
      </c>
      <c r="F310" s="5">
        <v>44139.625</v>
      </c>
      <c r="G310" t="str">
        <f t="shared" si="8"/>
        <v/>
      </c>
    </row>
    <row r="311" spans="1:8">
      <c r="A311">
        <v>219</v>
      </c>
      <c r="B311" t="s">
        <v>340</v>
      </c>
      <c r="C311" t="s">
        <v>8</v>
      </c>
      <c r="E311" s="3">
        <f t="shared" si="7"/>
        <v>4</v>
      </c>
      <c r="F311" s="5">
        <v>44140.625</v>
      </c>
      <c r="G311" t="str">
        <f>IF(WEEKDAY(F311,2)=1,"Maanantai","")</f>
        <v/>
      </c>
    </row>
    <row r="312" spans="1:8">
      <c r="A312">
        <v>194</v>
      </c>
      <c r="B312" t="s">
        <v>341</v>
      </c>
      <c r="C312" t="s">
        <v>8</v>
      </c>
      <c r="F312" s="5">
        <v>44141.625</v>
      </c>
    </row>
    <row r="313" spans="1:8">
      <c r="A313">
        <v>128</v>
      </c>
      <c r="B313" t="s">
        <v>342</v>
      </c>
      <c r="C313" t="s">
        <v>8</v>
      </c>
      <c r="F313" s="5">
        <v>44142.625</v>
      </c>
    </row>
    <row r="314" spans="1:8">
      <c r="A314">
        <v>134</v>
      </c>
      <c r="B314" t="s">
        <v>343</v>
      </c>
      <c r="C314" t="s">
        <v>8</v>
      </c>
      <c r="F314" s="5">
        <v>44143.625</v>
      </c>
    </row>
    <row r="315" spans="1:8">
      <c r="A315">
        <v>279</v>
      </c>
      <c r="B315" t="s">
        <v>344</v>
      </c>
      <c r="C315" t="s">
        <v>8</v>
      </c>
      <c r="F315" s="5">
        <v>44144.625</v>
      </c>
    </row>
    <row r="316" spans="1:8">
      <c r="A316">
        <v>208</v>
      </c>
      <c r="B316" t="s">
        <v>345</v>
      </c>
      <c r="C316" t="s">
        <v>8</v>
      </c>
      <c r="F316" s="5">
        <v>44145.625</v>
      </c>
    </row>
    <row r="317" spans="1:8">
      <c r="A317">
        <v>280</v>
      </c>
      <c r="B317" t="s">
        <v>346</v>
      </c>
      <c r="C317" t="s">
        <v>8</v>
      </c>
      <c r="F317" s="5">
        <v>44146.625</v>
      </c>
    </row>
    <row r="318" spans="1:8">
      <c r="A318">
        <v>230</v>
      </c>
      <c r="B318" t="s">
        <v>347</v>
      </c>
      <c r="C318" t="s">
        <v>8</v>
      </c>
      <c r="F318" s="5">
        <v>44147.625</v>
      </c>
    </row>
    <row r="319" spans="1:8">
      <c r="A319">
        <v>207</v>
      </c>
      <c r="B319" t="s">
        <v>348</v>
      </c>
      <c r="C319" t="s">
        <v>8</v>
      </c>
      <c r="F319" s="5">
        <v>44148.625</v>
      </c>
    </row>
    <row r="320" spans="1:8">
      <c r="A320">
        <v>99</v>
      </c>
      <c r="B320" t="s">
        <v>349</v>
      </c>
      <c r="C320" t="s">
        <v>8</v>
      </c>
      <c r="F320" s="5">
        <v>44149.625</v>
      </c>
    </row>
    <row r="321" spans="1:6">
      <c r="A321">
        <v>56</v>
      </c>
      <c r="B321" t="s">
        <v>350</v>
      </c>
      <c r="C321" t="s">
        <v>8</v>
      </c>
      <c r="F321" s="5">
        <v>44150.625</v>
      </c>
    </row>
    <row r="322" spans="1:6">
      <c r="A322">
        <v>0</v>
      </c>
      <c r="B322" t="s">
        <v>351</v>
      </c>
      <c r="C322" t="s">
        <v>8</v>
      </c>
      <c r="F322" s="5">
        <v>44151.40184027778</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DY67"/>
  <sheetViews>
    <sheetView tabSelected="1" topLeftCell="A7" zoomScale="85" zoomScaleNormal="85" workbookViewId="0">
      <selection activeCell="M11" sqref="M11"/>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16.11 n=104. Yhteensä N=19419. Edelliset 7 päivää 1359 (päivittyy), 1406 (muutos -3 %), 1453 (17 %) ja 1238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16.11 n=104. Yhteensä N=19419. Melko pysyvät 7 päivää 6.11-12.11 yhteensä 1453 (muutos 1 %), aiemmat 7 päivää 1440 (4 %) ja 1386 https://github.com/jussivirkkala/excel/tree/master/hs-koronavirus-avoindata</v>
      </c>
      <c r="B32" s="4"/>
    </row>
    <row r="33" spans="1:129">
      <c r="B33" s="4"/>
    </row>
    <row r="34" spans="1:129">
      <c r="A34" t="str">
        <f ca="1">"Kirjattuja COVID-19 tapauksia N="&amp;C65&amp;"."&amp;CHAR(32)&amp;"Uusimmat "&amp;TEXT(MAX(M:M),"p.kk")&amp;" lisäykset punaisella n="&amp;L65&amp;"."</f>
        <v>Kirjattuja COVID-19 tapauksia N=19419. Uusimmat 16.11 lisäykset punaisella n=104.</v>
      </c>
      <c r="B34" s="4"/>
    </row>
    <row r="35" spans="1:129">
      <c r="B35" s="4" t="s">
        <v>5</v>
      </c>
      <c r="C35" t="s">
        <v>0</v>
      </c>
      <c r="D35" t="s">
        <v>6</v>
      </c>
      <c r="E35">
        <f ca="1">SUM(E37:E65)</f>
        <v>104</v>
      </c>
      <c r="F35" t="s">
        <v>228</v>
      </c>
      <c r="M35" s="16" t="s">
        <v>312</v>
      </c>
      <c r="P35" s="16" t="s">
        <v>313</v>
      </c>
      <c r="S35" s="16" t="s">
        <v>314</v>
      </c>
    </row>
    <row r="36" spans="1:129">
      <c r="A36" t="str">
        <f ca="1">IF(WEEKDAY(B36,2)=1,"Ma","")</f>
        <v/>
      </c>
      <c r="B36" s="4">
        <f ca="1">B37-1</f>
        <v>44122</v>
      </c>
      <c r="C36" s="11">
        <f t="shared" ref="C36:C65" ca="1" si="0">SUMIF(aika,"&lt;"&amp;(B36+1),Id)</f>
        <v>13963</v>
      </c>
    </row>
    <row r="37" spans="1:129" s="10" customFormat="1">
      <c r="A37" t="str">
        <f t="shared" ref="A37:A60" ca="1" si="1">IF(WEEKDAY(B37,2)=1,"Ma","")</f>
        <v>Ma</v>
      </c>
      <c r="B37" s="9">
        <f t="shared" ref="B37:B62" ca="1" si="2">B38-1</f>
        <v>44123</v>
      </c>
      <c r="C37" s="10">
        <f t="shared" ca="1" si="0"/>
        <v>14207</v>
      </c>
      <c r="D37" s="10">
        <f t="shared" ref="D37" ca="1" si="3">C37-C36</f>
        <v>244</v>
      </c>
      <c r="E37" s="10">
        <f t="shared" ref="E37:E64" ca="1" si="4">_xlfn.IFNA(D37-F37,"")</f>
        <v>0</v>
      </c>
      <c r="F37" s="10">
        <f ca="1">VLOOKUP(B37,Previous,3,FALSE)</f>
        <v>244</v>
      </c>
      <c r="G37" s="10">
        <f ca="1">SUM(D37:D43)</f>
        <v>1238</v>
      </c>
      <c r="I37" s="10">
        <f ca="1">SUM(D37:D50)</f>
        <v>2691</v>
      </c>
      <c r="K37" s="14"/>
      <c r="M37" s="17">
        <v>44123</v>
      </c>
      <c r="N37" s="10">
        <v>14207</v>
      </c>
      <c r="O37" s="10">
        <v>244</v>
      </c>
      <c r="P37" s="17">
        <v>44123</v>
      </c>
      <c r="Q37" s="10">
        <v>14207</v>
      </c>
      <c r="R37" s="10">
        <v>244</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c r="CY37" s="10">
        <v>44115</v>
      </c>
      <c r="CZ37" s="10">
        <v>12696</v>
      </c>
      <c r="DA37" s="10">
        <v>130</v>
      </c>
      <c r="DB37" s="10">
        <v>44116</v>
      </c>
      <c r="DC37" s="10">
        <v>12950</v>
      </c>
      <c r="DD37" s="10">
        <v>254</v>
      </c>
      <c r="DE37" s="10">
        <v>44117</v>
      </c>
      <c r="DF37" s="10">
        <v>13147</v>
      </c>
      <c r="DG37" s="10">
        <v>197</v>
      </c>
      <c r="DH37" s="10">
        <v>44118</v>
      </c>
      <c r="DI37" s="10">
        <v>13348</v>
      </c>
      <c r="DJ37" s="10">
        <v>200</v>
      </c>
      <c r="DK37" s="10">
        <v>44119</v>
      </c>
      <c r="DL37" s="10">
        <v>13542</v>
      </c>
      <c r="DM37" s="10">
        <v>191</v>
      </c>
      <c r="DN37" s="10">
        <v>44120</v>
      </c>
      <c r="DO37" s="10">
        <v>13734</v>
      </c>
      <c r="DP37" s="10">
        <v>192</v>
      </c>
      <c r="DQ37" s="10">
        <v>44121</v>
      </c>
      <c r="DR37" s="10">
        <v>13835</v>
      </c>
      <c r="DS37" s="10">
        <v>100</v>
      </c>
      <c r="DT37" s="10">
        <v>44121</v>
      </c>
      <c r="DU37" s="10">
        <v>13963</v>
      </c>
      <c r="DV37" s="10">
        <v>128</v>
      </c>
      <c r="DW37" s="10">
        <v>44123</v>
      </c>
      <c r="DX37" s="10">
        <v>14207</v>
      </c>
      <c r="DY37" s="10">
        <v>244</v>
      </c>
    </row>
    <row r="38" spans="1:129">
      <c r="A38" t="str">
        <f t="shared" ca="1" si="1"/>
        <v/>
      </c>
      <c r="B38" s="4">
        <f t="shared" ca="1" si="2"/>
        <v>44124</v>
      </c>
      <c r="C38" s="11">
        <f t="shared" ca="1" si="0"/>
        <v>14370</v>
      </c>
      <c r="D38">
        <f t="shared" ref="D38" ca="1" si="5">C38-C37</f>
        <v>163</v>
      </c>
      <c r="E38" s="11">
        <f t="shared" ca="1" si="4"/>
        <v>0</v>
      </c>
      <c r="F38" s="11">
        <f t="shared" ref="F38:F65" ca="1" si="6">VLOOKUP(B38,Previous,3,FALSE)</f>
        <v>163</v>
      </c>
      <c r="K38" s="3"/>
      <c r="M38" s="16">
        <v>44124</v>
      </c>
      <c r="N38">
        <v>14370</v>
      </c>
      <c r="O38">
        <v>163</v>
      </c>
      <c r="P38" s="16">
        <v>44124</v>
      </c>
      <c r="Q38">
        <v>14370</v>
      </c>
      <c r="R38">
        <v>163</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c r="CY38">
        <v>44116</v>
      </c>
      <c r="CZ38">
        <v>12950</v>
      </c>
      <c r="DA38">
        <v>254</v>
      </c>
      <c r="DB38">
        <v>44117</v>
      </c>
      <c r="DC38">
        <v>13147</v>
      </c>
      <c r="DD38">
        <v>197</v>
      </c>
      <c r="DE38">
        <v>44118</v>
      </c>
      <c r="DF38">
        <v>13347</v>
      </c>
      <c r="DG38">
        <v>200</v>
      </c>
      <c r="DH38">
        <v>44119</v>
      </c>
      <c r="DI38">
        <v>13539</v>
      </c>
      <c r="DJ38">
        <v>191</v>
      </c>
      <c r="DK38">
        <v>44120</v>
      </c>
      <c r="DL38">
        <v>13734</v>
      </c>
      <c r="DM38">
        <v>192</v>
      </c>
      <c r="DN38">
        <v>44121</v>
      </c>
      <c r="DO38">
        <v>13834</v>
      </c>
      <c r="DP38">
        <v>100</v>
      </c>
      <c r="DQ38">
        <v>44122</v>
      </c>
      <c r="DR38">
        <v>13963</v>
      </c>
      <c r="DS38">
        <v>128</v>
      </c>
      <c r="DT38">
        <v>44123</v>
      </c>
      <c r="DU38">
        <v>14207</v>
      </c>
      <c r="DV38">
        <v>244</v>
      </c>
      <c r="DW38">
        <v>44124</v>
      </c>
      <c r="DX38">
        <v>14370</v>
      </c>
      <c r="DY38">
        <v>163</v>
      </c>
    </row>
    <row r="39" spans="1:129">
      <c r="A39" t="str">
        <f t="shared" ca="1" si="1"/>
        <v/>
      </c>
      <c r="B39" s="4">
        <f t="shared" ca="1" si="2"/>
        <v>44125</v>
      </c>
      <c r="C39" s="11">
        <f t="shared" ca="1" si="0"/>
        <v>14560</v>
      </c>
      <c r="D39">
        <f t="shared" ref="D39" ca="1" si="7">C39-C38</f>
        <v>190</v>
      </c>
      <c r="E39" s="11">
        <f t="shared" ca="1" si="4"/>
        <v>0</v>
      </c>
      <c r="F39" s="11">
        <f t="shared" ca="1" si="6"/>
        <v>190</v>
      </c>
      <c r="K39" s="3"/>
      <c r="M39" s="16">
        <v>44125</v>
      </c>
      <c r="N39">
        <v>14560</v>
      </c>
      <c r="O39">
        <v>190</v>
      </c>
      <c r="P39" s="16">
        <v>44125</v>
      </c>
      <c r="Q39">
        <v>14560</v>
      </c>
      <c r="R39">
        <v>190</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c r="CY39">
        <v>44117</v>
      </c>
      <c r="CZ39">
        <v>13147</v>
      </c>
      <c r="DA39">
        <v>197</v>
      </c>
      <c r="DB39">
        <v>44118</v>
      </c>
      <c r="DC39">
        <v>13347</v>
      </c>
      <c r="DD39">
        <v>200</v>
      </c>
      <c r="DE39">
        <v>44119</v>
      </c>
      <c r="DF39">
        <v>13538</v>
      </c>
      <c r="DG39">
        <v>191</v>
      </c>
      <c r="DH39">
        <v>44120</v>
      </c>
      <c r="DI39">
        <v>13732</v>
      </c>
      <c r="DJ39">
        <v>193</v>
      </c>
      <c r="DK39">
        <v>44121</v>
      </c>
      <c r="DL39">
        <v>13834</v>
      </c>
      <c r="DM39">
        <v>100</v>
      </c>
      <c r="DN39">
        <v>44122</v>
      </c>
      <c r="DO39">
        <v>13962</v>
      </c>
      <c r="DP39">
        <v>128</v>
      </c>
      <c r="DQ39">
        <v>44123</v>
      </c>
      <c r="DR39">
        <v>14207</v>
      </c>
      <c r="DS39">
        <v>244</v>
      </c>
      <c r="DT39">
        <v>44124</v>
      </c>
      <c r="DU39">
        <v>14370</v>
      </c>
      <c r="DV39">
        <v>163</v>
      </c>
      <c r="DW39">
        <v>44125</v>
      </c>
      <c r="DX39">
        <v>14560</v>
      </c>
      <c r="DY39">
        <v>190</v>
      </c>
    </row>
    <row r="40" spans="1:129">
      <c r="A40" t="str">
        <f t="shared" ca="1" si="1"/>
        <v/>
      </c>
      <c r="B40" s="4">
        <f t="shared" ca="1" si="2"/>
        <v>44126</v>
      </c>
      <c r="C40" s="11">
        <f t="shared" ca="1" si="0"/>
        <v>14778</v>
      </c>
      <c r="D40">
        <f t="shared" ref="D40" ca="1" si="8">C40-C39</f>
        <v>218</v>
      </c>
      <c r="E40" s="11">
        <f t="shared" ca="1" si="4"/>
        <v>0</v>
      </c>
      <c r="F40" s="11">
        <f t="shared" ca="1" si="6"/>
        <v>218</v>
      </c>
      <c r="J40" s="10">
        <f ca="1">SUM(D41:D47)</f>
        <v>1386</v>
      </c>
      <c r="K40" s="3"/>
      <c r="M40" s="16">
        <v>44126</v>
      </c>
      <c r="N40">
        <v>14778</v>
      </c>
      <c r="O40">
        <v>218</v>
      </c>
      <c r="P40" s="16">
        <v>44126</v>
      </c>
      <c r="Q40">
        <v>14778</v>
      </c>
      <c r="R40">
        <v>218</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c r="CY40">
        <v>44118</v>
      </c>
      <c r="CZ40">
        <v>13347</v>
      </c>
      <c r="DA40">
        <v>200</v>
      </c>
      <c r="DB40">
        <v>44119</v>
      </c>
      <c r="DC40">
        <v>13538</v>
      </c>
      <c r="DD40">
        <v>191</v>
      </c>
      <c r="DE40">
        <v>44120</v>
      </c>
      <c r="DF40">
        <v>13731</v>
      </c>
      <c r="DG40">
        <v>193</v>
      </c>
      <c r="DH40">
        <v>44121</v>
      </c>
      <c r="DI40">
        <v>13832</v>
      </c>
      <c r="DJ40">
        <v>100</v>
      </c>
      <c r="DK40">
        <v>44122</v>
      </c>
      <c r="DL40">
        <v>13963</v>
      </c>
      <c r="DM40">
        <v>129</v>
      </c>
      <c r="DN40">
        <v>44123</v>
      </c>
      <c r="DO40">
        <v>14206</v>
      </c>
      <c r="DP40">
        <v>244</v>
      </c>
      <c r="DQ40">
        <v>44124</v>
      </c>
      <c r="DR40">
        <v>14370</v>
      </c>
      <c r="DS40">
        <v>163</v>
      </c>
      <c r="DT40">
        <v>44125</v>
      </c>
      <c r="DU40">
        <v>14560</v>
      </c>
      <c r="DV40">
        <v>190</v>
      </c>
      <c r="DW40">
        <v>44126</v>
      </c>
      <c r="DX40">
        <v>14778</v>
      </c>
      <c r="DY40">
        <v>218</v>
      </c>
    </row>
    <row r="41" spans="1:129">
      <c r="A41" t="str">
        <f t="shared" ca="1" si="1"/>
        <v/>
      </c>
      <c r="B41" s="4">
        <f t="shared" ca="1" si="2"/>
        <v>44127</v>
      </c>
      <c r="C41" s="11">
        <f t="shared" ca="1" si="0"/>
        <v>14970</v>
      </c>
      <c r="D41">
        <f t="shared" ref="D41" ca="1" si="9">C41-C40</f>
        <v>192</v>
      </c>
      <c r="E41" s="11">
        <f t="shared" ca="1" si="4"/>
        <v>0</v>
      </c>
      <c r="F41" s="11">
        <f t="shared" ca="1" si="6"/>
        <v>192</v>
      </c>
      <c r="K41" s="3"/>
      <c r="M41" s="16">
        <v>44127</v>
      </c>
      <c r="N41">
        <v>14970</v>
      </c>
      <c r="O41">
        <v>192</v>
      </c>
      <c r="P41" s="16">
        <v>44127</v>
      </c>
      <c r="Q41">
        <v>14970</v>
      </c>
      <c r="R41">
        <v>192</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c r="CY41">
        <v>44119</v>
      </c>
      <c r="CZ41">
        <v>13538</v>
      </c>
      <c r="DA41">
        <v>191</v>
      </c>
      <c r="DB41">
        <v>44120</v>
      </c>
      <c r="DC41">
        <v>13731</v>
      </c>
      <c r="DD41">
        <v>193</v>
      </c>
      <c r="DE41">
        <v>44121</v>
      </c>
      <c r="DF41">
        <v>13831</v>
      </c>
      <c r="DG41">
        <v>100</v>
      </c>
      <c r="DH41">
        <v>44122</v>
      </c>
      <c r="DI41">
        <v>13960</v>
      </c>
      <c r="DJ41">
        <v>128</v>
      </c>
      <c r="DK41">
        <v>44123</v>
      </c>
      <c r="DL41">
        <v>14207</v>
      </c>
      <c r="DM41">
        <v>244</v>
      </c>
      <c r="DN41">
        <v>44124</v>
      </c>
      <c r="DO41">
        <v>14369</v>
      </c>
      <c r="DP41">
        <v>163</v>
      </c>
      <c r="DQ41">
        <v>44125</v>
      </c>
      <c r="DR41">
        <v>14560</v>
      </c>
      <c r="DS41">
        <v>190</v>
      </c>
      <c r="DT41">
        <v>44126</v>
      </c>
      <c r="DU41">
        <v>14778</v>
      </c>
      <c r="DV41">
        <v>218</v>
      </c>
      <c r="DW41">
        <v>44127</v>
      </c>
      <c r="DX41">
        <v>14970</v>
      </c>
      <c r="DY41">
        <v>192</v>
      </c>
    </row>
    <row r="42" spans="1:129">
      <c r="A42" t="str">
        <f t="shared" ca="1" si="1"/>
        <v/>
      </c>
      <c r="B42" s="4">
        <f t="shared" ca="1" si="2"/>
        <v>44128</v>
      </c>
      <c r="C42" s="11">
        <f t="shared" ca="1" si="0"/>
        <v>15078</v>
      </c>
      <c r="D42">
        <f t="shared" ref="D42" ca="1" si="10">C42-C41</f>
        <v>108</v>
      </c>
      <c r="E42" s="11">
        <f t="shared" ca="1" si="4"/>
        <v>0</v>
      </c>
      <c r="F42" s="11">
        <f t="shared" ca="1" si="6"/>
        <v>108</v>
      </c>
      <c r="K42" s="3"/>
      <c r="M42" s="16">
        <v>44128</v>
      </c>
      <c r="N42">
        <v>15078</v>
      </c>
      <c r="O42">
        <v>108</v>
      </c>
      <c r="P42" s="16">
        <v>44128</v>
      </c>
      <c r="Q42">
        <v>15078</v>
      </c>
      <c r="R42">
        <v>108</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c r="CY42">
        <v>44120</v>
      </c>
      <c r="CZ42">
        <v>13731</v>
      </c>
      <c r="DA42">
        <v>193</v>
      </c>
      <c r="DB42">
        <v>44121</v>
      </c>
      <c r="DC42">
        <v>13831</v>
      </c>
      <c r="DD42">
        <v>100</v>
      </c>
      <c r="DE42">
        <v>44122</v>
      </c>
      <c r="DF42">
        <v>13959</v>
      </c>
      <c r="DG42">
        <v>128</v>
      </c>
      <c r="DH42">
        <v>44123</v>
      </c>
      <c r="DI42">
        <v>14204</v>
      </c>
      <c r="DJ42">
        <v>244</v>
      </c>
      <c r="DK42">
        <v>44124</v>
      </c>
      <c r="DL42">
        <v>14370</v>
      </c>
      <c r="DM42">
        <v>163</v>
      </c>
      <c r="DN42">
        <v>44125</v>
      </c>
      <c r="DO42">
        <v>14559</v>
      </c>
      <c r="DP42">
        <v>190</v>
      </c>
      <c r="DQ42">
        <v>44126</v>
      </c>
      <c r="DR42">
        <v>14777</v>
      </c>
      <c r="DS42">
        <v>217</v>
      </c>
      <c r="DT42">
        <v>44127</v>
      </c>
      <c r="DU42">
        <v>14970</v>
      </c>
      <c r="DV42">
        <v>192</v>
      </c>
      <c r="DW42">
        <v>44128</v>
      </c>
      <c r="DX42">
        <v>15078</v>
      </c>
      <c r="DY42">
        <v>108</v>
      </c>
    </row>
    <row r="43" spans="1:129">
      <c r="A43" t="str">
        <f t="shared" ca="1" si="1"/>
        <v/>
      </c>
      <c r="B43" s="4">
        <f t="shared" ca="1" si="2"/>
        <v>44129</v>
      </c>
      <c r="C43" s="11">
        <f t="shared" ca="1" si="0"/>
        <v>15201</v>
      </c>
      <c r="D43">
        <f t="shared" ref="D43" ca="1" si="11">C43-C42</f>
        <v>123</v>
      </c>
      <c r="E43" s="11">
        <f t="shared" ca="1" si="4"/>
        <v>0</v>
      </c>
      <c r="F43" s="11">
        <f t="shared" ca="1" si="6"/>
        <v>123</v>
      </c>
      <c r="G43" s="10"/>
      <c r="K43" s="3"/>
      <c r="M43" s="16">
        <v>44129</v>
      </c>
      <c r="N43">
        <v>15201</v>
      </c>
      <c r="O43">
        <v>123</v>
      </c>
      <c r="P43" s="16">
        <v>44129</v>
      </c>
      <c r="Q43">
        <v>15201</v>
      </c>
      <c r="R43">
        <v>123</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c r="CY43">
        <v>44121</v>
      </c>
      <c r="CZ43">
        <v>13831</v>
      </c>
      <c r="DA43">
        <v>100</v>
      </c>
      <c r="DB43">
        <v>44122</v>
      </c>
      <c r="DC43">
        <v>13959</v>
      </c>
      <c r="DD43">
        <v>128</v>
      </c>
      <c r="DE43">
        <v>44123</v>
      </c>
      <c r="DF43">
        <v>14203</v>
      </c>
      <c r="DG43">
        <v>244</v>
      </c>
      <c r="DH43">
        <v>44124</v>
      </c>
      <c r="DI43">
        <v>14366</v>
      </c>
      <c r="DJ43">
        <v>162</v>
      </c>
      <c r="DK43">
        <v>44125</v>
      </c>
      <c r="DL43">
        <v>14559</v>
      </c>
      <c r="DM43">
        <v>189</v>
      </c>
      <c r="DN43">
        <v>44126</v>
      </c>
      <c r="DO43">
        <v>14776</v>
      </c>
      <c r="DP43">
        <v>217</v>
      </c>
      <c r="DQ43">
        <v>44127</v>
      </c>
      <c r="DR43">
        <v>14969</v>
      </c>
      <c r="DS43">
        <v>192</v>
      </c>
      <c r="DT43">
        <v>44128</v>
      </c>
      <c r="DU43">
        <v>15078</v>
      </c>
      <c r="DV43">
        <v>108</v>
      </c>
      <c r="DW43">
        <v>44129</v>
      </c>
      <c r="DX43">
        <v>15201</v>
      </c>
      <c r="DY43">
        <v>123</v>
      </c>
    </row>
    <row r="44" spans="1:129" s="10" customFormat="1">
      <c r="A44" t="str">
        <f t="shared" ca="1" si="1"/>
        <v>Ma</v>
      </c>
      <c r="B44" s="9">
        <f t="shared" ca="1" si="2"/>
        <v>44130</v>
      </c>
      <c r="C44" s="10">
        <f t="shared" ca="1" si="0"/>
        <v>15457</v>
      </c>
      <c r="D44" s="10">
        <f t="shared" ref="D44" ca="1" si="12">C44-C43</f>
        <v>256</v>
      </c>
      <c r="E44" s="10">
        <f t="shared" ca="1" si="4"/>
        <v>0</v>
      </c>
      <c r="F44" s="10">
        <f t="shared" ca="1" si="6"/>
        <v>256</v>
      </c>
      <c r="G44" s="10">
        <f ca="1">SUM(D44:D50)</f>
        <v>1453</v>
      </c>
      <c r="H44" s="10" t="str">
        <f ca="1">TEXT(G44/G37-1,"0 %")</f>
        <v>17 %</v>
      </c>
      <c r="I44" s="10">
        <f ca="1">SUM(D44:D57)</f>
        <v>2859</v>
      </c>
      <c r="K44" s="14"/>
      <c r="L44"/>
      <c r="M44" s="17">
        <v>44130</v>
      </c>
      <c r="N44" s="10">
        <v>15457</v>
      </c>
      <c r="O44" s="10">
        <v>256</v>
      </c>
      <c r="P44" s="17">
        <v>44130</v>
      </c>
      <c r="Q44" s="10">
        <v>15457</v>
      </c>
      <c r="R44" s="10">
        <v>256</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c r="CY44" s="10">
        <v>44122</v>
      </c>
      <c r="CZ44" s="10">
        <v>13959</v>
      </c>
      <c r="DA44" s="10">
        <v>128</v>
      </c>
      <c r="DB44" s="10">
        <v>44123</v>
      </c>
      <c r="DC44" s="10">
        <v>14203</v>
      </c>
      <c r="DD44" s="10">
        <v>244</v>
      </c>
      <c r="DE44" s="10">
        <v>44124</v>
      </c>
      <c r="DF44" s="10">
        <v>14365</v>
      </c>
      <c r="DG44" s="10">
        <v>162</v>
      </c>
      <c r="DH44" s="10">
        <v>44125</v>
      </c>
      <c r="DI44" s="10">
        <v>14555</v>
      </c>
      <c r="DJ44" s="10">
        <v>189</v>
      </c>
      <c r="DK44" s="10">
        <v>44126</v>
      </c>
      <c r="DL44" s="10">
        <v>14775</v>
      </c>
      <c r="DM44" s="10">
        <v>216</v>
      </c>
      <c r="DN44" s="10">
        <v>44127</v>
      </c>
      <c r="DO44" s="10">
        <v>14968</v>
      </c>
      <c r="DP44" s="10">
        <v>192</v>
      </c>
      <c r="DQ44" s="10">
        <v>44128</v>
      </c>
      <c r="DR44" s="10">
        <v>15077</v>
      </c>
      <c r="DS44" s="10">
        <v>108</v>
      </c>
      <c r="DT44" s="10">
        <v>44129</v>
      </c>
      <c r="DU44" s="10">
        <v>15201</v>
      </c>
      <c r="DV44" s="10">
        <v>123</v>
      </c>
      <c r="DW44" s="10">
        <v>44130</v>
      </c>
      <c r="DX44" s="10">
        <v>15457</v>
      </c>
      <c r="DY44" s="10">
        <v>256</v>
      </c>
    </row>
    <row r="45" spans="1:129">
      <c r="A45" t="str">
        <f t="shared" ca="1" si="1"/>
        <v/>
      </c>
      <c r="B45" s="4">
        <f t="shared" ca="1" si="2"/>
        <v>44131</v>
      </c>
      <c r="C45" s="11">
        <f t="shared" ca="1" si="0"/>
        <v>15687</v>
      </c>
      <c r="D45">
        <f t="shared" ref="D45" ca="1" si="13">C45-C44</f>
        <v>230</v>
      </c>
      <c r="E45" s="11">
        <f t="shared" ca="1" si="4"/>
        <v>0</v>
      </c>
      <c r="F45" s="11">
        <f t="shared" ca="1" si="6"/>
        <v>230</v>
      </c>
      <c r="K45" s="3"/>
      <c r="M45" s="16">
        <v>44131</v>
      </c>
      <c r="N45">
        <v>15687</v>
      </c>
      <c r="O45">
        <v>230</v>
      </c>
      <c r="P45" s="16">
        <v>44131</v>
      </c>
      <c r="Q45">
        <v>15687</v>
      </c>
      <c r="R45">
        <v>230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c r="CY45">
        <v>44123</v>
      </c>
      <c r="CZ45">
        <v>14203</v>
      </c>
      <c r="DA45">
        <v>244</v>
      </c>
      <c r="DB45">
        <v>44124</v>
      </c>
      <c r="DC45">
        <v>14365</v>
      </c>
      <c r="DD45">
        <v>162</v>
      </c>
      <c r="DE45">
        <v>44125</v>
      </c>
      <c r="DF45">
        <v>14554</v>
      </c>
      <c r="DG45">
        <v>189</v>
      </c>
      <c r="DH45">
        <v>44126</v>
      </c>
      <c r="DI45">
        <v>14770</v>
      </c>
      <c r="DJ45">
        <v>215</v>
      </c>
      <c r="DK45">
        <v>44127</v>
      </c>
      <c r="DL45">
        <v>14967</v>
      </c>
      <c r="DM45">
        <v>192</v>
      </c>
      <c r="DN45">
        <v>44128</v>
      </c>
      <c r="DO45">
        <v>15076</v>
      </c>
      <c r="DP45">
        <v>108</v>
      </c>
      <c r="DQ45">
        <v>44129</v>
      </c>
      <c r="DR45">
        <v>15199</v>
      </c>
      <c r="DS45">
        <v>122</v>
      </c>
      <c r="DT45">
        <v>44130</v>
      </c>
      <c r="DU45">
        <v>15457</v>
      </c>
      <c r="DV45">
        <v>256</v>
      </c>
      <c r="DW45">
        <v>44131</v>
      </c>
      <c r="DX45">
        <v>15687</v>
      </c>
      <c r="DY45">
        <v>230</v>
      </c>
    </row>
    <row r="46" spans="1:129">
      <c r="A46" t="str">
        <f t="shared" ca="1" si="1"/>
        <v/>
      </c>
      <c r="B46" s="4">
        <f t="shared" ca="1" si="2"/>
        <v>44132</v>
      </c>
      <c r="C46" s="11">
        <f t="shared" ca="1" si="0"/>
        <v>15927</v>
      </c>
      <c r="D46">
        <f t="shared" ref="D46" ca="1" si="14">C46-C45</f>
        <v>240</v>
      </c>
      <c r="E46" s="11">
        <f t="shared" ca="1" si="4"/>
        <v>0</v>
      </c>
      <c r="F46" s="11">
        <f t="shared" ca="1" si="6"/>
        <v>240</v>
      </c>
      <c r="K46" s="3"/>
      <c r="M46" s="16">
        <v>44132</v>
      </c>
      <c r="N46">
        <v>15927</v>
      </c>
      <c r="O46">
        <v>240</v>
      </c>
      <c r="P46" s="16">
        <v>44132</v>
      </c>
      <c r="Q46">
        <v>15927</v>
      </c>
      <c r="R46">
        <v>240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c r="CY46">
        <v>44124</v>
      </c>
      <c r="CZ46">
        <v>14366</v>
      </c>
      <c r="DA46">
        <v>163</v>
      </c>
      <c r="DB46">
        <v>44125</v>
      </c>
      <c r="DC46">
        <v>14554</v>
      </c>
      <c r="DD46">
        <v>189</v>
      </c>
      <c r="DE46">
        <v>44126</v>
      </c>
      <c r="DF46">
        <v>14769</v>
      </c>
      <c r="DG46">
        <v>215</v>
      </c>
      <c r="DH46">
        <v>44127</v>
      </c>
      <c r="DI46">
        <v>14962</v>
      </c>
      <c r="DJ46">
        <v>192</v>
      </c>
      <c r="DK46">
        <v>44128</v>
      </c>
      <c r="DL46">
        <v>15075</v>
      </c>
      <c r="DM46">
        <v>108</v>
      </c>
      <c r="DN46">
        <v>44129</v>
      </c>
      <c r="DO46">
        <v>15198</v>
      </c>
      <c r="DP46">
        <v>122</v>
      </c>
      <c r="DQ46">
        <v>44130</v>
      </c>
      <c r="DR46">
        <v>15455</v>
      </c>
      <c r="DS46">
        <v>256</v>
      </c>
      <c r="DT46">
        <v>44131</v>
      </c>
      <c r="DU46">
        <v>15687</v>
      </c>
      <c r="DV46">
        <v>230</v>
      </c>
      <c r="DW46">
        <v>44132</v>
      </c>
      <c r="DX46">
        <v>15927</v>
      </c>
      <c r="DY46">
        <v>240</v>
      </c>
    </row>
    <row r="47" spans="1:129">
      <c r="A47" t="str">
        <f t="shared" ca="1" si="1"/>
        <v/>
      </c>
      <c r="B47" s="4">
        <f t="shared" ca="1" si="2"/>
        <v>44133</v>
      </c>
      <c r="C47" s="11">
        <f t="shared" ca="1" si="0"/>
        <v>16164</v>
      </c>
      <c r="D47">
        <f t="shared" ref="D47" ca="1" si="15">C47-C46</f>
        <v>237</v>
      </c>
      <c r="E47" s="11">
        <f t="shared" ca="1" si="4"/>
        <v>0</v>
      </c>
      <c r="F47" s="11">
        <f t="shared" ca="1" si="6"/>
        <v>237</v>
      </c>
      <c r="J47" s="10">
        <f ca="1">SUM(D48:D54)</f>
        <v>1440</v>
      </c>
      <c r="K47" s="10" t="str">
        <f ca="1">TEXT(J47/J40-1,"0 %")</f>
        <v>4 %</v>
      </c>
      <c r="M47" s="16">
        <v>44133</v>
      </c>
      <c r="N47">
        <v>16164</v>
      </c>
      <c r="O47">
        <v>237</v>
      </c>
      <c r="P47" s="16">
        <v>44133</v>
      </c>
      <c r="Q47">
        <v>16164</v>
      </c>
      <c r="R47">
        <v>237</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c r="CY47">
        <v>44125</v>
      </c>
      <c r="CZ47">
        <v>14555</v>
      </c>
      <c r="DA47">
        <v>189</v>
      </c>
      <c r="DB47">
        <v>44126</v>
      </c>
      <c r="DC47">
        <v>14767</v>
      </c>
      <c r="DD47">
        <v>213</v>
      </c>
      <c r="DE47">
        <v>44127</v>
      </c>
      <c r="DF47">
        <v>14961</v>
      </c>
      <c r="DG47">
        <v>192</v>
      </c>
      <c r="DH47">
        <v>44128</v>
      </c>
      <c r="DI47">
        <v>15070</v>
      </c>
      <c r="DJ47">
        <v>108</v>
      </c>
      <c r="DK47">
        <v>44129</v>
      </c>
      <c r="DL47">
        <v>15198</v>
      </c>
      <c r="DM47">
        <v>123</v>
      </c>
      <c r="DN47">
        <v>44130</v>
      </c>
      <c r="DO47">
        <v>15454</v>
      </c>
      <c r="DP47">
        <v>256</v>
      </c>
      <c r="DQ47">
        <v>44131</v>
      </c>
      <c r="DR47">
        <v>15685</v>
      </c>
      <c r="DS47">
        <v>230</v>
      </c>
      <c r="DT47">
        <v>44132</v>
      </c>
      <c r="DU47">
        <v>15927</v>
      </c>
      <c r="DV47">
        <v>240</v>
      </c>
      <c r="DW47">
        <v>44133</v>
      </c>
      <c r="DX47">
        <v>16164</v>
      </c>
      <c r="DY47">
        <v>237</v>
      </c>
    </row>
    <row r="48" spans="1:129">
      <c r="A48" t="str">
        <f t="shared" ca="1" si="1"/>
        <v/>
      </c>
      <c r="B48" s="4">
        <f t="shared" ca="1" si="2"/>
        <v>44134</v>
      </c>
      <c r="C48" s="11">
        <f t="shared" ca="1" si="0"/>
        <v>16383</v>
      </c>
      <c r="D48">
        <f t="shared" ref="D48" ca="1" si="16">C48-C47</f>
        <v>219</v>
      </c>
      <c r="E48" s="11">
        <f t="shared" ca="1" si="4"/>
        <v>0</v>
      </c>
      <c r="F48" s="11">
        <f t="shared" ca="1" si="6"/>
        <v>219</v>
      </c>
      <c r="K48" s="3"/>
      <c r="M48" s="16">
        <v>44134</v>
      </c>
      <c r="N48">
        <v>16383</v>
      </c>
      <c r="O48">
        <v>219</v>
      </c>
      <c r="P48" s="16">
        <v>44134</v>
      </c>
      <c r="Q48">
        <v>16383</v>
      </c>
      <c r="R48">
        <v>219</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c r="CY48">
        <v>44126</v>
      </c>
      <c r="CZ48">
        <v>14768</v>
      </c>
      <c r="DA48">
        <v>213</v>
      </c>
      <c r="DB48">
        <v>44127</v>
      </c>
      <c r="DC48">
        <v>14959</v>
      </c>
      <c r="DD48">
        <v>192</v>
      </c>
      <c r="DE48">
        <v>44128</v>
      </c>
      <c r="DF48">
        <v>15069</v>
      </c>
      <c r="DG48">
        <v>108</v>
      </c>
      <c r="DH48">
        <v>44129</v>
      </c>
      <c r="DI48">
        <v>15193</v>
      </c>
      <c r="DJ48">
        <v>123</v>
      </c>
      <c r="DK48">
        <v>44130</v>
      </c>
      <c r="DL48">
        <v>15453</v>
      </c>
      <c r="DM48">
        <v>255</v>
      </c>
      <c r="DN48">
        <v>44131</v>
      </c>
      <c r="DO48">
        <v>15684</v>
      </c>
      <c r="DP48">
        <v>230</v>
      </c>
      <c r="DQ48">
        <v>44132</v>
      </c>
      <c r="DR48">
        <v>15925</v>
      </c>
      <c r="DS48">
        <v>240</v>
      </c>
      <c r="DT48">
        <v>44133</v>
      </c>
      <c r="DU48">
        <v>16164</v>
      </c>
      <c r="DV48">
        <v>237</v>
      </c>
      <c r="DW48">
        <v>44134</v>
      </c>
      <c r="DX48">
        <v>16383</v>
      </c>
      <c r="DY48">
        <v>219</v>
      </c>
    </row>
    <row r="49" spans="1:129">
      <c r="A49" t="str">
        <f t="shared" ca="1" si="1"/>
        <v/>
      </c>
      <c r="B49" s="4">
        <f t="shared" ca="1" si="2"/>
        <v>44135</v>
      </c>
      <c r="C49" s="11">
        <f t="shared" ca="1" si="0"/>
        <v>16504</v>
      </c>
      <c r="D49">
        <f t="shared" ref="D49" ca="1" si="17">C49-C48</f>
        <v>121</v>
      </c>
      <c r="E49" s="11">
        <f t="shared" ca="1" si="4"/>
        <v>0</v>
      </c>
      <c r="F49" s="11">
        <f t="shared" ca="1" si="6"/>
        <v>121</v>
      </c>
      <c r="K49" s="3"/>
      <c r="M49" s="16">
        <v>44135</v>
      </c>
      <c r="N49">
        <v>16504</v>
      </c>
      <c r="O49">
        <v>121</v>
      </c>
      <c r="P49" s="16">
        <v>44135</v>
      </c>
      <c r="Q49">
        <v>16504</v>
      </c>
      <c r="R49">
        <v>121</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c r="CY49">
        <v>44127</v>
      </c>
      <c r="CZ49">
        <v>14960</v>
      </c>
      <c r="DA49">
        <v>192</v>
      </c>
      <c r="DB49">
        <v>44128</v>
      </c>
      <c r="DC49">
        <v>15067</v>
      </c>
      <c r="DD49">
        <v>108</v>
      </c>
      <c r="DE49">
        <v>44129</v>
      </c>
      <c r="DF49">
        <v>15192</v>
      </c>
      <c r="DG49">
        <v>123</v>
      </c>
      <c r="DH49">
        <v>44130</v>
      </c>
      <c r="DI49">
        <v>15448</v>
      </c>
      <c r="DJ49">
        <v>255</v>
      </c>
      <c r="DK49">
        <v>44131</v>
      </c>
      <c r="DL49">
        <v>15683</v>
      </c>
      <c r="DM49">
        <v>230</v>
      </c>
      <c r="DN49">
        <v>44132</v>
      </c>
      <c r="DO49">
        <v>15924</v>
      </c>
      <c r="DP49">
        <v>240</v>
      </c>
      <c r="DQ49">
        <v>44133</v>
      </c>
      <c r="DR49">
        <v>16162</v>
      </c>
      <c r="DS49">
        <v>237</v>
      </c>
      <c r="DT49">
        <v>44134</v>
      </c>
      <c r="DU49">
        <v>16383</v>
      </c>
      <c r="DV49">
        <v>219</v>
      </c>
      <c r="DW49">
        <v>44135</v>
      </c>
      <c r="DX49">
        <v>16504</v>
      </c>
      <c r="DY49">
        <v>121</v>
      </c>
    </row>
    <row r="50" spans="1:129">
      <c r="A50" t="str">
        <f t="shared" ca="1" si="1"/>
        <v/>
      </c>
      <c r="B50" s="4">
        <f t="shared" ca="1" si="2"/>
        <v>44136</v>
      </c>
      <c r="C50" s="11">
        <f t="shared" ca="1" si="0"/>
        <v>16654</v>
      </c>
      <c r="D50">
        <f t="shared" ref="D50" ca="1" si="18">C50-C49</f>
        <v>150</v>
      </c>
      <c r="E50" s="11">
        <f t="shared" ca="1" si="4"/>
        <v>0</v>
      </c>
      <c r="F50" s="11">
        <f ca="1">VLOOKUP(B50,Previous,3,FALSE)</f>
        <v>150</v>
      </c>
      <c r="K50" s="3"/>
      <c r="M50" s="16">
        <v>44136</v>
      </c>
      <c r="N50">
        <v>16654</v>
      </c>
      <c r="O50">
        <v>150</v>
      </c>
      <c r="P50" s="16">
        <v>44136</v>
      </c>
      <c r="Q50">
        <v>16654</v>
      </c>
      <c r="R50">
        <v>150</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c r="CY50">
        <v>44128</v>
      </c>
      <c r="CZ50">
        <v>15068</v>
      </c>
      <c r="DA50">
        <v>108</v>
      </c>
      <c r="DB50">
        <v>44129</v>
      </c>
      <c r="DC50">
        <v>15190</v>
      </c>
      <c r="DD50">
        <v>123</v>
      </c>
      <c r="DE50">
        <v>44130</v>
      </c>
      <c r="DF50">
        <v>15447</v>
      </c>
      <c r="DG50">
        <v>255</v>
      </c>
      <c r="DH50">
        <v>44131</v>
      </c>
      <c r="DI50">
        <v>15677</v>
      </c>
      <c r="DJ50">
        <v>229</v>
      </c>
      <c r="DK50">
        <v>44132</v>
      </c>
      <c r="DL50">
        <v>15923</v>
      </c>
      <c r="DM50">
        <v>240</v>
      </c>
      <c r="DN50">
        <v>44133</v>
      </c>
      <c r="DO50">
        <v>16161</v>
      </c>
      <c r="DP50">
        <v>237</v>
      </c>
      <c r="DQ50">
        <v>44134</v>
      </c>
      <c r="DR50">
        <v>16381</v>
      </c>
      <c r="DS50">
        <v>219</v>
      </c>
      <c r="DT50">
        <v>44135</v>
      </c>
      <c r="DU50">
        <v>16504</v>
      </c>
      <c r="DV50">
        <v>121</v>
      </c>
      <c r="DW50">
        <v>44136</v>
      </c>
      <c r="DX50">
        <v>16654</v>
      </c>
      <c r="DY50">
        <v>150</v>
      </c>
    </row>
    <row r="51" spans="1:129" s="10" customFormat="1">
      <c r="A51" t="str">
        <f t="shared" ca="1" si="1"/>
        <v>Ma</v>
      </c>
      <c r="B51" s="9">
        <f t="shared" ca="1" si="2"/>
        <v>44137</v>
      </c>
      <c r="C51" s="10">
        <f t="shared" ca="1" si="0"/>
        <v>16935</v>
      </c>
      <c r="D51" s="10">
        <f t="shared" ref="D51" ca="1" si="19">C51-C50</f>
        <v>281</v>
      </c>
      <c r="E51" s="10">
        <f t="shared" ca="1" si="4"/>
        <v>0</v>
      </c>
      <c r="F51" s="10">
        <f t="shared" ca="1" si="6"/>
        <v>281</v>
      </c>
      <c r="G51" s="10">
        <f ca="1">SUM(D51:D57)</f>
        <v>1406</v>
      </c>
      <c r="H51" s="10" t="str">
        <f ca="1">TEXT(G51/G44-1,"0 %")</f>
        <v>-3 %</v>
      </c>
      <c r="I51" s="10">
        <f ca="1">SUM(D51:D64)</f>
        <v>2765</v>
      </c>
      <c r="K51" s="14"/>
      <c r="L51"/>
      <c r="M51" s="17">
        <v>44137</v>
      </c>
      <c r="N51" s="10">
        <v>16935</v>
      </c>
      <c r="O51" s="10">
        <v>281</v>
      </c>
      <c r="P51" s="17">
        <v>44137</v>
      </c>
      <c r="Q51" s="10">
        <v>16935</v>
      </c>
      <c r="R51" s="10">
        <v>281</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c r="CY51" s="10">
        <v>44129</v>
      </c>
      <c r="CZ51" s="10">
        <v>15191</v>
      </c>
      <c r="DA51" s="10">
        <v>123</v>
      </c>
      <c r="DB51" s="10">
        <v>44130</v>
      </c>
      <c r="DC51" s="10">
        <v>15445</v>
      </c>
      <c r="DD51" s="10">
        <v>255</v>
      </c>
      <c r="DE51" s="10">
        <v>44131</v>
      </c>
      <c r="DF51" s="10">
        <v>15677</v>
      </c>
      <c r="DG51" s="10">
        <v>230</v>
      </c>
      <c r="DH51" s="10">
        <v>44132</v>
      </c>
      <c r="DI51" s="10">
        <v>15917</v>
      </c>
      <c r="DJ51" s="10">
        <v>240</v>
      </c>
      <c r="DK51" s="10">
        <v>44133</v>
      </c>
      <c r="DL51" s="10">
        <v>16160</v>
      </c>
      <c r="DM51" s="10">
        <v>237</v>
      </c>
      <c r="DN51" s="10">
        <v>44134</v>
      </c>
      <c r="DO51" s="10">
        <v>16380</v>
      </c>
      <c r="DP51" s="10">
        <v>219</v>
      </c>
      <c r="DQ51" s="10">
        <v>44135</v>
      </c>
      <c r="DR51" s="10">
        <v>16502</v>
      </c>
      <c r="DS51" s="10">
        <v>121</v>
      </c>
      <c r="DT51" s="10">
        <v>44136</v>
      </c>
      <c r="DU51" s="10">
        <v>16654</v>
      </c>
      <c r="DV51" s="10">
        <v>150</v>
      </c>
      <c r="DW51" s="10">
        <v>44137</v>
      </c>
      <c r="DX51" s="10">
        <v>16935</v>
      </c>
      <c r="DY51" s="10">
        <v>281</v>
      </c>
    </row>
    <row r="52" spans="1:129">
      <c r="A52" t="str">
        <f t="shared" ca="1" si="1"/>
        <v/>
      </c>
      <c r="B52" s="4">
        <f t="shared" ca="1" si="2"/>
        <v>44138</v>
      </c>
      <c r="C52" s="11">
        <f t="shared" ca="1" si="0"/>
        <v>17176</v>
      </c>
      <c r="D52">
        <f t="shared" ref="D52:D63" ca="1" si="20">C52-C51</f>
        <v>241</v>
      </c>
      <c r="E52" s="11">
        <f t="shared" ca="1" si="4"/>
        <v>0</v>
      </c>
      <c r="F52" s="11">
        <f t="shared" ca="1" si="6"/>
        <v>241</v>
      </c>
      <c r="G52" s="10"/>
      <c r="K52" s="3"/>
      <c r="M52" s="16">
        <v>44138</v>
      </c>
      <c r="N52">
        <v>17176</v>
      </c>
      <c r="O52">
        <v>241</v>
      </c>
      <c r="P52" s="16">
        <v>44138</v>
      </c>
      <c r="Q52">
        <v>17176</v>
      </c>
      <c r="R52">
        <v>241</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c r="CY52">
        <v>44130</v>
      </c>
      <c r="CZ52">
        <v>15446</v>
      </c>
      <c r="DA52">
        <v>255</v>
      </c>
      <c r="DB52">
        <v>44131</v>
      </c>
      <c r="DC52">
        <v>15675</v>
      </c>
      <c r="DD52">
        <v>230</v>
      </c>
      <c r="DE52">
        <v>44132</v>
      </c>
      <c r="DF52">
        <v>15918</v>
      </c>
      <c r="DG52">
        <v>241</v>
      </c>
      <c r="DH52">
        <v>44133</v>
      </c>
      <c r="DI52">
        <v>16154</v>
      </c>
      <c r="DJ52">
        <v>237</v>
      </c>
      <c r="DK52">
        <v>44134</v>
      </c>
      <c r="DL52">
        <v>16379</v>
      </c>
      <c r="DM52">
        <v>219</v>
      </c>
      <c r="DN52">
        <v>44135</v>
      </c>
      <c r="DO52">
        <v>16501</v>
      </c>
      <c r="DP52">
        <v>121</v>
      </c>
      <c r="DQ52">
        <v>44136</v>
      </c>
      <c r="DR52">
        <v>16651</v>
      </c>
      <c r="DS52">
        <v>149</v>
      </c>
      <c r="DT52">
        <v>44137</v>
      </c>
      <c r="DU52">
        <v>16935</v>
      </c>
      <c r="DV52">
        <v>281</v>
      </c>
      <c r="DW52">
        <v>44138</v>
      </c>
      <c r="DX52">
        <v>17176</v>
      </c>
      <c r="DY52">
        <v>241</v>
      </c>
    </row>
    <row r="53" spans="1:129">
      <c r="A53" t="str">
        <f t="shared" ca="1" si="1"/>
        <v/>
      </c>
      <c r="B53" s="4">
        <f t="shared" ca="1" si="2"/>
        <v>44139</v>
      </c>
      <c r="C53" s="11">
        <f t="shared" ca="1" si="0"/>
        <v>17385</v>
      </c>
      <c r="D53">
        <f t="shared" ca="1" si="20"/>
        <v>209</v>
      </c>
      <c r="E53" s="11">
        <f t="shared" ca="1" si="4"/>
        <v>1</v>
      </c>
      <c r="F53" s="11">
        <f t="shared" ca="1" si="6"/>
        <v>208</v>
      </c>
      <c r="J53" s="13"/>
      <c r="K53" s="3"/>
      <c r="M53" s="16">
        <v>44139</v>
      </c>
      <c r="N53">
        <v>17384</v>
      </c>
      <c r="O53">
        <v>208</v>
      </c>
      <c r="P53" s="16">
        <v>44139</v>
      </c>
      <c r="Q53">
        <v>17384</v>
      </c>
      <c r="R53">
        <v>208</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c r="CY53">
        <v>44131</v>
      </c>
      <c r="CZ53">
        <v>15676</v>
      </c>
      <c r="DA53">
        <v>230</v>
      </c>
      <c r="DB53">
        <v>44132</v>
      </c>
      <c r="DC53">
        <v>15916</v>
      </c>
      <c r="DD53">
        <v>241</v>
      </c>
      <c r="DE53">
        <v>44133</v>
      </c>
      <c r="DF53">
        <v>16155</v>
      </c>
      <c r="DG53">
        <v>237</v>
      </c>
      <c r="DH53">
        <v>44134</v>
      </c>
      <c r="DI53">
        <v>16373</v>
      </c>
      <c r="DJ53">
        <v>219</v>
      </c>
      <c r="DK53">
        <v>44135</v>
      </c>
      <c r="DL53">
        <v>16500</v>
      </c>
      <c r="DM53">
        <v>121</v>
      </c>
      <c r="DN53">
        <v>44136</v>
      </c>
      <c r="DO53">
        <v>16651</v>
      </c>
      <c r="DP53">
        <v>150</v>
      </c>
      <c r="DQ53">
        <v>44137</v>
      </c>
      <c r="DR53">
        <v>16932</v>
      </c>
      <c r="DS53">
        <v>281</v>
      </c>
      <c r="DT53">
        <v>44138</v>
      </c>
      <c r="DU53">
        <v>17176</v>
      </c>
      <c r="DV53">
        <v>241</v>
      </c>
      <c r="DW53">
        <v>44139</v>
      </c>
      <c r="DX53">
        <v>17384</v>
      </c>
      <c r="DY53">
        <v>208</v>
      </c>
    </row>
    <row r="54" spans="1:129">
      <c r="A54" t="str">
        <f t="shared" ca="1" si="1"/>
        <v/>
      </c>
      <c r="B54" s="4">
        <f t="shared" ca="1" si="2"/>
        <v>44140</v>
      </c>
      <c r="C54" s="11">
        <f t="shared" ca="1" si="0"/>
        <v>17604</v>
      </c>
      <c r="D54">
        <f t="shared" ca="1" si="20"/>
        <v>219</v>
      </c>
      <c r="E54" s="11">
        <f t="shared" ca="1" si="4"/>
        <v>0</v>
      </c>
      <c r="F54" s="11">
        <f t="shared" ca="1" si="6"/>
        <v>219</v>
      </c>
      <c r="J54" s="10">
        <f ca="1">SUM(D55:D61)</f>
        <v>1453</v>
      </c>
      <c r="K54" s="10" t="str">
        <f ca="1">TEXT(J54/J47-1,"0 %")</f>
        <v>1 %</v>
      </c>
      <c r="M54" s="16">
        <v>44140</v>
      </c>
      <c r="N54">
        <v>17603</v>
      </c>
      <c r="O54">
        <v>219</v>
      </c>
      <c r="P54" s="16">
        <v>44140</v>
      </c>
      <c r="Q54">
        <v>17603</v>
      </c>
      <c r="R54">
        <v>219</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c r="CY54">
        <v>44132</v>
      </c>
      <c r="CZ54">
        <v>15917</v>
      </c>
      <c r="DA54">
        <v>241</v>
      </c>
      <c r="DB54">
        <v>44133</v>
      </c>
      <c r="DC54">
        <v>16153</v>
      </c>
      <c r="DD54">
        <v>237</v>
      </c>
      <c r="DE54">
        <v>44134</v>
      </c>
      <c r="DF54">
        <v>16371</v>
      </c>
      <c r="DG54">
        <v>216</v>
      </c>
      <c r="DH54">
        <v>44135</v>
      </c>
      <c r="DI54">
        <v>16494</v>
      </c>
      <c r="DJ54">
        <v>121</v>
      </c>
      <c r="DK54">
        <v>44136</v>
      </c>
      <c r="DL54">
        <v>16650</v>
      </c>
      <c r="DM54">
        <v>150</v>
      </c>
      <c r="DN54">
        <v>44137</v>
      </c>
      <c r="DO54">
        <v>16932</v>
      </c>
      <c r="DP54">
        <v>281</v>
      </c>
      <c r="DQ54">
        <v>44138</v>
      </c>
      <c r="DR54">
        <v>17173</v>
      </c>
      <c r="DS54">
        <v>241</v>
      </c>
      <c r="DT54">
        <v>44139</v>
      </c>
      <c r="DU54">
        <v>17384</v>
      </c>
      <c r="DV54">
        <v>208</v>
      </c>
      <c r="DW54">
        <v>44140</v>
      </c>
      <c r="DX54">
        <v>17603</v>
      </c>
      <c r="DY54">
        <v>219</v>
      </c>
    </row>
    <row r="55" spans="1:129">
      <c r="A55" t="str">
        <f t="shared" ca="1" si="1"/>
        <v/>
      </c>
      <c r="B55" s="4">
        <f t="shared" ca="1" si="2"/>
        <v>44141</v>
      </c>
      <c r="C55" s="11">
        <f t="shared" ca="1" si="0"/>
        <v>17798</v>
      </c>
      <c r="D55">
        <f t="shared" ca="1" si="20"/>
        <v>194</v>
      </c>
      <c r="E55" s="11">
        <f t="shared" ca="1" si="4"/>
        <v>0</v>
      </c>
      <c r="F55" s="11">
        <f t="shared" ca="1" si="6"/>
        <v>194</v>
      </c>
      <c r="I55" s="10"/>
      <c r="J55" s="10"/>
      <c r="K55" s="3"/>
      <c r="M55" s="16">
        <v>44141</v>
      </c>
      <c r="N55">
        <v>17797</v>
      </c>
      <c r="O55">
        <v>194</v>
      </c>
      <c r="P55" s="16">
        <v>44141</v>
      </c>
      <c r="Q55">
        <v>17797</v>
      </c>
      <c r="R55">
        <v>194</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c r="CY55">
        <v>44133</v>
      </c>
      <c r="CZ55">
        <v>16154</v>
      </c>
      <c r="DA55">
        <v>237</v>
      </c>
      <c r="DB55">
        <v>44134</v>
      </c>
      <c r="DC55">
        <v>16369</v>
      </c>
      <c r="DD55">
        <v>216</v>
      </c>
      <c r="DE55">
        <v>44135</v>
      </c>
      <c r="DF55">
        <v>16492</v>
      </c>
      <c r="DG55">
        <v>121</v>
      </c>
      <c r="DH55">
        <v>44136</v>
      </c>
      <c r="DI55">
        <v>16644</v>
      </c>
      <c r="DJ55">
        <v>150</v>
      </c>
      <c r="DK55">
        <v>44137</v>
      </c>
      <c r="DL55">
        <v>16931</v>
      </c>
      <c r="DM55">
        <v>281</v>
      </c>
      <c r="DN55">
        <v>44138</v>
      </c>
      <c r="DO55">
        <v>17171</v>
      </c>
      <c r="DP55">
        <v>239</v>
      </c>
      <c r="DQ55">
        <v>44139</v>
      </c>
      <c r="DR55">
        <v>17380</v>
      </c>
      <c r="DS55">
        <v>207</v>
      </c>
      <c r="DT55">
        <v>44140</v>
      </c>
      <c r="DU55">
        <v>17603</v>
      </c>
      <c r="DV55">
        <v>219</v>
      </c>
      <c r="DW55">
        <v>44141</v>
      </c>
      <c r="DX55">
        <v>17797</v>
      </c>
      <c r="DY55">
        <v>194</v>
      </c>
    </row>
    <row r="56" spans="1:129">
      <c r="A56" t="str">
        <f t="shared" ca="1" si="1"/>
        <v/>
      </c>
      <c r="B56" s="4">
        <f t="shared" ca="1" si="2"/>
        <v>44142</v>
      </c>
      <c r="C56" s="11">
        <f t="shared" ca="1" si="0"/>
        <v>17926</v>
      </c>
      <c r="D56">
        <f t="shared" ca="1" si="20"/>
        <v>128</v>
      </c>
      <c r="E56" s="11">
        <f t="shared" ca="1" si="4"/>
        <v>-1</v>
      </c>
      <c r="F56" s="11">
        <f t="shared" ca="1" si="6"/>
        <v>129</v>
      </c>
      <c r="K56" s="3"/>
      <c r="M56" s="16">
        <v>44142</v>
      </c>
      <c r="N56">
        <v>17926</v>
      </c>
      <c r="O56">
        <v>129</v>
      </c>
      <c r="P56" s="16">
        <v>44142</v>
      </c>
      <c r="Q56">
        <v>17926</v>
      </c>
      <c r="R56">
        <v>129</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c r="CY56">
        <v>44134</v>
      </c>
      <c r="CZ56">
        <v>16369</v>
      </c>
      <c r="DA56">
        <v>215</v>
      </c>
      <c r="DB56">
        <v>44135</v>
      </c>
      <c r="DC56">
        <v>16490</v>
      </c>
      <c r="DD56">
        <v>121</v>
      </c>
      <c r="DE56">
        <v>44136</v>
      </c>
      <c r="DF56">
        <v>16642</v>
      </c>
      <c r="DG56">
        <v>150</v>
      </c>
      <c r="DH56">
        <v>44137</v>
      </c>
      <c r="DI56">
        <v>16925</v>
      </c>
      <c r="DJ56">
        <v>281</v>
      </c>
      <c r="DK56">
        <v>44138</v>
      </c>
      <c r="DL56">
        <v>17170</v>
      </c>
      <c r="DM56">
        <v>239</v>
      </c>
      <c r="DN56">
        <v>44139</v>
      </c>
      <c r="DO56">
        <v>17377</v>
      </c>
      <c r="DP56">
        <v>206</v>
      </c>
      <c r="DQ56">
        <v>44140</v>
      </c>
      <c r="DR56">
        <v>17601</v>
      </c>
      <c r="DS56">
        <v>221</v>
      </c>
      <c r="DT56">
        <v>44141</v>
      </c>
      <c r="DU56">
        <v>17797</v>
      </c>
      <c r="DV56">
        <v>194</v>
      </c>
      <c r="DW56">
        <v>44142</v>
      </c>
      <c r="DX56">
        <v>17926</v>
      </c>
      <c r="DY56">
        <v>129</v>
      </c>
    </row>
    <row r="57" spans="1:129">
      <c r="A57" t="str">
        <f ca="1">IF(WEEKDAY(B57,2)=1,"Ma","")</f>
        <v/>
      </c>
      <c r="B57" s="4">
        <f t="shared" ca="1" si="2"/>
        <v>44143</v>
      </c>
      <c r="C57" s="11">
        <f t="shared" ca="1" si="0"/>
        <v>18060</v>
      </c>
      <c r="D57">
        <f t="shared" ca="1" si="20"/>
        <v>134</v>
      </c>
      <c r="E57" s="11">
        <f t="shared" ca="1" si="4"/>
        <v>0</v>
      </c>
      <c r="F57" s="11">
        <f t="shared" ca="1" si="6"/>
        <v>134</v>
      </c>
      <c r="J57" s="13"/>
      <c r="K57" s="3"/>
      <c r="M57" s="16">
        <v>44143</v>
      </c>
      <c r="N57">
        <v>18060</v>
      </c>
      <c r="O57">
        <v>134</v>
      </c>
      <c r="P57" s="16">
        <v>44143</v>
      </c>
      <c r="Q57">
        <v>18060</v>
      </c>
      <c r="R57">
        <v>134</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c r="CY57">
        <v>44135</v>
      </c>
      <c r="CZ57">
        <v>16490</v>
      </c>
      <c r="DA57">
        <v>121</v>
      </c>
      <c r="DB57">
        <v>44136</v>
      </c>
      <c r="DC57">
        <v>16640</v>
      </c>
      <c r="DD57">
        <v>150</v>
      </c>
      <c r="DE57">
        <v>44137</v>
      </c>
      <c r="DF57">
        <v>16923</v>
      </c>
      <c r="DG57">
        <v>281</v>
      </c>
      <c r="DH57">
        <v>44138</v>
      </c>
      <c r="DI57">
        <v>17164</v>
      </c>
      <c r="DJ57">
        <v>239</v>
      </c>
      <c r="DK57">
        <v>44139</v>
      </c>
      <c r="DL57">
        <v>17376</v>
      </c>
      <c r="DM57">
        <v>206</v>
      </c>
      <c r="DN57">
        <v>44140</v>
      </c>
      <c r="DO57">
        <v>17595</v>
      </c>
      <c r="DP57">
        <v>218</v>
      </c>
      <c r="DQ57">
        <v>44141</v>
      </c>
      <c r="DR57">
        <v>17795</v>
      </c>
      <c r="DS57">
        <v>194</v>
      </c>
      <c r="DT57">
        <v>44142</v>
      </c>
      <c r="DU57">
        <v>17925</v>
      </c>
      <c r="DV57">
        <v>128</v>
      </c>
      <c r="DW57">
        <v>44143</v>
      </c>
      <c r="DX57">
        <v>18060</v>
      </c>
      <c r="DY57">
        <v>134</v>
      </c>
    </row>
    <row r="58" spans="1:129" s="10" customFormat="1">
      <c r="A58" t="str">
        <f t="shared" ca="1" si="1"/>
        <v>Ma</v>
      </c>
      <c r="B58" s="9">
        <f t="shared" ca="1" si="2"/>
        <v>44144</v>
      </c>
      <c r="C58" s="10">
        <f t="shared" ca="1" si="0"/>
        <v>18339</v>
      </c>
      <c r="D58" s="10">
        <f t="shared" ca="1" si="20"/>
        <v>279</v>
      </c>
      <c r="E58" s="10">
        <f t="shared" ca="1" si="4"/>
        <v>1</v>
      </c>
      <c r="F58" s="10">
        <f t="shared" ca="1" si="6"/>
        <v>278</v>
      </c>
      <c r="G58" s="10">
        <f ca="1">SUM(D58:D64)</f>
        <v>1359</v>
      </c>
      <c r="K58" s="14"/>
      <c r="L58"/>
      <c r="M58" s="17">
        <v>44144</v>
      </c>
      <c r="N58" s="10">
        <v>18338</v>
      </c>
      <c r="O58" s="10">
        <v>278</v>
      </c>
      <c r="P58" s="17">
        <v>44144</v>
      </c>
      <c r="Q58" s="10">
        <v>18338</v>
      </c>
      <c r="R58" s="10">
        <v>278</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c r="CY58" s="10">
        <v>44136</v>
      </c>
      <c r="CZ58" s="10">
        <v>16638</v>
      </c>
      <c r="DA58" s="10">
        <v>148</v>
      </c>
      <c r="DB58" s="10">
        <v>44137</v>
      </c>
      <c r="DC58" s="10">
        <v>16921</v>
      </c>
      <c r="DD58" s="10">
        <v>281</v>
      </c>
      <c r="DE58" s="10">
        <v>44138</v>
      </c>
      <c r="DF58" s="10">
        <v>17161</v>
      </c>
      <c r="DG58" s="10">
        <v>238</v>
      </c>
      <c r="DH58" s="10">
        <v>44139</v>
      </c>
      <c r="DI58" s="10">
        <v>17369</v>
      </c>
      <c r="DJ58" s="10">
        <v>205</v>
      </c>
      <c r="DK58" s="10">
        <v>44140</v>
      </c>
      <c r="DL58" s="10">
        <v>17593</v>
      </c>
      <c r="DM58" s="10">
        <v>217</v>
      </c>
      <c r="DN58" s="10">
        <v>44141</v>
      </c>
      <c r="DO58" s="10">
        <v>17789</v>
      </c>
      <c r="DP58" s="10">
        <v>194</v>
      </c>
      <c r="DQ58" s="10">
        <v>44142</v>
      </c>
      <c r="DR58" s="10">
        <v>17922</v>
      </c>
      <c r="DS58" s="10">
        <v>127</v>
      </c>
      <c r="DT58" s="10">
        <v>44143</v>
      </c>
      <c r="DU58" s="10">
        <v>18059</v>
      </c>
      <c r="DV58" s="10">
        <v>134</v>
      </c>
      <c r="DW58" s="10">
        <v>44144</v>
      </c>
      <c r="DX58" s="10">
        <v>18338</v>
      </c>
      <c r="DY58" s="10">
        <v>278</v>
      </c>
    </row>
    <row r="59" spans="1:129">
      <c r="A59" t="str">
        <f t="shared" ca="1" si="1"/>
        <v/>
      </c>
      <c r="B59" s="4">
        <f t="shared" ca="1" si="2"/>
        <v>44145</v>
      </c>
      <c r="C59" s="11">
        <f t="shared" ca="1" si="0"/>
        <v>18547</v>
      </c>
      <c r="D59">
        <f t="shared" ca="1" si="20"/>
        <v>208</v>
      </c>
      <c r="E59" s="11">
        <f t="shared" ca="1" si="4"/>
        <v>0</v>
      </c>
      <c r="F59" s="11">
        <f t="shared" ca="1" si="6"/>
        <v>208</v>
      </c>
      <c r="H59" s="10"/>
      <c r="J59" s="13"/>
      <c r="K59" s="3"/>
      <c r="M59" s="16">
        <v>44145</v>
      </c>
      <c r="N59">
        <v>18546</v>
      </c>
      <c r="O59">
        <v>208</v>
      </c>
      <c r="P59" s="16">
        <v>44145</v>
      </c>
      <c r="Q59">
        <v>18546</v>
      </c>
      <c r="R59">
        <v>208</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c r="CY59">
        <v>44137</v>
      </c>
      <c r="CZ59">
        <v>16916</v>
      </c>
      <c r="DA59">
        <v>278</v>
      </c>
      <c r="DB59">
        <v>44138</v>
      </c>
      <c r="DC59">
        <v>17159</v>
      </c>
      <c r="DD59">
        <v>238</v>
      </c>
      <c r="DE59">
        <v>44139</v>
      </c>
      <c r="DF59">
        <v>17362</v>
      </c>
      <c r="DG59">
        <v>201</v>
      </c>
      <c r="DH59">
        <v>44140</v>
      </c>
      <c r="DI59">
        <v>17586</v>
      </c>
      <c r="DJ59">
        <v>217</v>
      </c>
      <c r="DK59">
        <v>44141</v>
      </c>
      <c r="DL59">
        <v>17787</v>
      </c>
      <c r="DM59">
        <v>194</v>
      </c>
      <c r="DN59">
        <v>44142</v>
      </c>
      <c r="DO59">
        <v>17916</v>
      </c>
      <c r="DP59">
        <v>127</v>
      </c>
      <c r="DQ59">
        <v>44143</v>
      </c>
      <c r="DR59">
        <v>18055</v>
      </c>
      <c r="DS59">
        <v>133</v>
      </c>
      <c r="DT59">
        <v>44144</v>
      </c>
      <c r="DU59">
        <v>18337</v>
      </c>
      <c r="DV59">
        <v>278</v>
      </c>
      <c r="DW59">
        <v>44145</v>
      </c>
      <c r="DX59">
        <v>18546</v>
      </c>
      <c r="DY59">
        <v>208</v>
      </c>
    </row>
    <row r="60" spans="1:129">
      <c r="A60" t="str">
        <f t="shared" ca="1" si="1"/>
        <v/>
      </c>
      <c r="B60" s="4">
        <f t="shared" ca="1" si="2"/>
        <v>44146</v>
      </c>
      <c r="C60" s="11">
        <f t="shared" ca="1" si="0"/>
        <v>18827</v>
      </c>
      <c r="D60">
        <f t="shared" ca="1" si="20"/>
        <v>280</v>
      </c>
      <c r="E60" s="11">
        <f t="shared" ca="1" si="4"/>
        <v>1</v>
      </c>
      <c r="F60" s="11">
        <f t="shared" ca="1" si="6"/>
        <v>279</v>
      </c>
      <c r="J60" s="4"/>
      <c r="K60" s="3"/>
      <c r="M60" s="16">
        <v>44146</v>
      </c>
      <c r="N60">
        <v>18825</v>
      </c>
      <c r="O60">
        <v>279</v>
      </c>
      <c r="P60" s="16">
        <v>44146</v>
      </c>
      <c r="Q60">
        <v>18825</v>
      </c>
      <c r="R60">
        <v>279</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c r="CY60">
        <v>44138</v>
      </c>
      <c r="CZ60">
        <v>17139</v>
      </c>
      <c r="DA60">
        <v>223</v>
      </c>
      <c r="DB60">
        <v>44139</v>
      </c>
      <c r="DC60">
        <v>17359</v>
      </c>
      <c r="DD60">
        <v>200</v>
      </c>
      <c r="DE60">
        <v>44140</v>
      </c>
      <c r="DF60">
        <v>17561</v>
      </c>
      <c r="DG60">
        <v>199</v>
      </c>
      <c r="DH60">
        <v>44141</v>
      </c>
      <c r="DI60">
        <v>17777</v>
      </c>
      <c r="DJ60">
        <v>191</v>
      </c>
      <c r="DK60">
        <v>44142</v>
      </c>
      <c r="DL60">
        <v>17914</v>
      </c>
      <c r="DM60">
        <v>127</v>
      </c>
      <c r="DN60">
        <v>44143</v>
      </c>
      <c r="DO60">
        <v>18049</v>
      </c>
      <c r="DP60">
        <v>133</v>
      </c>
      <c r="DQ60">
        <v>44144</v>
      </c>
      <c r="DR60">
        <v>18331</v>
      </c>
      <c r="DS60">
        <v>276</v>
      </c>
      <c r="DT60">
        <v>44145</v>
      </c>
      <c r="DU60">
        <v>18544</v>
      </c>
      <c r="DV60">
        <v>207</v>
      </c>
      <c r="DW60">
        <v>44146</v>
      </c>
      <c r="DX60">
        <v>18825</v>
      </c>
      <c r="DY60">
        <v>279</v>
      </c>
    </row>
    <row r="61" spans="1:129">
      <c r="A61" t="str">
        <f t="shared" ref="A61:A64" ca="1" si="21">IF(WEEKDAY(B61,2)=1,"Ma","")</f>
        <v/>
      </c>
      <c r="B61" s="4">
        <f t="shared" ca="1" si="2"/>
        <v>44147</v>
      </c>
      <c r="C61" s="11">
        <f t="shared" ca="1" si="0"/>
        <v>19057</v>
      </c>
      <c r="D61">
        <f t="shared" ca="1" si="20"/>
        <v>230</v>
      </c>
      <c r="E61" s="11">
        <f t="shared" ca="1" si="4"/>
        <v>4</v>
      </c>
      <c r="F61" s="11">
        <f t="shared" ca="1" si="6"/>
        <v>226</v>
      </c>
      <c r="J61" s="4"/>
      <c r="K61" s="3"/>
      <c r="M61" s="16">
        <v>44147</v>
      </c>
      <c r="N61">
        <v>19051</v>
      </c>
      <c r="O61">
        <v>226</v>
      </c>
      <c r="P61" s="16">
        <v>44147</v>
      </c>
      <c r="Q61">
        <v>19051</v>
      </c>
      <c r="R61">
        <v>226</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c r="CY61">
        <v>44139</v>
      </c>
      <c r="CZ61">
        <v>17315</v>
      </c>
      <c r="DA61">
        <v>176</v>
      </c>
      <c r="DB61">
        <v>44140</v>
      </c>
      <c r="DC61">
        <v>17557</v>
      </c>
      <c r="DD61">
        <v>198</v>
      </c>
      <c r="DE61">
        <v>44141</v>
      </c>
      <c r="DF61">
        <v>17733</v>
      </c>
      <c r="DG61">
        <v>172</v>
      </c>
      <c r="DH61">
        <v>44142</v>
      </c>
      <c r="DI61">
        <v>17902</v>
      </c>
      <c r="DJ61">
        <v>125</v>
      </c>
      <c r="DK61">
        <v>44143</v>
      </c>
      <c r="DL61">
        <v>18047</v>
      </c>
      <c r="DM61">
        <v>133</v>
      </c>
      <c r="DN61">
        <v>44144</v>
      </c>
      <c r="DO61">
        <v>18313</v>
      </c>
      <c r="DP61">
        <v>264</v>
      </c>
      <c r="DQ61">
        <v>44145</v>
      </c>
      <c r="DR61">
        <v>18515</v>
      </c>
      <c r="DS61">
        <v>184</v>
      </c>
      <c r="DT61">
        <v>44146</v>
      </c>
      <c r="DU61">
        <v>18823</v>
      </c>
      <c r="DV61">
        <v>279</v>
      </c>
      <c r="DW61">
        <v>44147</v>
      </c>
      <c r="DX61">
        <v>19051</v>
      </c>
      <c r="DY61">
        <v>226</v>
      </c>
    </row>
    <row r="62" spans="1:129">
      <c r="A62" t="str">
        <f t="shared" ca="1" si="21"/>
        <v/>
      </c>
      <c r="B62" s="4">
        <f t="shared" ca="1" si="2"/>
        <v>44148</v>
      </c>
      <c r="C62" s="11">
        <f t="shared" ca="1" si="0"/>
        <v>19264</v>
      </c>
      <c r="D62">
        <f t="shared" ca="1" si="20"/>
        <v>207</v>
      </c>
      <c r="E62" s="11">
        <f t="shared" ca="1" si="4"/>
        <v>6</v>
      </c>
      <c r="F62" s="11">
        <f t="shared" ca="1" si="6"/>
        <v>201</v>
      </c>
      <c r="J62" s="4"/>
      <c r="K62" s="3"/>
      <c r="M62" s="16">
        <v>44148</v>
      </c>
      <c r="N62">
        <v>19252</v>
      </c>
      <c r="O62">
        <v>201</v>
      </c>
      <c r="P62" s="16">
        <v>44148</v>
      </c>
      <c r="Q62">
        <v>19252</v>
      </c>
      <c r="R62">
        <v>201</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c r="CY62">
        <v>44140</v>
      </c>
      <c r="CZ62">
        <v>17385</v>
      </c>
      <c r="DA62">
        <v>70</v>
      </c>
      <c r="DB62">
        <v>44141</v>
      </c>
      <c r="DC62">
        <v>17721</v>
      </c>
      <c r="DD62">
        <v>164</v>
      </c>
      <c r="DE62">
        <v>44142</v>
      </c>
      <c r="DF62">
        <v>17846</v>
      </c>
      <c r="DG62">
        <v>113</v>
      </c>
      <c r="DH62">
        <v>44143</v>
      </c>
      <c r="DI62">
        <v>18023</v>
      </c>
      <c r="DJ62">
        <v>121</v>
      </c>
      <c r="DK62">
        <v>44144</v>
      </c>
      <c r="DL62">
        <v>18285</v>
      </c>
      <c r="DM62">
        <v>238</v>
      </c>
      <c r="DN62">
        <v>44145</v>
      </c>
      <c r="DO62">
        <v>18477</v>
      </c>
      <c r="DP62">
        <v>164</v>
      </c>
      <c r="DQ62">
        <v>44146</v>
      </c>
      <c r="DR62">
        <v>18770</v>
      </c>
      <c r="DS62">
        <v>255</v>
      </c>
      <c r="DT62">
        <v>44147</v>
      </c>
      <c r="DU62">
        <v>19032</v>
      </c>
      <c r="DV62">
        <v>209</v>
      </c>
      <c r="DW62">
        <v>44148</v>
      </c>
      <c r="DX62">
        <v>19252</v>
      </c>
      <c r="DY62">
        <v>201</v>
      </c>
    </row>
    <row r="63" spans="1:129">
      <c r="A63" t="str">
        <f t="shared" ca="1" si="21"/>
        <v/>
      </c>
      <c r="B63" s="4">
        <f ca="1">B64-1</f>
        <v>44149</v>
      </c>
      <c r="C63" s="11">
        <f t="shared" ca="1" si="0"/>
        <v>19363</v>
      </c>
      <c r="D63">
        <f t="shared" ca="1" si="20"/>
        <v>99</v>
      </c>
      <c r="E63" s="11">
        <f t="shared" ca="1" si="4"/>
        <v>36</v>
      </c>
      <c r="F63" s="11">
        <f t="shared" ca="1" si="6"/>
        <v>63</v>
      </c>
      <c r="J63" s="4"/>
      <c r="K63" s="3"/>
      <c r="M63" s="16">
        <v>44149</v>
      </c>
      <c r="N63">
        <v>19315</v>
      </c>
      <c r="O63">
        <v>63</v>
      </c>
      <c r="P63" s="16">
        <v>44149</v>
      </c>
      <c r="Q63">
        <v>19315</v>
      </c>
      <c r="R63">
        <v>63</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c r="CY63">
        <v>44141</v>
      </c>
      <c r="CZ63">
        <v>17385</v>
      </c>
      <c r="DA63">
        <v>0</v>
      </c>
      <c r="DB63">
        <v>44142</v>
      </c>
      <c r="DC63">
        <v>17797</v>
      </c>
      <c r="DD63">
        <v>76</v>
      </c>
      <c r="DE63">
        <v>44143</v>
      </c>
      <c r="DF63">
        <v>17887</v>
      </c>
      <c r="DG63">
        <v>41</v>
      </c>
      <c r="DH63">
        <v>44144</v>
      </c>
      <c r="DI63">
        <v>18107</v>
      </c>
      <c r="DJ63">
        <v>84</v>
      </c>
      <c r="DK63">
        <v>44145</v>
      </c>
      <c r="DL63">
        <v>18345</v>
      </c>
      <c r="DM63">
        <v>60</v>
      </c>
      <c r="DN63">
        <v>44146</v>
      </c>
      <c r="DO63">
        <v>18542</v>
      </c>
      <c r="DP63">
        <v>65</v>
      </c>
      <c r="DQ63">
        <v>44147</v>
      </c>
      <c r="DR63">
        <v>18858</v>
      </c>
      <c r="DS63">
        <v>88</v>
      </c>
      <c r="DT63">
        <v>44148</v>
      </c>
      <c r="DU63">
        <v>19102</v>
      </c>
      <c r="DV63">
        <v>70</v>
      </c>
      <c r="DW63">
        <v>44149</v>
      </c>
      <c r="DX63">
        <v>19315</v>
      </c>
      <c r="DY63">
        <v>63</v>
      </c>
    </row>
    <row r="64" spans="1:129" s="10" customFormat="1">
      <c r="A64" t="str">
        <f t="shared" ca="1" si="21"/>
        <v/>
      </c>
      <c r="B64" s="9">
        <f ca="1">B65-1</f>
        <v>44150</v>
      </c>
      <c r="C64" s="10">
        <f t="shared" ca="1" si="0"/>
        <v>19419</v>
      </c>
      <c r="D64" s="10">
        <f ca="1">C64-C63</f>
        <v>56</v>
      </c>
      <c r="E64" s="10">
        <f t="shared" ca="1" si="4"/>
        <v>56</v>
      </c>
      <c r="F64" s="10">
        <f t="shared" ca="1" si="6"/>
        <v>0</v>
      </c>
      <c r="J64" s="9"/>
      <c r="K64" s="14"/>
      <c r="M64" s="17">
        <v>44150</v>
      </c>
      <c r="N64" s="10">
        <v>19315</v>
      </c>
      <c r="O64" s="10">
        <v>0</v>
      </c>
      <c r="P64" s="17">
        <v>44150</v>
      </c>
      <c r="Q64" s="10">
        <v>19315</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c r="CY64" s="10">
        <v>44142</v>
      </c>
      <c r="CZ64" s="10">
        <v>17385</v>
      </c>
      <c r="DA64" s="10">
        <v>0</v>
      </c>
      <c r="DB64" s="10">
        <v>44143</v>
      </c>
      <c r="DC64" s="10">
        <v>17797</v>
      </c>
      <c r="DD64" s="10">
        <v>0</v>
      </c>
      <c r="DE64" s="10">
        <v>44144</v>
      </c>
      <c r="DF64" s="10">
        <v>17887</v>
      </c>
      <c r="DG64" s="10">
        <v>0</v>
      </c>
      <c r="DH64" s="10">
        <v>44145</v>
      </c>
      <c r="DI64" s="10">
        <v>18107</v>
      </c>
      <c r="DJ64" s="10">
        <v>0</v>
      </c>
      <c r="DK64" s="10">
        <v>44146</v>
      </c>
      <c r="DL64" s="10">
        <v>18345</v>
      </c>
      <c r="DM64" s="10">
        <v>0</v>
      </c>
      <c r="DN64" s="10">
        <v>44147</v>
      </c>
      <c r="DO64" s="10">
        <v>18542</v>
      </c>
      <c r="DP64" s="10">
        <v>0</v>
      </c>
      <c r="DQ64" s="10">
        <v>44148</v>
      </c>
      <c r="DR64" s="10">
        <v>18858</v>
      </c>
      <c r="DS64" s="10">
        <v>0</v>
      </c>
      <c r="DT64" s="10">
        <v>44149</v>
      </c>
      <c r="DU64" s="10">
        <v>19102</v>
      </c>
      <c r="DV64" s="10">
        <v>0</v>
      </c>
      <c r="DW64" s="10">
        <v>44150</v>
      </c>
      <c r="DX64" s="10">
        <v>19315</v>
      </c>
      <c r="DY64" s="10">
        <v>0</v>
      </c>
    </row>
    <row r="65" spans="1:129">
      <c r="A65" t="str">
        <f ca="1">IF(WEEKDAY(B65,2)=1,"Ma","")</f>
        <v>Ma</v>
      </c>
      <c r="B65" s="12">
        <f ca="1">FLOOR(NOW(),1)</f>
        <v>44151</v>
      </c>
      <c r="C65" s="11">
        <f t="shared" ca="1" si="0"/>
        <v>19419</v>
      </c>
      <c r="D65" s="11">
        <f ca="1">C65-C64</f>
        <v>0</v>
      </c>
      <c r="E65" s="11">
        <f ca="1">_xlfn.IFNA(D65-F65,"")</f>
        <v>0</v>
      </c>
      <c r="F65" s="11">
        <f t="shared" ca="1" si="6"/>
        <v>0</v>
      </c>
      <c r="K65" t="s">
        <v>309</v>
      </c>
      <c r="L65">
        <f ca="1">C65-N65</f>
        <v>104</v>
      </c>
      <c r="M65" s="16">
        <v>44151</v>
      </c>
      <c r="N65">
        <v>19315</v>
      </c>
      <c r="O65">
        <v>0</v>
      </c>
      <c r="P65" s="16">
        <v>44151</v>
      </c>
      <c r="Q65">
        <v>19315</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c r="CY65">
        <v>44143</v>
      </c>
      <c r="CZ65">
        <v>17385</v>
      </c>
      <c r="DA65">
        <v>0</v>
      </c>
      <c r="DB65">
        <v>44144</v>
      </c>
      <c r="DC65">
        <v>17797</v>
      </c>
      <c r="DD65">
        <v>0</v>
      </c>
      <c r="DE65">
        <v>44145</v>
      </c>
      <c r="DF65">
        <v>17887</v>
      </c>
      <c r="DG65">
        <v>0</v>
      </c>
      <c r="DH65">
        <v>44146</v>
      </c>
      <c r="DI65">
        <v>18107</v>
      </c>
      <c r="DJ65">
        <v>0</v>
      </c>
      <c r="DK65">
        <v>44147</v>
      </c>
      <c r="DL65">
        <v>18345</v>
      </c>
      <c r="DM65">
        <v>0</v>
      </c>
      <c r="DN65">
        <v>44148</v>
      </c>
      <c r="DO65">
        <v>18542</v>
      </c>
      <c r="DP65">
        <v>0</v>
      </c>
      <c r="DQ65">
        <v>44149</v>
      </c>
      <c r="DR65">
        <v>18858</v>
      </c>
      <c r="DS65">
        <v>0</v>
      </c>
      <c r="DT65">
        <v>44150</v>
      </c>
      <c r="DU65">
        <v>19102</v>
      </c>
      <c r="DV65">
        <v>0</v>
      </c>
      <c r="DW65">
        <v>44151</v>
      </c>
      <c r="DX65">
        <v>19315</v>
      </c>
      <c r="DY65">
        <v>0</v>
      </c>
    </row>
    <row r="67" spans="1:129">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2020-11-16T09:56:04Z</dcterms:modified>
</cp:coreProperties>
</file>