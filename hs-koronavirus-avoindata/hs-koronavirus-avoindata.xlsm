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88189" documentId="14_{2DA7F42E-7C56-4F6D-8CBD-7666B251DC9A}" xr6:coauthVersionLast="46" xr6:coauthVersionMax="46" xr10:uidLastSave="{ED98D048-7F0C-435B-B5B4-16D4F61037A2}"/>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B37" i="2" l="1"/>
  <c r="UB36" i="2"/>
  <c r="TY37" i="2"/>
  <c r="TY36" i="2"/>
  <c r="TV37" i="2"/>
  <c r="TV36" i="2"/>
  <c r="TS37" i="2"/>
  <c r="TS36" i="2"/>
  <c r="TP37" i="2"/>
  <c r="TP36" i="2"/>
  <c r="TM37" i="2"/>
  <c r="TM36" i="2"/>
  <c r="TJ37" i="2"/>
  <c r="TJ36" i="2"/>
  <c r="TG37" i="2"/>
  <c r="TG36"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I679" i="7" l="1"/>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<sst xmlns="http://schemas.openxmlformats.org/spreadsheetml/2006/main" count="2569" uniqueCount="538">
  <si>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</si>
  <si>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</si>
  <si>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</si>
  <si>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</si>
  <si>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</si>
  <si>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</si>
  <si>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</si>
  <si>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</si>
  <si>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</si>
  <si>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</si>
  <si>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</si>
  <si>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</si>
  <si>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</si>
  <si>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</si>
  <si>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</si>
  <si>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</si>
  <si>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</si>
  <si>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</si>
  <si>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</si>
  <si>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</si>
  <si>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</si>
  <si>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</si>
  <si>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</si>
  <si>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</si>
  <si>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</si>
  <si>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</si>
  <si>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</si>
  <si>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</si>
  <si>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</si>
  <si>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</si>
  <si>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</si>
  <si>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</si>
  <si>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</si>
  <si>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</si>
  <si>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</si>
  <si>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</si>
  <si>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</si>
  <si>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</si>
  <si>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</si>
  <si>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</si>
  <si>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</si>
  <si>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</si>
  <si>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</si>
  <si>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</si>
  <si>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</si>
  <si>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</si>
  <si>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</si>
  <si>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</si>
  <si>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</si>
  <si>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</si>
  <si>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</si>
  <si>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</si>
  <si>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</si>
  <si>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</si>
  <si>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</si>
  <si>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</si>
  <si>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</si>
  <si>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</si>
  <si>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</si>
  <si>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</si>
  <si>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</si>
  <si>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</si>
  <si>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</si>
  <si>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</si>
  <si>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</si>
  <si>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</si>
  <si>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</si>
  <si>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</si>
  <si>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</si>
  <si>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</si>
  <si>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</si>
  <si>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</si>
  <si>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</si>
  <si>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</si>
  <si>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</si>
  <si>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</si>
  <si>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</si>
  <si>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</si>
  <si>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</si>
  <si>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</si>
  <si>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</si>
  <si>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</si>
  <si>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</si>
  <si>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</si>
  <si>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</si>
  <si>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</si>
  <si>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</si>
  <si>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</si>
  <si>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</si>
  <si>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</si>
  <si>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</si>
  <si>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</si>
  <si>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</si>
  <si>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</si>
  <si>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</si>
  <si>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</si>
  <si>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</si>
  <si>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</si>
  <si>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</si>
  <si>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</si>
  <si>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</si>
  <si>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</si>
  <si>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</si>
  <si>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</si>
  <si>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</si>
  <si>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</si>
  <si>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</si>
  <si>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</si>
  <si>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</si>
  <si>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</si>
  <si>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</si>
  <si>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</si>
  <si>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</si>
  <si>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</si>
  <si>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</si>
  <si>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</si>
  <si>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</si>
  <si>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</si>
  <si>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</si>
  <si>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</si>
  <si>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</si>
  <si>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</si>
  <si>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</si>
  <si>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</si>
  <si>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</si>
  <si>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</si>
  <si>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</si>
  <si>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</si>
  <si>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</si>
  <si>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</si>
  <si>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</si>
  <si>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</si>
  <si>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</si>
  <si>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</si>
  <si>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</si>
  <si>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</si>
  <si>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</si>
  <si>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</si>
  <si>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</si>
  <si>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</si>
  <si>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</si>
  <si>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</si>
  <si>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</si>
  <si>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</si>
  <si>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</si>
  <si>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</si>
  <si>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</si>
  <si>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</si>
  <si>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</si>
  <si>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</si>
  <si>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</si>
  <si>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</si>
  <si>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</si>
  <si>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</si>
  <si>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</si>
  <si>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</si>
  <si>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</si>
  <si>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</si>
  <si>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</si>
  <si>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</si>
  <si>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</si>
  <si>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</si>
  <si>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</si>
  <si>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</si>
  <si>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</si>
  <si>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</si>
  <si>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</si>
  <si>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</si>
  <si>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</si>
  <si>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</si>
  <si>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</si>
  <si>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</si>
  <si>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</si>
  <si>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</si>
  <si>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</si>
  <si>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</si>
  <si>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</si>
  <si>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</si>
  <si>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</si>
  <si>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</si>
  <si>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</si>
  <si>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</si>
  <si>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</si>
  <si>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</si>
  <si>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</si>
  <si>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</si>
  <si>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</si>
  <si>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</si>
  <si>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</si>
  <si>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</si>
  <si>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</si>
  <si>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</si>
  <si>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</si>
  <si>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</si>
  <si>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</si>
  <si>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</si>
  <si>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</si>
  <si>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</si>
  <si>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</si>
  <si>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</si>
  <si>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</si>
  <si>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</si>
  <si>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</si>
  <si>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</si>
  <si>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</si>
  <si>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</si>
  <si>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</si>
  <si>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</si>
  <si>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</si>
  <si>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</si>
  <si>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</si>
  <si>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</si>
  <si>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</si>
  <si>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</si>
  <si>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</si>
  <si>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</si>
  <si>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</si>
  <si>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</si>
  <si>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</si>
  <si>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</si>
  <si>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</si>
  <si>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</si>
  <si>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</si>
  <si>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</si>
  <si>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</si>
  <si>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</si>
  <si>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</si>
  <si>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</si>
  <si>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</si>
  <si>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</si>
  <si>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</si>
  <si>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</si>
  <si>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</si>
  <si>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</si>
  <si>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</si>
  <si>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</si>
  <si>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</si>
  <si>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</si>
  <si>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</si>
  <si>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</si>
  <si>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</si>
  <si>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</si>
  <si>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</si>
  <si>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</si>
  <si>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</si>
  <si>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</si>
  <si>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</si>
  <si>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</si>
  <si>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</si>
  <si>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</si>
  <si>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</si>
  <si>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</si>
  <si>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</si>
  <si>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</si>
  <si>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</si>
  <si>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</si>
  <si>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</si>
  <si>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</si>
  <si>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</si>
  <si>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</si>
  <si>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</si>
  <si>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</si>
  <si>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</si>
  <si>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</si>
  <si>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</si>
  <si>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</si>
  <si>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</si>
  <si>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</si>
  <si>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</si>
  <si>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</si>
  <si>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</si>
  <si>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</si>
  <si>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</si>
  <si>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</si>
  <si>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</si>
  <si>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</si>
  <si>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</si>
  <si>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</si>
  <si>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</si>
  <si>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</si>
  <si>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</si>
  <si>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</si>
  <si>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</si>
  <si>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</si>
  <si>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</si>
  <si>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</si>
  <si>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</si>
  <si>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</si>
  <si>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</si>
  <si>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</si>
  <si>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</si>
  <si>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</si>
  <si>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</si>
  <si>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</si>
  <si>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</si>
  <si>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</si>
  <si>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</si>
  <si>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</si>
  <si>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</si>
  <si>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</si>
  <si>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</si>
  <si>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</si>
  <si>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</si>
  <si>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</si>
  <si>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</si>
  <si>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</si>
  <si>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</si>
  <si>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</si>
  <si>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</si>
  <si>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</si>
  <si>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</si>
  <si>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</si>
  <si>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</si>
  <si>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</si>
  <si>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</si>
  <si>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</si>
  <si>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</si>
  <si>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</si>
  <si>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</si>
  <si>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</si>
  <si>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</si>
  <si>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</si>
  <si>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</si>
  <si>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</si>
  <si>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</si>
  <si>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</si>
  <si>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</si>
  <si>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</si>
  <si>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</si>
  <si>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</si>
  <si>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</si>
  <si>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</si>
  <si>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</si>
  <si>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</si>
  <si>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</si>
  <si>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</si>
  <si>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</si>
  <si>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</si>
  <si>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</si>
  <si>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</si>
  <si>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</si>
  <si>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</si>
  <si>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</si>
  <si>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</si>
  <si>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</si>
  <si>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</si>
  <si>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</si>
  <si>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</si>
  <si>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</si>
  <si>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</si>
  <si>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</si>
  <si>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</si>
  <si>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</si>
  <si>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</si>
  <si>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</si>
  <si>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</si>
  <si>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</si>
  <si>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</si>
  <si>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</si>
  <si>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</si>
  <si>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</si>
  <si>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</si>
  <si>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</si>
  <si>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</si>
  <si>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</si>
  <si>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</si>
  <si>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</si>
  <si>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</si>
  <si>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</si>
  <si>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</si>
  <si>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</si>
  <si>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</si>
  <si>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</si>
  <si>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</si>
  <si>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</si>
  <si>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</si>
  <si>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</si>
  <si>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</si>
  <si>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</si>
  <si>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</si>
  <si>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</si>
  <si>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</si>
  <si>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</si>
  <si>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</si>
  <si>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</si>
  <si>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</si>
  <si>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</si>
  <si>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</si>
  <si>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</si>
  <si>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</si>
  <si>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</si>
  <si>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</si>
  <si>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</si>
  <si>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</si>
  <si>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</si>
  <si>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</si>
  <si>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</si>
  <si>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</si>
  <si>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</si>
  <si>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</si>
  <si>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</si>
  <si>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</si>
  <si>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</si>
  <si>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</si>
  <si>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</si>
  <si>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</si>
  <si>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</si>
  <si>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</si>
  <si>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</si>
  <si>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</si>
  <si>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</si>
  <si>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</si>
  <si>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</si>
  <si>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</si>
  <si>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</si>
  <si>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</si>
  <si>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</si>
  <si>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</si>
  <si>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</si>
  <si>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</si>
  <si>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</si>
  <si>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</si>
  <si>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</si>
  <si>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</si>
  <si>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</si>
  <si>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</si>
  <si>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</si>
  <si>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</si>
  <si>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</si>
  <si>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</si>
  <si>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</si>
  <si>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</si>
  <si>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</si>
  <si>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</si>
  <si>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</si>
  <si>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</si>
  <si>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</si>
  <si>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</si>
  <si>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</si>
  <si>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</si>
  <si>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</si>
  <si>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</si>
  <si>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</si>
  <si>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</si>
  <si>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</si>
  <si>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</si>
  <si>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</si>
  <si>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</si>
  <si>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</si>
  <si>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</si>
  <si>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</si>
  <si>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</si>
  <si>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</si>
  <si>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</si>
  <si>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</si>
  <si>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</si>
  <si>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</si>
  <si>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</si>
  <si>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</si>
  <si>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</si>
  <si>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</si>
  <si>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</si>
  <si>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</si>
  <si>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</si>
  <si>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</si>
  <si>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</si>
  <si>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</si>
  <si>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</si>
  <si>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</si>
  <si>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</si>
  <si>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</si>
  <si>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</si>
  <si>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</si>
  <si>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</si>
  <si>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</si>
  <si>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</si>
  <si>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</si>
  <si>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</si>
  <si>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</si>
  <si>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</si>
  <si>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</si>
  <si>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</si>
  <si>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</si>
  <si>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</si>
  <si>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</si>
  <si>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</si>
  <si>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</si>
  <si>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</si>
  <si>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</si>
  <si>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</si>
  <si>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</si>
  <si>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</si>
  <si>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</si>
  <si>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</si>
  <si>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</si>
  <si>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</si>
  <si>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</si>
  <si>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</si>
  <si>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</si>
  <si>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</si>
  <si>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</si>
  <si>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</si>
  <si>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</si>
  <si>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</si>
  <si>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</si>
  <si>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</si>
  <si>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</si>
  <si>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</si>
  <si>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</si>
  <si>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</si>
  <si>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</si>
  <si>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</si>
  <si>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</si>
  <si>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</si>
  <si>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</si>
  <si>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</si>
  <si>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</si>
  <si>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</si>
  <si>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</si>
  <si>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</si>
  <si>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</si>
  <si>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</si>
  <si>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</si>
  <si>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</si>
  <si>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 Ei toimi 64 bit Excel.</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</si>
  <si>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</si>
  <si>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</si>
  <si>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</si>
  <si>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</si>
  <si>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</si>
  <si>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</si>
  <si>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</si>
  <si>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</si>
  <si>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</si>
  <si>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</si>
  <si>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</si>
  <si>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</si>
  <si>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2021-05-04T08:42:39.419Z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</si>
</sst>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166</c:v>
                </c:pt>
                <c:pt idx="268">
                  <c:v>191</c:v>
                </c:pt>
                <c:pt idx="269">
                  <c:v>188</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151</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249</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435</c:v>
                </c:pt>
                <c:pt idx="357">
                  <c:v>307</c:v>
                </c:pt>
                <c:pt idx="358">
                  <c:v>256</c:v>
                </c:pt>
                <c:pt idx="359">
                  <c:v>253</c:v>
                </c:pt>
                <c:pt idx="360">
                  <c:v>129</c:v>
                </c:pt>
                <c:pt idx="361">
                  <c:v>206</c:v>
                </c:pt>
                <c:pt idx="362">
                  <c:v>169</c:v>
                </c:pt>
                <c:pt idx="363">
                  <c:v>398</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377</c:v>
                </c:pt>
                <c:pt idx="381">
                  <c:v>361</c:v>
                </c:pt>
                <c:pt idx="382">
                  <c:v>168</c:v>
                </c:pt>
                <c:pt idx="383">
                  <c:v>247</c:v>
                </c:pt>
                <c:pt idx="384">
                  <c:v>605</c:v>
                </c:pt>
                <c:pt idx="385">
                  <c:v>397</c:v>
                </c:pt>
                <c:pt idx="386">
                  <c:v>382</c:v>
                </c:pt>
                <c:pt idx="387">
                  <c:v>435</c:v>
                </c:pt>
                <c:pt idx="388">
                  <c:v>376</c:v>
                </c:pt>
                <c:pt idx="389">
                  <c:v>232</c:v>
                </c:pt>
                <c:pt idx="390">
                  <c:v>273</c:v>
                </c:pt>
                <c:pt idx="391">
                  <c:v>534</c:v>
                </c:pt>
                <c:pt idx="392">
                  <c:v>396</c:v>
                </c:pt>
                <c:pt idx="393">
                  <c:v>441</c:v>
                </c:pt>
                <c:pt idx="394">
                  <c:v>372</c:v>
                </c:pt>
                <c:pt idx="395">
                  <c:v>368</c:v>
                </c:pt>
                <c:pt idx="396">
                  <c:v>239</c:v>
                </c:pt>
                <c:pt idx="397">
                  <c:v>264</c:v>
                </c:pt>
                <c:pt idx="398">
                  <c:v>462</c:v>
                </c:pt>
                <c:pt idx="399">
                  <c:v>372</c:v>
                </c:pt>
                <c:pt idx="400">
                  <c:v>383</c:v>
                </c:pt>
                <c:pt idx="401">
                  <c:v>361</c:v>
                </c:pt>
                <c:pt idx="402">
                  <c:v>419</c:v>
                </c:pt>
                <c:pt idx="403">
                  <c:v>278</c:v>
                </c:pt>
                <c:pt idx="404">
                  <c:v>282</c:v>
                </c:pt>
                <c:pt idx="405">
                  <c:v>616</c:v>
                </c:pt>
                <c:pt idx="406">
                  <c:v>515</c:v>
                </c:pt>
                <c:pt idx="407">
                  <c:v>553</c:v>
                </c:pt>
                <c:pt idx="408">
                  <c:v>611</c:v>
                </c:pt>
                <c:pt idx="409">
                  <c:v>571</c:v>
                </c:pt>
                <c:pt idx="410">
                  <c:v>318</c:v>
                </c:pt>
                <c:pt idx="411">
                  <c:v>356</c:v>
                </c:pt>
                <c:pt idx="412">
                  <c:v>623</c:v>
                </c:pt>
                <c:pt idx="413">
                  <c:v>626</c:v>
                </c:pt>
                <c:pt idx="414">
                  <c:v>598</c:v>
                </c:pt>
                <c:pt idx="415">
                  <c:v>619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2.5233957219251337E-2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1.9524294072755025E-2</c:v>
                </c:pt>
                <c:pt idx="358">
                  <c:v>1.787459851975981E-2</c:v>
                </c:pt>
                <c:pt idx="359">
                  <c:v>2.1129113078336394E-2</c:v>
                </c:pt>
                <c:pt idx="360">
                  <c:v>1.88900278225216E-2</c:v>
                </c:pt>
                <c:pt idx="361">
                  <c:v>3.6242083040112595E-2</c:v>
                </c:pt>
                <c:pt idx="362">
                  <c:v>2.6020015396458814E-2</c:v>
                </c:pt>
                <c:pt idx="363">
                  <c:v>3.7276388498641941E-2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2.0154373927958835E-2</c:v>
                </c:pt>
                <c:pt idx="389">
                  <c:v>1.8759602167057493E-2</c:v>
                </c:pt>
                <c:pt idx="390">
                  <c:v>2.5796088065765849E-2</c:v>
                </c:pt>
                <c:pt idx="391">
                  <c:v>4.1695947528695244E-2</c:v>
                </c:pt>
                <c:pt idx="392">
                  <c:v>2.0205112505740089E-2</c:v>
                </c:pt>
                <c:pt idx="393">
                  <c:v>1.9340408736075784E-2</c:v>
                </c:pt>
                <c:pt idx="394">
                  <c:v>1.91980182690819E-2</c:v>
                </c:pt>
                <c:pt idx="395">
                  <c:v>2.0494542214301626E-2</c:v>
                </c:pt>
                <c:pt idx="396">
                  <c:v>1.6970815877298873E-2</c:v>
                </c:pt>
                <c:pt idx="397">
                  <c:v>2.9310536249583657E-2</c:v>
                </c:pt>
                <c:pt idx="398">
                  <c:v>3.3144414950857307E-2</c:v>
                </c:pt>
                <c:pt idx="399">
                  <c:v>1.7008046817849305E-2</c:v>
                </c:pt>
                <c:pt idx="400">
                  <c:v>1.8576001552041903E-2</c:v>
                </c:pt>
                <c:pt idx="401">
                  <c:v>1.9286248530825945E-2</c:v>
                </c:pt>
                <c:pt idx="402">
                  <c:v>2.2744544566279449E-2</c:v>
                </c:pt>
                <c:pt idx="403">
                  <c:v>2.1807342328208346E-2</c:v>
                </c:pt>
                <c:pt idx="404">
                  <c:v>2.9313929313929316E-2</c:v>
                </c:pt>
                <c:pt idx="405">
                  <c:v>4.2612064194798009E-2</c:v>
                </c:pt>
                <c:pt idx="406">
                  <c:v>2.3891259974021153E-2</c:v>
                </c:pt>
                <c:pt idx="407">
                  <c:v>2.7175782593739251E-2</c:v>
                </c:pt>
                <c:pt idx="408">
                  <c:v>2.8928554519198901E-2</c:v>
                </c:pt>
                <c:pt idx="409">
                  <c:v>2.9639242148974825E-2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30.4.2021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8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strCache>
            </c:strRef>
          </c:cat>
          <c:val>
            <c:numRef>
              <c:f>[0]!PlotY</c:f>
              <c:numCache>
                <c:formatCode>General</c:formatCode>
                <c:ptCount val="4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396</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619</c:v>
                </c:pt>
                <c:pt idx="422">
                  <c:v>689</c:v>
                </c:pt>
                <c:pt idx="423">
                  <c:v>401</c:v>
                </c:pt>
                <c:pt idx="424">
                  <c:v>420</c:v>
                </c:pt>
                <c:pt idx="425">
                  <c:v>871</c:v>
                </c:pt>
                <c:pt idx="426">
                  <c:v>759</c:v>
                </c:pt>
                <c:pt idx="427">
                  <c:v>732</c:v>
                </c:pt>
                <c:pt idx="428">
                  <c:v>640</c:v>
                </c:pt>
                <c:pt idx="429">
                  <c:v>630</c:v>
                </c:pt>
                <c:pt idx="430">
                  <c:v>431</c:v>
                </c:pt>
                <c:pt idx="431">
                  <c:v>396</c:v>
                </c:pt>
                <c:pt idx="432">
                  <c:v>834</c:v>
                </c:pt>
                <c:pt idx="433">
                  <c:v>774</c:v>
                </c:pt>
                <c:pt idx="434">
                  <c:v>822</c:v>
                </c:pt>
                <c:pt idx="435">
                  <c:v>779</c:v>
                </c:pt>
                <c:pt idx="436">
                  <c:v>808</c:v>
                </c:pt>
                <c:pt idx="437">
                  <c:v>491</c:v>
                </c:pt>
                <c:pt idx="438">
                  <c:v>433</c:v>
                </c:pt>
                <c:pt idx="439">
                  <c:v>892</c:v>
                </c:pt>
                <c:pt idx="440">
                  <c:v>763</c:v>
                </c:pt>
                <c:pt idx="441">
                  <c:v>743</c:v>
                </c:pt>
                <c:pt idx="442">
                  <c:v>736</c:v>
                </c:pt>
                <c:pt idx="443">
                  <c:v>744</c:v>
                </c:pt>
                <c:pt idx="444">
                  <c:v>404</c:v>
                </c:pt>
                <c:pt idx="445">
                  <c:v>417</c:v>
                </c:pt>
                <c:pt idx="446">
                  <c:v>768</c:v>
                </c:pt>
                <c:pt idx="447">
                  <c:v>703</c:v>
                </c:pt>
                <c:pt idx="448">
                  <c:v>694</c:v>
                </c:pt>
                <c:pt idx="449">
                  <c:v>607</c:v>
                </c:pt>
                <c:pt idx="450">
                  <c:v>688</c:v>
                </c:pt>
                <c:pt idx="451">
                  <c:v>351</c:v>
                </c:pt>
                <c:pt idx="452">
                  <c:v>370</c:v>
                </c:pt>
                <c:pt idx="453">
                  <c:v>653</c:v>
                </c:pt>
                <c:pt idx="454">
                  <c:v>570</c:v>
                </c:pt>
                <c:pt idx="455">
                  <c:v>550</c:v>
                </c:pt>
                <c:pt idx="456">
                  <c:v>487</c:v>
                </c:pt>
                <c:pt idx="457">
                  <c:v>361</c:v>
                </c:pt>
                <c:pt idx="458">
                  <c:v>319</c:v>
                </c:pt>
                <c:pt idx="459">
                  <c:v>320</c:v>
                </c:pt>
                <c:pt idx="460">
                  <c:v>359</c:v>
                </c:pt>
                <c:pt idx="461">
                  <c:v>544</c:v>
                </c:pt>
                <c:pt idx="462">
                  <c:v>425</c:v>
                </c:pt>
                <c:pt idx="463">
                  <c:v>403</c:v>
                </c:pt>
                <c:pt idx="464">
                  <c:v>348</c:v>
                </c:pt>
                <c:pt idx="465">
                  <c:v>225</c:v>
                </c:pt>
                <c:pt idx="466">
                  <c:v>238</c:v>
                </c:pt>
                <c:pt idx="467">
                  <c:v>396</c:v>
                </c:pt>
                <c:pt idx="468">
                  <c:v>325</c:v>
                </c:pt>
                <c:pt idx="469">
                  <c:v>345</c:v>
                </c:pt>
                <c:pt idx="470">
                  <c:v>275</c:v>
                </c:pt>
                <c:pt idx="471">
                  <c:v>264</c:v>
                </c:pt>
                <c:pt idx="472">
                  <c:v>170</c:v>
                </c:pt>
                <c:pt idx="473">
                  <c:v>155</c:v>
                </c:pt>
                <c:pt idx="474">
                  <c:v>284</c:v>
                </c:pt>
                <c:pt idx="475">
                  <c:v>285</c:v>
                </c:pt>
                <c:pt idx="476">
                  <c:v>240</c:v>
                </c:pt>
                <c:pt idx="477">
                  <c:v>260</c:v>
                </c:pt>
                <c:pt idx="478">
                  <c:v>257</c:v>
                </c:pt>
                <c:pt idx="479">
                  <c:v>153</c:v>
                </c:pt>
                <c:pt idx="480">
                  <c:v>142</c:v>
                </c:pt>
                <c:pt idx="481">
                  <c:v>241</c:v>
                </c:pt>
                <c:pt idx="482">
                  <c:v>229</c:v>
                </c:pt>
                <c:pt idx="483">
                  <c:v>275</c:v>
                </c:pt>
                <c:pt idx="484">
                  <c:v>184</c:v>
                </c:pt>
                <c:pt idx="485">
                  <c:v>183</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30.4.2021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8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strCache>
            </c:strRef>
          </c:cat>
          <c:val>
            <c:numRef>
              <c:f>HUS!PlotY</c:f>
              <c:numCache>
                <c:formatCode>General</c:formatCode>
                <c:ptCount val="4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120</c:v>
                </c:pt>
                <c:pt idx="301">
                  <c:v>121</c:v>
                </c:pt>
                <c:pt idx="302">
                  <c:v>102</c:v>
                </c:pt>
                <c:pt idx="303">
                  <c:v>123</c:v>
                </c:pt>
                <c:pt idx="304">
                  <c:v>72</c:v>
                </c:pt>
                <c:pt idx="305">
                  <c:v>93</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229</c:v>
                </c:pt>
                <c:pt idx="407">
                  <c:v>237</c:v>
                </c:pt>
                <c:pt idx="408">
                  <c:v>260</c:v>
                </c:pt>
                <c:pt idx="409">
                  <c:v>190</c:v>
                </c:pt>
                <c:pt idx="410">
                  <c:v>182</c:v>
                </c:pt>
                <c:pt idx="411">
                  <c:v>360</c:v>
                </c:pt>
                <c:pt idx="412">
                  <c:v>329</c:v>
                </c:pt>
                <c:pt idx="413">
                  <c:v>329</c:v>
                </c:pt>
                <c:pt idx="414">
                  <c:v>325</c:v>
                </c:pt>
                <c:pt idx="415">
                  <c:v>304</c:v>
                </c:pt>
                <c:pt idx="416">
                  <c:v>185</c:v>
                </c:pt>
                <c:pt idx="417">
                  <c:v>220</c:v>
                </c:pt>
                <c:pt idx="418">
                  <c:v>386</c:v>
                </c:pt>
                <c:pt idx="419">
                  <c:v>383</c:v>
                </c:pt>
                <c:pt idx="420">
                  <c:v>417</c:v>
                </c:pt>
                <c:pt idx="421">
                  <c:v>354</c:v>
                </c:pt>
                <c:pt idx="422">
                  <c:v>430</c:v>
                </c:pt>
                <c:pt idx="423">
                  <c:v>266</c:v>
                </c:pt>
                <c:pt idx="424">
                  <c:v>265</c:v>
                </c:pt>
                <c:pt idx="425">
                  <c:v>481</c:v>
                </c:pt>
                <c:pt idx="426">
                  <c:v>492</c:v>
                </c:pt>
                <c:pt idx="427">
                  <c:v>475</c:v>
                </c:pt>
                <c:pt idx="428">
                  <c:v>389</c:v>
                </c:pt>
                <c:pt idx="429">
                  <c:v>420</c:v>
                </c:pt>
                <c:pt idx="430">
                  <c:v>275</c:v>
                </c:pt>
                <c:pt idx="431">
                  <c:v>255</c:v>
                </c:pt>
                <c:pt idx="432">
                  <c:v>502</c:v>
                </c:pt>
                <c:pt idx="433">
                  <c:v>507</c:v>
                </c:pt>
                <c:pt idx="434">
                  <c:v>504</c:v>
                </c:pt>
                <c:pt idx="435">
                  <c:v>477</c:v>
                </c:pt>
                <c:pt idx="436">
                  <c:v>517</c:v>
                </c:pt>
                <c:pt idx="437">
                  <c:v>327</c:v>
                </c:pt>
                <c:pt idx="438">
                  <c:v>261</c:v>
                </c:pt>
                <c:pt idx="439">
                  <c:v>508</c:v>
                </c:pt>
                <c:pt idx="440">
                  <c:v>452</c:v>
                </c:pt>
                <c:pt idx="441">
                  <c:v>417</c:v>
                </c:pt>
                <c:pt idx="442">
                  <c:v>456</c:v>
                </c:pt>
                <c:pt idx="443">
                  <c:v>444</c:v>
                </c:pt>
                <c:pt idx="444">
                  <c:v>287</c:v>
                </c:pt>
                <c:pt idx="445">
                  <c:v>286</c:v>
                </c:pt>
                <c:pt idx="446">
                  <c:v>451</c:v>
                </c:pt>
                <c:pt idx="447">
                  <c:v>452</c:v>
                </c:pt>
                <c:pt idx="448">
                  <c:v>393</c:v>
                </c:pt>
                <c:pt idx="449">
                  <c:v>356</c:v>
                </c:pt>
                <c:pt idx="450">
                  <c:v>407</c:v>
                </c:pt>
                <c:pt idx="451">
                  <c:v>199</c:v>
                </c:pt>
                <c:pt idx="452">
                  <c:v>245</c:v>
                </c:pt>
                <c:pt idx="453">
                  <c:v>377</c:v>
                </c:pt>
                <c:pt idx="454">
                  <c:v>323</c:v>
                </c:pt>
                <c:pt idx="455">
                  <c:v>331</c:v>
                </c:pt>
                <c:pt idx="456">
                  <c:v>253</c:v>
                </c:pt>
                <c:pt idx="457">
                  <c:v>222</c:v>
                </c:pt>
                <c:pt idx="458">
                  <c:v>187</c:v>
                </c:pt>
                <c:pt idx="459">
                  <c:v>206</c:v>
                </c:pt>
                <c:pt idx="460">
                  <c:v>232</c:v>
                </c:pt>
                <c:pt idx="461">
                  <c:v>304</c:v>
                </c:pt>
                <c:pt idx="462">
                  <c:v>246</c:v>
                </c:pt>
                <c:pt idx="463">
                  <c:v>211</c:v>
                </c:pt>
                <c:pt idx="464">
                  <c:v>175</c:v>
                </c:pt>
                <c:pt idx="465">
                  <c:v>136</c:v>
                </c:pt>
                <c:pt idx="466">
                  <c:v>142</c:v>
                </c:pt>
                <c:pt idx="467">
                  <c:v>215</c:v>
                </c:pt>
                <c:pt idx="468">
                  <c:v>155</c:v>
                </c:pt>
                <c:pt idx="469">
                  <c:v>169</c:v>
                </c:pt>
                <c:pt idx="470">
                  <c:v>128</c:v>
                </c:pt>
                <c:pt idx="471">
                  <c:v>129</c:v>
                </c:pt>
                <c:pt idx="472">
                  <c:v>124</c:v>
                </c:pt>
                <c:pt idx="473">
                  <c:v>87</c:v>
                </c:pt>
                <c:pt idx="474">
                  <c:v>136</c:v>
                </c:pt>
                <c:pt idx="475">
                  <c:v>145</c:v>
                </c:pt>
                <c:pt idx="476">
                  <c:v>114</c:v>
                </c:pt>
                <c:pt idx="477">
                  <c:v>139</c:v>
                </c:pt>
                <c:pt idx="478">
                  <c:v>110</c:v>
                </c:pt>
                <c:pt idx="479">
                  <c:v>85</c:v>
                </c:pt>
                <c:pt idx="480">
                  <c:v>85</c:v>
                </c:pt>
                <c:pt idx="481">
                  <c:v>119</c:v>
                </c:pt>
                <c:pt idx="482">
                  <c:v>109</c:v>
                </c:pt>
                <c:pt idx="483">
                  <c:v>143</c:v>
                </c:pt>
                <c:pt idx="484">
                  <c:v>85</c:v>
                </c:pt>
                <c:pt idx="485">
                  <c:v>92</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0.68548387096774188</c:v>
                </c:pt>
                <c:pt idx="272">
                  <c:v>0.60447761194029848</c:v>
                </c:pt>
                <c:pt idx="273">
                  <c:v>0.56024096385542166</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0.50416666666666665</c:v>
                </c:pt>
                <c:pt idx="302">
                  <c:v>0.43037974683544306</c:v>
                </c:pt>
                <c:pt idx="303">
                  <c:v>0.55909090909090908</c:v>
                </c:pt>
                <c:pt idx="304">
                  <c:v>0.5950413223140496</c:v>
                </c:pt>
                <c:pt idx="305">
                  <c:v>0.61589403973509937</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0.59036144578313254</c:v>
                </c:pt>
                <c:pt idx="347">
                  <c:v>0.6123188405797102</c:v>
                </c:pt>
                <c:pt idx="348">
                  <c:v>0.5032397408207343</c:v>
                </c:pt>
                <c:pt idx="349">
                  <c:v>0.54317548746518107</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0.51264367816091949</c:v>
                </c:pt>
                <c:pt idx="363">
                  <c:v>0.53420195439739415</c:v>
                </c:pt>
                <c:pt idx="364">
                  <c:v>0.4296875</c:v>
                </c:pt>
                <c:pt idx="365">
                  <c:v>0.53359683794466406</c:v>
                </c:pt>
                <c:pt idx="366">
                  <c:v>0.51937984496124034</c:v>
                </c:pt>
                <c:pt idx="367">
                  <c:v>0.56796116504854366</c:v>
                </c:pt>
                <c:pt idx="368">
                  <c:v>0.55029585798816572</c:v>
                </c:pt>
                <c:pt idx="369">
                  <c:v>0.49497487437185927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0.47214854111405835</c:v>
                </c:pt>
                <c:pt idx="387">
                  <c:v>0.54293628808864269</c:v>
                </c:pt>
                <c:pt idx="388">
                  <c:v>0.5535714285714286</c:v>
                </c:pt>
                <c:pt idx="389">
                  <c:v>0.61943319838056676</c:v>
                </c:pt>
                <c:pt idx="390">
                  <c:v>0.42314049586776858</c:v>
                </c:pt>
                <c:pt idx="391">
                  <c:v>0.53400503778337527</c:v>
                </c:pt>
                <c:pt idx="392">
                  <c:v>0.49214659685863876</c:v>
                </c:pt>
                <c:pt idx="393">
                  <c:v>0.52643678160919538</c:v>
                </c:pt>
                <c:pt idx="394">
                  <c:v>0.50265957446808507</c:v>
                </c:pt>
                <c:pt idx="395">
                  <c:v>0.56896551724137934</c:v>
                </c:pt>
                <c:pt idx="396">
                  <c:v>0.60805860805860801</c:v>
                </c:pt>
                <c:pt idx="397">
                  <c:v>0.5561797752808989</c:v>
                </c:pt>
                <c:pt idx="398">
                  <c:v>0.63131313131313127</c:v>
                </c:pt>
                <c:pt idx="399">
                  <c:v>0.59637188208616776</c:v>
                </c:pt>
                <c:pt idx="400">
                  <c:v>0.60215053763440862</c:v>
                </c:pt>
                <c:pt idx="401">
                  <c:v>0.58967391304347827</c:v>
                </c:pt>
                <c:pt idx="402">
                  <c:v>0.64016736401673635</c:v>
                </c:pt>
                <c:pt idx="403">
                  <c:v>0.65530303030303028</c:v>
                </c:pt>
                <c:pt idx="404">
                  <c:v>0.64069264069264065</c:v>
                </c:pt>
                <c:pt idx="405">
                  <c:v>0.64516129032258063</c:v>
                </c:pt>
                <c:pt idx="406">
                  <c:v>0.59791122715404699</c:v>
                </c:pt>
                <c:pt idx="407">
                  <c:v>0.65650969529085867</c:v>
                </c:pt>
                <c:pt idx="408">
                  <c:v>0.62052505966587113</c:v>
                </c:pt>
                <c:pt idx="409">
                  <c:v>0.68345323741007191</c:v>
                </c:pt>
                <c:pt idx="410">
                  <c:v>0.64539007092198586</c:v>
                </c:pt>
                <c:pt idx="411">
                  <c:v>0.58441558441558439</c:v>
                </c:pt>
                <c:pt idx="412">
                  <c:v>0.63883495145631064</c:v>
                </c:pt>
                <c:pt idx="413">
                  <c:v>0.59493670886075944</c:v>
                </c:pt>
                <c:pt idx="414">
                  <c:v>0.53191489361702127</c:v>
                </c:pt>
                <c:pt idx="415">
                  <c:v>0.53239929947460596</c:v>
                </c:pt>
                <c:pt idx="416">
                  <c:v>0.58176100628930816</c:v>
                </c:pt>
                <c:pt idx="417">
                  <c:v>0.6179775280898876</c:v>
                </c:pt>
                <c:pt idx="418">
                  <c:v>0.61958266452648481</c:v>
                </c:pt>
                <c:pt idx="419">
                  <c:v>0.61182108626198084</c:v>
                </c:pt>
                <c:pt idx="420">
                  <c:v>0.69732441471571904</c:v>
                </c:pt>
                <c:pt idx="421">
                  <c:v>0.57189014539579963</c:v>
                </c:pt>
                <c:pt idx="422">
                  <c:v>0.62409288824383169</c:v>
                </c:pt>
                <c:pt idx="423">
                  <c:v>0.66334164588528677</c:v>
                </c:pt>
                <c:pt idx="424">
                  <c:v>0.63095238095238093</c:v>
                </c:pt>
                <c:pt idx="425">
                  <c:v>0.55223880597014929</c:v>
                </c:pt>
                <c:pt idx="426">
                  <c:v>0.64822134387351782</c:v>
                </c:pt>
                <c:pt idx="427">
                  <c:v>0.64890710382513661</c:v>
                </c:pt>
                <c:pt idx="428">
                  <c:v>0.60781249999999998</c:v>
                </c:pt>
                <c:pt idx="429">
                  <c:v>0.66666666666666663</c:v>
                </c:pt>
                <c:pt idx="430">
                  <c:v>0.63805104408352664</c:v>
                </c:pt>
                <c:pt idx="431">
                  <c:v>0.64393939393939392</c:v>
                </c:pt>
                <c:pt idx="432">
                  <c:v>0.60191846522781778</c:v>
                </c:pt>
                <c:pt idx="433">
                  <c:v>0.65503875968992253</c:v>
                </c:pt>
                <c:pt idx="434">
                  <c:v>0.61313868613138689</c:v>
                </c:pt>
                <c:pt idx="435">
                  <c:v>0.61232349165596922</c:v>
                </c:pt>
                <c:pt idx="436">
                  <c:v>0.63985148514851486</c:v>
                </c:pt>
                <c:pt idx="437">
                  <c:v>0.66598778004073322</c:v>
                </c:pt>
                <c:pt idx="438">
                  <c:v>0.60277136258660513</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120</c:v>
                </c:pt>
                <c:pt idx="301">
                  <c:v>121</c:v>
                </c:pt>
                <c:pt idx="302">
                  <c:v>102</c:v>
                </c:pt>
                <c:pt idx="303">
                  <c:v>123</c:v>
                </c:pt>
                <c:pt idx="304">
                  <c:v>72</c:v>
                </c:pt>
                <c:pt idx="305">
                  <c:v>93</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229</c:v>
                </c:pt>
                <c:pt idx="407">
                  <c:v>237</c:v>
                </c:pt>
                <c:pt idx="408">
                  <c:v>260</c:v>
                </c:pt>
                <c:pt idx="409">
                  <c:v>190</c:v>
                </c:pt>
                <c:pt idx="410">
                  <c:v>182</c:v>
                </c:pt>
                <c:pt idx="411">
                  <c:v>360</c:v>
                </c:pt>
                <c:pt idx="412">
                  <c:v>329</c:v>
                </c:pt>
                <c:pt idx="413">
                  <c:v>329</c:v>
                </c:pt>
                <c:pt idx="414">
                  <c:v>325</c:v>
                </c:pt>
                <c:pt idx="415">
                  <c:v>304</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396</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30.4.2021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8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strCache>
            </c:strRef>
          </c:cat>
          <c:val>
            <c:numRef>
              <c:f>[0]!PlotY</c:f>
              <c:numCache>
                <c:formatCode>General</c:formatCode>
                <c:ptCount val="4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396</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619</c:v>
                </c:pt>
                <c:pt idx="422">
                  <c:v>689</c:v>
                </c:pt>
                <c:pt idx="423">
                  <c:v>401</c:v>
                </c:pt>
                <c:pt idx="424">
                  <c:v>420</c:v>
                </c:pt>
                <c:pt idx="425">
                  <c:v>871</c:v>
                </c:pt>
                <c:pt idx="426">
                  <c:v>759</c:v>
                </c:pt>
                <c:pt idx="427">
                  <c:v>732</c:v>
                </c:pt>
                <c:pt idx="428">
                  <c:v>640</c:v>
                </c:pt>
                <c:pt idx="429">
                  <c:v>630</c:v>
                </c:pt>
                <c:pt idx="430">
                  <c:v>431</c:v>
                </c:pt>
                <c:pt idx="431">
                  <c:v>396</c:v>
                </c:pt>
                <c:pt idx="432">
                  <c:v>834</c:v>
                </c:pt>
                <c:pt idx="433">
                  <c:v>774</c:v>
                </c:pt>
                <c:pt idx="434">
                  <c:v>822</c:v>
                </c:pt>
                <c:pt idx="435">
                  <c:v>779</c:v>
                </c:pt>
                <c:pt idx="436">
                  <c:v>808</c:v>
                </c:pt>
                <c:pt idx="437">
                  <c:v>491</c:v>
                </c:pt>
                <c:pt idx="438">
                  <c:v>433</c:v>
                </c:pt>
                <c:pt idx="439">
                  <c:v>892</c:v>
                </c:pt>
                <c:pt idx="440">
                  <c:v>763</c:v>
                </c:pt>
                <c:pt idx="441">
                  <c:v>743</c:v>
                </c:pt>
                <c:pt idx="442">
                  <c:v>736</c:v>
                </c:pt>
                <c:pt idx="443">
                  <c:v>744</c:v>
                </c:pt>
                <c:pt idx="444">
                  <c:v>404</c:v>
                </c:pt>
                <c:pt idx="445">
                  <c:v>417</c:v>
                </c:pt>
                <c:pt idx="446">
                  <c:v>768</c:v>
                </c:pt>
                <c:pt idx="447">
                  <c:v>703</c:v>
                </c:pt>
                <c:pt idx="448">
                  <c:v>694</c:v>
                </c:pt>
                <c:pt idx="449">
                  <c:v>607</c:v>
                </c:pt>
                <c:pt idx="450">
                  <c:v>688</c:v>
                </c:pt>
                <c:pt idx="451">
                  <c:v>351</c:v>
                </c:pt>
                <c:pt idx="452">
                  <c:v>370</c:v>
                </c:pt>
                <c:pt idx="453">
                  <c:v>653</c:v>
                </c:pt>
                <c:pt idx="454">
                  <c:v>570</c:v>
                </c:pt>
                <c:pt idx="455">
                  <c:v>550</c:v>
                </c:pt>
                <c:pt idx="456">
                  <c:v>487</c:v>
                </c:pt>
                <c:pt idx="457">
                  <c:v>361</c:v>
                </c:pt>
                <c:pt idx="458">
                  <c:v>319</c:v>
                </c:pt>
                <c:pt idx="459">
                  <c:v>320</c:v>
                </c:pt>
                <c:pt idx="460">
                  <c:v>359</c:v>
                </c:pt>
                <c:pt idx="461">
                  <c:v>544</c:v>
                </c:pt>
                <c:pt idx="462">
                  <c:v>425</c:v>
                </c:pt>
                <c:pt idx="463">
                  <c:v>403</c:v>
                </c:pt>
                <c:pt idx="464">
                  <c:v>348</c:v>
                </c:pt>
                <c:pt idx="465">
                  <c:v>225</c:v>
                </c:pt>
                <c:pt idx="466">
                  <c:v>238</c:v>
                </c:pt>
                <c:pt idx="467">
                  <c:v>396</c:v>
                </c:pt>
                <c:pt idx="468">
                  <c:v>325</c:v>
                </c:pt>
                <c:pt idx="469">
                  <c:v>345</c:v>
                </c:pt>
                <c:pt idx="470">
                  <c:v>275</c:v>
                </c:pt>
                <c:pt idx="471">
                  <c:v>264</c:v>
                </c:pt>
                <c:pt idx="472">
                  <c:v>170</c:v>
                </c:pt>
                <c:pt idx="473">
                  <c:v>155</c:v>
                </c:pt>
                <c:pt idx="474">
                  <c:v>284</c:v>
                </c:pt>
                <c:pt idx="475">
                  <c:v>285</c:v>
                </c:pt>
                <c:pt idx="476">
                  <c:v>240</c:v>
                </c:pt>
                <c:pt idx="477">
                  <c:v>260</c:v>
                </c:pt>
                <c:pt idx="478">
                  <c:v>257</c:v>
                </c:pt>
                <c:pt idx="479">
                  <c:v>153</c:v>
                </c:pt>
                <c:pt idx="480">
                  <c:v>142</c:v>
                </c:pt>
                <c:pt idx="481">
                  <c:v>241</c:v>
                </c:pt>
                <c:pt idx="482">
                  <c:v>229</c:v>
                </c:pt>
                <c:pt idx="483">
                  <c:v>275</c:v>
                </c:pt>
                <c:pt idx="484">
                  <c:v>184</c:v>
                </c:pt>
                <c:pt idx="485">
                  <c:v>183</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231.68571428571428</c:v>
                </c:pt>
                <c:pt idx="1">
                  <c:v>199.91428571428571</c:v>
                </c:pt>
                <c:pt idx="2">
                  <c:v>201.81428571428572</c:v>
                </c:pt>
                <c:pt idx="3">
                  <c:v>192.68571428571428</c:v>
                </c:pt>
                <c:pt idx="4">
                  <c:v>185.4</c:v>
                </c:pt>
                <c:pt idx="5">
                  <c:v>115.97142857142858</c:v>
                </c:pt>
                <c:pt idx="6">
                  <c:v>122.94285714285714</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N=87529. Uusimmat 4.5.2021 lisäykset 184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6.4</c:v>
                </c:pt>
                <c:pt idx="1">
                  <c:v>7.4</c:v>
                </c:pt>
                <c:pt idx="2">
                  <c:v>8.4</c:v>
                </c:pt>
                <c:pt idx="3">
                  <c:v>9.4</c:v>
                </c:pt>
                <c:pt idx="4">
                  <c:v>10.4</c:v>
                </c:pt>
                <c:pt idx="5">
                  <c:v>11.4</c:v>
                </c:pt>
                <c:pt idx="6">
                  <c:v>Ma 12</c:v>
                </c:pt>
                <c:pt idx="7">
                  <c:v>13.4</c:v>
                </c:pt>
                <c:pt idx="8">
                  <c:v>14.4</c:v>
                </c:pt>
                <c:pt idx="9">
                  <c:v>15.4</c:v>
                </c:pt>
                <c:pt idx="10">
                  <c:v>16.4</c:v>
                </c:pt>
                <c:pt idx="11">
                  <c:v>17.4</c:v>
                </c:pt>
                <c:pt idx="12">
                  <c:v>18.4</c:v>
                </c:pt>
                <c:pt idx="13">
                  <c:v>Ma 19</c:v>
                </c:pt>
                <c:pt idx="14">
                  <c:v>20.4</c:v>
                </c:pt>
                <c:pt idx="15">
                  <c:v>21.4</c:v>
                </c:pt>
                <c:pt idx="16">
                  <c:v>22.4</c:v>
                </c:pt>
                <c:pt idx="17">
                  <c:v>23.4</c:v>
                </c:pt>
                <c:pt idx="18">
                  <c:v>24.4</c:v>
                </c:pt>
                <c:pt idx="19">
                  <c:v>25.4</c:v>
                </c:pt>
                <c:pt idx="20">
                  <c:v>Ma 26</c:v>
                </c:pt>
                <c:pt idx="21">
                  <c:v>27.4</c:v>
                </c:pt>
                <c:pt idx="22">
                  <c:v>28.4</c:v>
                </c:pt>
                <c:pt idx="23">
                  <c:v>29.4</c:v>
                </c:pt>
                <c:pt idx="24">
                  <c:v>30.4</c:v>
                </c:pt>
                <c:pt idx="25">
                  <c:v>1.5</c:v>
                </c:pt>
                <c:pt idx="26">
                  <c:v>2.5</c:v>
                </c:pt>
                <c:pt idx="27">
                  <c:v>Ma 3</c:v>
                </c:pt>
              </c:strCache>
            </c:strRef>
          </c:cat>
          <c:val>
            <c:numRef>
              <c:f>Lisäys!$E$7:$E$34</c:f>
              <c:numCache>
                <c:formatCode>General</c:formatCode>
                <c:ptCount val="28"/>
                <c:pt idx="0">
                  <c:v>544</c:v>
                </c:pt>
                <c:pt idx="1">
                  <c:v>425</c:v>
                </c:pt>
                <c:pt idx="2">
                  <c:v>403</c:v>
                </c:pt>
                <c:pt idx="3">
                  <c:v>348</c:v>
                </c:pt>
                <c:pt idx="4">
                  <c:v>225</c:v>
                </c:pt>
                <c:pt idx="5">
                  <c:v>238</c:v>
                </c:pt>
                <c:pt idx="6">
                  <c:v>396</c:v>
                </c:pt>
                <c:pt idx="7">
                  <c:v>325</c:v>
                </c:pt>
                <c:pt idx="8">
                  <c:v>345</c:v>
                </c:pt>
                <c:pt idx="9">
                  <c:v>275</c:v>
                </c:pt>
                <c:pt idx="10">
                  <c:v>264</c:v>
                </c:pt>
                <c:pt idx="11">
                  <c:v>170</c:v>
                </c:pt>
                <c:pt idx="12">
                  <c:v>155</c:v>
                </c:pt>
                <c:pt idx="13">
                  <c:v>284</c:v>
                </c:pt>
                <c:pt idx="14">
                  <c:v>285</c:v>
                </c:pt>
                <c:pt idx="15">
                  <c:v>240</c:v>
                </c:pt>
                <c:pt idx="16">
                  <c:v>260</c:v>
                </c:pt>
                <c:pt idx="17">
                  <c:v>257</c:v>
                </c:pt>
                <c:pt idx="18">
                  <c:v>153</c:v>
                </c:pt>
                <c:pt idx="19">
                  <c:v>142</c:v>
                </c:pt>
                <c:pt idx="20">
                  <c:v>241</c:v>
                </c:pt>
                <c:pt idx="21">
                  <c:v>229</c:v>
                </c:pt>
                <c:pt idx="22">
                  <c:v>275</c:v>
                </c:pt>
                <c:pt idx="23">
                  <c:v>184</c:v>
                </c:pt>
                <c:pt idx="24">
                  <c:v>183</c:v>
                </c:pt>
                <c:pt idx="25">
                  <c:v>96</c:v>
                </c:pt>
                <c:pt idx="26">
                  <c:v>102</c:v>
                </c:pt>
                <c:pt idx="27">
                  <c:v>108</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6.4</c:v>
                </c:pt>
                <c:pt idx="1">
                  <c:v>7.4</c:v>
                </c:pt>
                <c:pt idx="2">
                  <c:v>8.4</c:v>
                </c:pt>
                <c:pt idx="3">
                  <c:v>9.4</c:v>
                </c:pt>
                <c:pt idx="4">
                  <c:v>10.4</c:v>
                </c:pt>
                <c:pt idx="5">
                  <c:v>11.4</c:v>
                </c:pt>
                <c:pt idx="6">
                  <c:v>Ma 12</c:v>
                </c:pt>
                <c:pt idx="7">
                  <c:v>13.4</c:v>
                </c:pt>
                <c:pt idx="8">
                  <c:v>14.4</c:v>
                </c:pt>
                <c:pt idx="9">
                  <c:v>15.4</c:v>
                </c:pt>
                <c:pt idx="10">
                  <c:v>16.4</c:v>
                </c:pt>
                <c:pt idx="11">
                  <c:v>17.4</c:v>
                </c:pt>
                <c:pt idx="12">
                  <c:v>18.4</c:v>
                </c:pt>
                <c:pt idx="13">
                  <c:v>Ma 19</c:v>
                </c:pt>
                <c:pt idx="14">
                  <c:v>20.4</c:v>
                </c:pt>
                <c:pt idx="15">
                  <c:v>21.4</c:v>
                </c:pt>
                <c:pt idx="16">
                  <c:v>22.4</c:v>
                </c:pt>
                <c:pt idx="17">
                  <c:v>23.4</c:v>
                </c:pt>
                <c:pt idx="18">
                  <c:v>24.4</c:v>
                </c:pt>
                <c:pt idx="19">
                  <c:v>25.4</c:v>
                </c:pt>
                <c:pt idx="20">
                  <c:v>Ma 26</c:v>
                </c:pt>
                <c:pt idx="21">
                  <c:v>27.4</c:v>
                </c:pt>
                <c:pt idx="22">
                  <c:v>28.4</c:v>
                </c:pt>
                <c:pt idx="23">
                  <c:v>29.4</c:v>
                </c:pt>
                <c:pt idx="24">
                  <c:v>30.4</c:v>
                </c:pt>
                <c:pt idx="25">
                  <c:v>1.5</c:v>
                </c:pt>
                <c:pt idx="26">
                  <c:v>2.5</c:v>
                </c:pt>
                <c:pt idx="27">
                  <c:v>Ma 3</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1</c:v>
                </c:pt>
                <c:pt idx="12">
                  <c:v>0</c:v>
                </c:pt>
                <c:pt idx="13">
                  <c:v>0</c:v>
                </c:pt>
                <c:pt idx="14">
                  <c:v>0</c:v>
                </c:pt>
                <c:pt idx="15">
                  <c:v>0</c:v>
                </c:pt>
                <c:pt idx="16">
                  <c:v>0</c:v>
                </c:pt>
                <c:pt idx="17">
                  <c:v>0</c:v>
                </c:pt>
                <c:pt idx="18">
                  <c:v>1</c:v>
                </c:pt>
                <c:pt idx="19">
                  <c:v>1</c:v>
                </c:pt>
                <c:pt idx="20">
                  <c:v>0</c:v>
                </c:pt>
                <c:pt idx="21">
                  <c:v>-2</c:v>
                </c:pt>
                <c:pt idx="22">
                  <c:v>26</c:v>
                </c:pt>
                <c:pt idx="23">
                  <c:v>-2</c:v>
                </c:pt>
                <c:pt idx="24">
                  <c:v>1</c:v>
                </c:pt>
                <c:pt idx="25">
                  <c:v>2</c:v>
                </c:pt>
                <c:pt idx="26">
                  <c:v>46</c:v>
                </c:pt>
                <c:pt idx="27">
                  <c:v>108</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30.4.2021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44316.625</c:v>
                </c:pt>
                <c:pt idx="1">
                  <c:v>44309.625</c:v>
                </c:pt>
                <c:pt idx="2">
                  <c:v>44302.625</c:v>
                </c:pt>
                <c:pt idx="3">
                  <c:v>44295.625</c:v>
                </c:pt>
                <c:pt idx="4">
                  <c:v>44288.625</c:v>
                </c:pt>
                <c:pt idx="5">
                  <c:v>44281.625</c:v>
                </c:pt>
                <c:pt idx="6">
                  <c:v>44274.625</c:v>
                </c:pt>
                <c:pt idx="7">
                  <c:v>44267.625</c:v>
                </c:pt>
                <c:pt idx="8">
                  <c:v>44260.625</c:v>
                </c:pt>
                <c:pt idx="9">
                  <c:v>44253.625</c:v>
                </c:pt>
              </c:numCache>
            </c:numRef>
          </c:xVal>
          <c:yVal>
            <c:numRef>
              <c:f>Lisäys!$E$50:$E$59</c:f>
              <c:numCache>
                <c:formatCode>General</c:formatCode>
                <c:ptCount val="10"/>
                <c:pt idx="0">
                  <c:v>183</c:v>
                </c:pt>
                <c:pt idx="1">
                  <c:v>257</c:v>
                </c:pt>
                <c:pt idx="2">
                  <c:v>264</c:v>
                </c:pt>
                <c:pt idx="3">
                  <c:v>348</c:v>
                </c:pt>
                <c:pt idx="4">
                  <c:v>361</c:v>
                </c:pt>
                <c:pt idx="5">
                  <c:v>688</c:v>
                </c:pt>
                <c:pt idx="6">
                  <c:v>744</c:v>
                </c:pt>
                <c:pt idx="7">
                  <c:v>808</c:v>
                </c:pt>
                <c:pt idx="8">
                  <c:v>630</c:v>
                </c:pt>
                <c:pt idx="9">
                  <c:v>689</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44315.625</c:v>
                </c:pt>
                <c:pt idx="1">
                  <c:v>44308.625</c:v>
                </c:pt>
                <c:pt idx="2">
                  <c:v>44301.625</c:v>
                </c:pt>
                <c:pt idx="3">
                  <c:v>44294.625</c:v>
                </c:pt>
                <c:pt idx="4">
                  <c:v>44287.625</c:v>
                </c:pt>
                <c:pt idx="5">
                  <c:v>44280.625</c:v>
                </c:pt>
                <c:pt idx="6">
                  <c:v>44273.625</c:v>
                </c:pt>
                <c:pt idx="7">
                  <c:v>44266.625</c:v>
                </c:pt>
                <c:pt idx="8">
                  <c:v>44259.625</c:v>
                </c:pt>
                <c:pt idx="9">
                  <c:v>44252.625</c:v>
                </c:pt>
              </c:numCache>
            </c:numRef>
          </c:xVal>
          <c:yVal>
            <c:numRef>
              <c:f>Lisäys!$I$50:$I$59</c:f>
              <c:numCache>
                <c:formatCode>General</c:formatCode>
                <c:ptCount val="10"/>
                <c:pt idx="0">
                  <c:v>184</c:v>
                </c:pt>
                <c:pt idx="1">
                  <c:v>260</c:v>
                </c:pt>
                <c:pt idx="2">
                  <c:v>275</c:v>
                </c:pt>
                <c:pt idx="3">
                  <c:v>403</c:v>
                </c:pt>
                <c:pt idx="4">
                  <c:v>487</c:v>
                </c:pt>
                <c:pt idx="5">
                  <c:v>607</c:v>
                </c:pt>
                <c:pt idx="6">
                  <c:v>736</c:v>
                </c:pt>
                <c:pt idx="7">
                  <c:v>779</c:v>
                </c:pt>
                <c:pt idx="8">
                  <c:v>640</c:v>
                </c:pt>
                <c:pt idx="9">
                  <c:v>619</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44314.625</c:v>
                </c:pt>
                <c:pt idx="1">
                  <c:v>44307.625</c:v>
                </c:pt>
                <c:pt idx="2">
                  <c:v>44300.625</c:v>
                </c:pt>
                <c:pt idx="3">
                  <c:v>44293.625</c:v>
                </c:pt>
                <c:pt idx="4">
                  <c:v>44286.625</c:v>
                </c:pt>
                <c:pt idx="5">
                  <c:v>44279.625</c:v>
                </c:pt>
                <c:pt idx="6">
                  <c:v>44272.625</c:v>
                </c:pt>
                <c:pt idx="7">
                  <c:v>44265.625</c:v>
                </c:pt>
                <c:pt idx="8">
                  <c:v>44258.625</c:v>
                </c:pt>
                <c:pt idx="9">
                  <c:v>44251.625</c:v>
                </c:pt>
              </c:numCache>
            </c:numRef>
          </c:xVal>
          <c:yVal>
            <c:numRef>
              <c:f>Lisäys!$M$50:$M$59</c:f>
              <c:numCache>
                <c:formatCode>General</c:formatCode>
                <c:ptCount val="10"/>
                <c:pt idx="0">
                  <c:v>275</c:v>
                </c:pt>
                <c:pt idx="1">
                  <c:v>240</c:v>
                </c:pt>
                <c:pt idx="2">
                  <c:v>345</c:v>
                </c:pt>
                <c:pt idx="3">
                  <c:v>425</c:v>
                </c:pt>
                <c:pt idx="4">
                  <c:v>550</c:v>
                </c:pt>
                <c:pt idx="5">
                  <c:v>694</c:v>
                </c:pt>
                <c:pt idx="6">
                  <c:v>743</c:v>
                </c:pt>
                <c:pt idx="7">
                  <c:v>822</c:v>
                </c:pt>
                <c:pt idx="8">
                  <c:v>732</c:v>
                </c:pt>
                <c:pt idx="9">
                  <c:v>598</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44313.625</c:v>
                </c:pt>
                <c:pt idx="1">
                  <c:v>44306.625</c:v>
                </c:pt>
                <c:pt idx="2">
                  <c:v>44299.625</c:v>
                </c:pt>
                <c:pt idx="3">
                  <c:v>44292.625</c:v>
                </c:pt>
                <c:pt idx="4">
                  <c:v>44285.625</c:v>
                </c:pt>
                <c:pt idx="5">
                  <c:v>44278.625</c:v>
                </c:pt>
                <c:pt idx="6">
                  <c:v>44271.625</c:v>
                </c:pt>
                <c:pt idx="7">
                  <c:v>44264.625</c:v>
                </c:pt>
                <c:pt idx="8">
                  <c:v>44257.625</c:v>
                </c:pt>
                <c:pt idx="9">
                  <c:v>44250.625</c:v>
                </c:pt>
              </c:numCache>
            </c:numRef>
          </c:xVal>
          <c:yVal>
            <c:numRef>
              <c:f>Lisäys!$Q$50:$Q$59</c:f>
              <c:numCache>
                <c:formatCode>General</c:formatCode>
                <c:ptCount val="10"/>
                <c:pt idx="0">
                  <c:v>229</c:v>
                </c:pt>
                <c:pt idx="1">
                  <c:v>285</c:v>
                </c:pt>
                <c:pt idx="2">
                  <c:v>325</c:v>
                </c:pt>
                <c:pt idx="3">
                  <c:v>544</c:v>
                </c:pt>
                <c:pt idx="4">
                  <c:v>570</c:v>
                </c:pt>
                <c:pt idx="5">
                  <c:v>703</c:v>
                </c:pt>
                <c:pt idx="6">
                  <c:v>763</c:v>
                </c:pt>
                <c:pt idx="7">
                  <c:v>774</c:v>
                </c:pt>
                <c:pt idx="8">
                  <c:v>759</c:v>
                </c:pt>
                <c:pt idx="9">
                  <c:v>626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44312.625</c:v>
                </c:pt>
                <c:pt idx="1">
                  <c:v>44305.625</c:v>
                </c:pt>
                <c:pt idx="2">
                  <c:v>44298.625</c:v>
                </c:pt>
                <c:pt idx="3">
                  <c:v>44291.625</c:v>
                </c:pt>
                <c:pt idx="4">
                  <c:v>44284.625</c:v>
                </c:pt>
                <c:pt idx="5">
                  <c:v>44277.625</c:v>
                </c:pt>
                <c:pt idx="6">
                  <c:v>44270.625</c:v>
                </c:pt>
                <c:pt idx="7">
                  <c:v>44263.625</c:v>
                </c:pt>
                <c:pt idx="8">
                  <c:v>44256.625</c:v>
                </c:pt>
                <c:pt idx="9">
                  <c:v>44249.625</c:v>
                </c:pt>
              </c:numCache>
            </c:numRef>
          </c:xVal>
          <c:yVal>
            <c:numRef>
              <c:f>Lisäys!$U$50:$U$59</c:f>
              <c:numCache>
                <c:formatCode>General</c:formatCode>
                <c:ptCount val="10"/>
                <c:pt idx="0">
                  <c:v>241</c:v>
                </c:pt>
                <c:pt idx="1">
                  <c:v>284</c:v>
                </c:pt>
                <c:pt idx="2">
                  <c:v>396</c:v>
                </c:pt>
                <c:pt idx="3">
                  <c:v>359</c:v>
                </c:pt>
                <c:pt idx="4">
                  <c:v>653</c:v>
                </c:pt>
                <c:pt idx="5">
                  <c:v>768</c:v>
                </c:pt>
                <c:pt idx="6">
                  <c:v>892</c:v>
                </c:pt>
                <c:pt idx="7">
                  <c:v>834</c:v>
                </c:pt>
                <c:pt idx="8">
                  <c:v>871</c:v>
                </c:pt>
                <c:pt idx="9">
                  <c:v>623</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44311.625</c:v>
                </c:pt>
                <c:pt idx="1">
                  <c:v>44304.625</c:v>
                </c:pt>
                <c:pt idx="2">
                  <c:v>44297.625</c:v>
                </c:pt>
                <c:pt idx="3">
                  <c:v>44290.625</c:v>
                </c:pt>
                <c:pt idx="4">
                  <c:v>44283.625</c:v>
                </c:pt>
                <c:pt idx="5">
                  <c:v>44276.625</c:v>
                </c:pt>
                <c:pt idx="6">
                  <c:v>44269.625</c:v>
                </c:pt>
                <c:pt idx="7">
                  <c:v>44262.625</c:v>
                </c:pt>
                <c:pt idx="8">
                  <c:v>44255.625</c:v>
                </c:pt>
                <c:pt idx="9">
                  <c:v>44248.625</c:v>
                </c:pt>
              </c:numCache>
            </c:numRef>
          </c:xVal>
          <c:yVal>
            <c:numRef>
              <c:f>Lisäys!$Y$50:$Y$59</c:f>
              <c:numCache>
                <c:formatCode>General</c:formatCode>
                <c:ptCount val="10"/>
                <c:pt idx="0">
                  <c:v>142</c:v>
                </c:pt>
                <c:pt idx="1">
                  <c:v>155</c:v>
                </c:pt>
                <c:pt idx="2">
                  <c:v>238</c:v>
                </c:pt>
                <c:pt idx="3">
                  <c:v>320</c:v>
                </c:pt>
                <c:pt idx="4">
                  <c:v>370</c:v>
                </c:pt>
                <c:pt idx="5">
                  <c:v>417</c:v>
                </c:pt>
                <c:pt idx="6">
                  <c:v>433</c:v>
                </c:pt>
                <c:pt idx="7">
                  <c:v>396</c:v>
                </c:pt>
                <c:pt idx="8">
                  <c:v>420</c:v>
                </c:pt>
                <c:pt idx="9">
                  <c:v>356</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44310.625</c:v>
                </c:pt>
                <c:pt idx="1">
                  <c:v>44303.625</c:v>
                </c:pt>
                <c:pt idx="2">
                  <c:v>44296.625</c:v>
                </c:pt>
                <c:pt idx="3">
                  <c:v>44289.625</c:v>
                </c:pt>
                <c:pt idx="4">
                  <c:v>44282.625</c:v>
                </c:pt>
                <c:pt idx="5">
                  <c:v>44275.625</c:v>
                </c:pt>
                <c:pt idx="6">
                  <c:v>44268.625</c:v>
                </c:pt>
                <c:pt idx="7">
                  <c:v>44261.625</c:v>
                </c:pt>
                <c:pt idx="8">
                  <c:v>44254.625</c:v>
                </c:pt>
                <c:pt idx="9">
                  <c:v>44247.625</c:v>
                </c:pt>
              </c:numCache>
            </c:numRef>
          </c:xVal>
          <c:yVal>
            <c:numRef>
              <c:f>Lisäys!$AC$50:$AC$59</c:f>
              <c:numCache>
                <c:formatCode>General</c:formatCode>
                <c:ptCount val="10"/>
                <c:pt idx="0">
                  <c:v>153</c:v>
                </c:pt>
                <c:pt idx="1">
                  <c:v>170</c:v>
                </c:pt>
                <c:pt idx="2">
                  <c:v>225</c:v>
                </c:pt>
                <c:pt idx="3">
                  <c:v>319</c:v>
                </c:pt>
                <c:pt idx="4">
                  <c:v>351</c:v>
                </c:pt>
                <c:pt idx="5">
                  <c:v>404</c:v>
                </c:pt>
                <c:pt idx="6">
                  <c:v>491</c:v>
                </c:pt>
                <c:pt idx="7">
                  <c:v>431</c:v>
                </c:pt>
                <c:pt idx="8">
                  <c:v>401</c:v>
                </c:pt>
                <c:pt idx="9">
                  <c:v>318</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774</c:v>
                </c:pt>
                <c:pt idx="2">
                  <c:v>822</c:v>
                </c:pt>
                <c:pt idx="3">
                  <c:v>779</c:v>
                </c:pt>
                <c:pt idx="4">
                  <c:v>808</c:v>
                </c:pt>
                <c:pt idx="5">
                  <c:v>491</c:v>
                </c:pt>
                <c:pt idx="6">
                  <c:v>433</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17DC88BE-9706-473B-8497-4579ED5F109B}" type="CELLRANGE">
                      <a:rPr lang="en-US"/>
                      <a:pPr/>
                      <a:t>[CELLRANGE]</a:t>
                    </a:fld>
                    <a:r>
                      <a:rPr lang="en-US" baseline="0"/>
                      <a:t>; </a:t>
                    </a:r>
                    <a:fld id="{4BAE2CF9-2060-4C7B-AFA8-BC863BC6260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C1AEEFEB-CB31-44D2-8056-C6EBE77CB30D}" type="CELLRANGE">
                      <a:rPr lang="en-US"/>
                      <a:pPr/>
                      <a:t>[CELLRANGE]</a:t>
                    </a:fld>
                    <a:r>
                      <a:rPr lang="en-US" baseline="0"/>
                      <a:t>; </a:t>
                    </a:r>
                    <a:fld id="{CF5245DA-144F-41E5-9450-B713F4611B8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7C7120BA-5B86-45A1-9E22-CB88CE4B7D84}" type="CELLRANGE">
                      <a:rPr lang="en-US"/>
                      <a:pPr/>
                      <a:t>[CELLRANGE]</a:t>
                    </a:fld>
                    <a:r>
                      <a:rPr lang="en-US" baseline="0"/>
                      <a:t>; </a:t>
                    </a:r>
                    <a:fld id="{DDA3F444-7819-4B32-A164-E2754A20A92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019DA7B8-24E8-4B1E-816D-A482267A15B1}" type="CELLRANGE">
                      <a:rPr lang="en-US"/>
                      <a:pPr/>
                      <a:t>[CELLRANGE]</a:t>
                    </a:fld>
                    <a:r>
                      <a:rPr lang="en-US" baseline="0"/>
                      <a:t>; </a:t>
                    </a:r>
                    <a:fld id="{B026DF60-A247-4B26-9ED1-D05D1505A7E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646B89C4-E25E-4BDC-AD6C-4DB6146E052D}" type="CELLRANGE">
                      <a:rPr lang="en-US"/>
                      <a:pPr/>
                      <a:t>[CELLRANGE]</a:t>
                    </a:fld>
                    <a:r>
                      <a:rPr lang="en-US" baseline="0"/>
                      <a:t>; </a:t>
                    </a:r>
                    <a:fld id="{F1E1942D-AA4A-4A71-B20D-912F4844B58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C492CC76-5E87-4C94-B83B-D9F7208A2EA6}" type="CELLRANGE">
                      <a:rPr lang="en-US"/>
                      <a:pPr/>
                      <a:t>[CELLRANGE]</a:t>
                    </a:fld>
                    <a:r>
                      <a:rPr lang="en-US" baseline="0"/>
                      <a:t>; </a:t>
                    </a:r>
                    <a:fld id="{76246EEF-705B-41B4-A0F6-C852A427AD5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CB4DFD42-1B78-47C9-A829-31289716CAB6}" type="CELLRANGE">
                      <a:rPr lang="en-US"/>
                      <a:pPr/>
                      <a:t>[CELLRANGE]</a:t>
                    </a:fld>
                    <a:r>
                      <a:rPr lang="en-US" baseline="0"/>
                      <a:t>; </a:t>
                    </a:r>
                    <a:fld id="{2251EAEA-34F8-4178-97C2-AD0749F0F3E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774</c:v>
                </c:pt>
                <c:pt idx="2">
                  <c:v>822</c:v>
                </c:pt>
                <c:pt idx="3">
                  <c:v>779</c:v>
                </c:pt>
                <c:pt idx="4">
                  <c:v>808</c:v>
                </c:pt>
                <c:pt idx="5">
                  <c:v>491</c:v>
                </c:pt>
                <c:pt idx="6">
                  <c:v>433</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30.4.2021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HUS!PlotX</c:f>
              <c:strCache>
                <c:ptCount val="48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strCache>
            </c:strRef>
          </c:cat>
          <c:val>
            <c:numRef>
              <c:f>HUS!PlotY</c:f>
              <c:numCache>
                <c:formatCode>General</c:formatCode>
                <c:ptCount val="4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120</c:v>
                </c:pt>
                <c:pt idx="301">
                  <c:v>121</c:v>
                </c:pt>
                <c:pt idx="302">
                  <c:v>102</c:v>
                </c:pt>
                <c:pt idx="303">
                  <c:v>123</c:v>
                </c:pt>
                <c:pt idx="304">
                  <c:v>72</c:v>
                </c:pt>
                <c:pt idx="305">
                  <c:v>93</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229</c:v>
                </c:pt>
                <c:pt idx="407">
                  <c:v>237</c:v>
                </c:pt>
                <c:pt idx="408">
                  <c:v>260</c:v>
                </c:pt>
                <c:pt idx="409">
                  <c:v>190</c:v>
                </c:pt>
                <c:pt idx="410">
                  <c:v>182</c:v>
                </c:pt>
                <c:pt idx="411">
                  <c:v>360</c:v>
                </c:pt>
                <c:pt idx="412">
                  <c:v>329</c:v>
                </c:pt>
                <c:pt idx="413">
                  <c:v>329</c:v>
                </c:pt>
                <c:pt idx="414">
                  <c:v>325</c:v>
                </c:pt>
                <c:pt idx="415">
                  <c:v>304</c:v>
                </c:pt>
                <c:pt idx="416">
                  <c:v>185</c:v>
                </c:pt>
                <c:pt idx="417">
                  <c:v>220</c:v>
                </c:pt>
                <c:pt idx="418">
                  <c:v>386</c:v>
                </c:pt>
                <c:pt idx="419">
                  <c:v>383</c:v>
                </c:pt>
                <c:pt idx="420">
                  <c:v>417</c:v>
                </c:pt>
                <c:pt idx="421">
                  <c:v>354</c:v>
                </c:pt>
                <c:pt idx="422">
                  <c:v>430</c:v>
                </c:pt>
                <c:pt idx="423">
                  <c:v>266</c:v>
                </c:pt>
                <c:pt idx="424">
                  <c:v>265</c:v>
                </c:pt>
                <c:pt idx="425">
                  <c:v>481</c:v>
                </c:pt>
                <c:pt idx="426">
                  <c:v>492</c:v>
                </c:pt>
                <c:pt idx="427">
                  <c:v>475</c:v>
                </c:pt>
                <c:pt idx="428">
                  <c:v>389</c:v>
                </c:pt>
                <c:pt idx="429">
                  <c:v>420</c:v>
                </c:pt>
                <c:pt idx="430">
                  <c:v>275</c:v>
                </c:pt>
                <c:pt idx="431">
                  <c:v>255</c:v>
                </c:pt>
                <c:pt idx="432">
                  <c:v>502</c:v>
                </c:pt>
                <c:pt idx="433">
                  <c:v>507</c:v>
                </c:pt>
                <c:pt idx="434">
                  <c:v>504</c:v>
                </c:pt>
                <c:pt idx="435">
                  <c:v>477</c:v>
                </c:pt>
                <c:pt idx="436">
                  <c:v>517</c:v>
                </c:pt>
                <c:pt idx="437">
                  <c:v>327</c:v>
                </c:pt>
                <c:pt idx="438">
                  <c:v>261</c:v>
                </c:pt>
                <c:pt idx="439">
                  <c:v>508</c:v>
                </c:pt>
                <c:pt idx="440">
                  <c:v>452</c:v>
                </c:pt>
                <c:pt idx="441">
                  <c:v>417</c:v>
                </c:pt>
                <c:pt idx="442">
                  <c:v>456</c:v>
                </c:pt>
                <c:pt idx="443">
                  <c:v>444</c:v>
                </c:pt>
                <c:pt idx="444">
                  <c:v>287</c:v>
                </c:pt>
                <c:pt idx="445">
                  <c:v>286</c:v>
                </c:pt>
                <c:pt idx="446">
                  <c:v>451</c:v>
                </c:pt>
                <c:pt idx="447">
                  <c:v>452</c:v>
                </c:pt>
                <c:pt idx="448">
                  <c:v>393</c:v>
                </c:pt>
                <c:pt idx="449">
                  <c:v>356</c:v>
                </c:pt>
                <c:pt idx="450">
                  <c:v>407</c:v>
                </c:pt>
                <c:pt idx="451">
                  <c:v>199</c:v>
                </c:pt>
                <c:pt idx="452">
                  <c:v>245</c:v>
                </c:pt>
                <c:pt idx="453">
                  <c:v>377</c:v>
                </c:pt>
                <c:pt idx="454">
                  <c:v>323</c:v>
                </c:pt>
                <c:pt idx="455">
                  <c:v>331</c:v>
                </c:pt>
                <c:pt idx="456">
                  <c:v>253</c:v>
                </c:pt>
                <c:pt idx="457">
                  <c:v>222</c:v>
                </c:pt>
                <c:pt idx="458">
                  <c:v>187</c:v>
                </c:pt>
                <c:pt idx="459">
                  <c:v>206</c:v>
                </c:pt>
                <c:pt idx="460">
                  <c:v>232</c:v>
                </c:pt>
                <c:pt idx="461">
                  <c:v>304</c:v>
                </c:pt>
                <c:pt idx="462">
                  <c:v>246</c:v>
                </c:pt>
                <c:pt idx="463">
                  <c:v>211</c:v>
                </c:pt>
                <c:pt idx="464">
                  <c:v>175</c:v>
                </c:pt>
                <c:pt idx="465">
                  <c:v>136</c:v>
                </c:pt>
                <c:pt idx="466">
                  <c:v>142</c:v>
                </c:pt>
                <c:pt idx="467">
                  <c:v>215</c:v>
                </c:pt>
                <c:pt idx="468">
                  <c:v>155</c:v>
                </c:pt>
                <c:pt idx="469">
                  <c:v>169</c:v>
                </c:pt>
                <c:pt idx="470">
                  <c:v>128</c:v>
                </c:pt>
                <c:pt idx="471">
                  <c:v>129</c:v>
                </c:pt>
                <c:pt idx="472">
                  <c:v>124</c:v>
                </c:pt>
                <c:pt idx="473">
                  <c:v>87</c:v>
                </c:pt>
                <c:pt idx="474">
                  <c:v>136</c:v>
                </c:pt>
                <c:pt idx="475">
                  <c:v>145</c:v>
                </c:pt>
                <c:pt idx="476">
                  <c:v>114</c:v>
                </c:pt>
                <c:pt idx="477">
                  <c:v>139</c:v>
                </c:pt>
                <c:pt idx="478">
                  <c:v>110</c:v>
                </c:pt>
                <c:pt idx="479">
                  <c:v>85</c:v>
                </c:pt>
                <c:pt idx="480">
                  <c:v>85</c:v>
                </c:pt>
                <c:pt idx="481">
                  <c:v>119</c:v>
                </c:pt>
                <c:pt idx="482">
                  <c:v>109</c:v>
                </c:pt>
                <c:pt idx="483">
                  <c:v>143</c:v>
                </c:pt>
                <c:pt idx="484">
                  <c:v>85</c:v>
                </c:pt>
                <c:pt idx="485">
                  <c:v>92</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48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strCache>
            </c:strRef>
          </c:cat>
          <c:val>
            <c:numRef>
              <c:f>[0]!PlotY</c:f>
              <c:numCache>
                <c:formatCode>General</c:formatCode>
                <c:ptCount val="4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396</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619</c:v>
                </c:pt>
                <c:pt idx="422">
                  <c:v>689</c:v>
                </c:pt>
                <c:pt idx="423">
                  <c:v>401</c:v>
                </c:pt>
                <c:pt idx="424">
                  <c:v>420</c:v>
                </c:pt>
                <c:pt idx="425">
                  <c:v>871</c:v>
                </c:pt>
                <c:pt idx="426">
                  <c:v>759</c:v>
                </c:pt>
                <c:pt idx="427">
                  <c:v>732</c:v>
                </c:pt>
                <c:pt idx="428">
                  <c:v>640</c:v>
                </c:pt>
                <c:pt idx="429">
                  <c:v>630</c:v>
                </c:pt>
                <c:pt idx="430">
                  <c:v>431</c:v>
                </c:pt>
                <c:pt idx="431">
                  <c:v>396</c:v>
                </c:pt>
                <c:pt idx="432">
                  <c:v>834</c:v>
                </c:pt>
                <c:pt idx="433">
                  <c:v>774</c:v>
                </c:pt>
                <c:pt idx="434">
                  <c:v>822</c:v>
                </c:pt>
                <c:pt idx="435">
                  <c:v>779</c:v>
                </c:pt>
                <c:pt idx="436">
                  <c:v>808</c:v>
                </c:pt>
                <c:pt idx="437">
                  <c:v>491</c:v>
                </c:pt>
                <c:pt idx="438">
                  <c:v>433</c:v>
                </c:pt>
                <c:pt idx="439">
                  <c:v>892</c:v>
                </c:pt>
                <c:pt idx="440">
                  <c:v>763</c:v>
                </c:pt>
                <c:pt idx="441">
                  <c:v>743</c:v>
                </c:pt>
                <c:pt idx="442">
                  <c:v>736</c:v>
                </c:pt>
                <c:pt idx="443">
                  <c:v>744</c:v>
                </c:pt>
                <c:pt idx="444">
                  <c:v>404</c:v>
                </c:pt>
                <c:pt idx="445">
                  <c:v>417</c:v>
                </c:pt>
                <c:pt idx="446">
                  <c:v>768</c:v>
                </c:pt>
                <c:pt idx="447">
                  <c:v>703</c:v>
                </c:pt>
                <c:pt idx="448">
                  <c:v>694</c:v>
                </c:pt>
                <c:pt idx="449">
                  <c:v>607</c:v>
                </c:pt>
                <c:pt idx="450">
                  <c:v>688</c:v>
                </c:pt>
                <c:pt idx="451">
                  <c:v>351</c:v>
                </c:pt>
                <c:pt idx="452">
                  <c:v>370</c:v>
                </c:pt>
                <c:pt idx="453">
                  <c:v>653</c:v>
                </c:pt>
                <c:pt idx="454">
                  <c:v>570</c:v>
                </c:pt>
                <c:pt idx="455">
                  <c:v>550</c:v>
                </c:pt>
                <c:pt idx="456">
                  <c:v>487</c:v>
                </c:pt>
                <c:pt idx="457">
                  <c:v>361</c:v>
                </c:pt>
                <c:pt idx="458">
                  <c:v>319</c:v>
                </c:pt>
                <c:pt idx="459">
                  <c:v>320</c:v>
                </c:pt>
                <c:pt idx="460">
                  <c:v>359</c:v>
                </c:pt>
                <c:pt idx="461">
                  <c:v>544</c:v>
                </c:pt>
                <c:pt idx="462">
                  <c:v>425</c:v>
                </c:pt>
                <c:pt idx="463">
                  <c:v>403</c:v>
                </c:pt>
                <c:pt idx="464">
                  <c:v>348</c:v>
                </c:pt>
                <c:pt idx="465">
                  <c:v>225</c:v>
                </c:pt>
                <c:pt idx="466">
                  <c:v>238</c:v>
                </c:pt>
                <c:pt idx="467">
                  <c:v>396</c:v>
                </c:pt>
                <c:pt idx="468">
                  <c:v>325</c:v>
                </c:pt>
                <c:pt idx="469">
                  <c:v>345</c:v>
                </c:pt>
                <c:pt idx="470">
                  <c:v>275</c:v>
                </c:pt>
                <c:pt idx="471">
                  <c:v>264</c:v>
                </c:pt>
                <c:pt idx="472">
                  <c:v>170</c:v>
                </c:pt>
                <c:pt idx="473">
                  <c:v>155</c:v>
                </c:pt>
                <c:pt idx="474">
                  <c:v>284</c:v>
                </c:pt>
                <c:pt idx="475">
                  <c:v>285</c:v>
                </c:pt>
                <c:pt idx="476">
                  <c:v>240</c:v>
                </c:pt>
                <c:pt idx="477">
                  <c:v>260</c:v>
                </c:pt>
                <c:pt idx="478">
                  <c:v>257</c:v>
                </c:pt>
                <c:pt idx="479">
                  <c:v>153</c:v>
                </c:pt>
                <c:pt idx="480">
                  <c:v>142</c:v>
                </c:pt>
                <c:pt idx="481">
                  <c:v>241</c:v>
                </c:pt>
                <c:pt idx="482">
                  <c:v>229</c:v>
                </c:pt>
                <c:pt idx="483">
                  <c:v>275</c:v>
                </c:pt>
                <c:pt idx="484">
                  <c:v>184</c:v>
                </c:pt>
                <c:pt idx="485">
                  <c:v>183</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showDLblsOverMax val="0"/>
    <c:extLst/>
  </c:chart>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66675</xdr:rowOff>
        </xdr:from>
        <xdr:to>
          <xdr:col>1</xdr:col>
          <xdr:colOff>1362075</xdr:colOff>
          <xdr:row>0</xdr:row>
          <xdr:rowOff>447675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70485</xdr:colOff>
      <xdr:row>490</xdr:row>
      <xdr:rowOff>148590</xdr:rowOff>
    </xdr:from>
    <xdr:to>
      <xdr:col>12</xdr:col>
      <xdr:colOff>466725</xdr:colOff>
      <xdr:row>508</xdr:row>
      <xdr:rowOff>96883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1362075</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104775</xdr:colOff>
          <xdr:row>1</xdr:row>
          <xdr:rowOff>76200</xdr:rowOff>
        </xdr:from>
        <xdr:to>
          <xdr:col>2</xdr:col>
          <xdr:colOff>447675</xdr:colOff>
          <xdr:row>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17" sqref="B17"/>
    </sheetView>
  </sheetViews>
  <sheetFormatPr defaultRowHeight="15"/>
  <sheetData>
    <row r="2" spans="2:12" ht="14.85" customHeight="1">
      <c r="B2" s="45" t="s">
        <v>523</v>
      </c>
      <c r="C2" s="46"/>
      <c r="D2" s="46"/>
      <c r="E2" s="46"/>
      <c r="F2" s="46"/>
      <c r="G2" s="46"/>
      <c r="H2" s="46"/>
      <c r="I2" s="47"/>
      <c r="J2" s="47"/>
      <c r="K2" s="47"/>
      <c r="L2" s="47"/>
    </row>
    <row r="3" spans="2:12">
      <c r="B3" s="46"/>
      <c r="C3" s="46"/>
      <c r="D3" s="46"/>
      <c r="E3" s="46"/>
      <c r="F3" s="46"/>
      <c r="G3" s="46"/>
      <c r="H3" s="46"/>
      <c r="I3" s="47"/>
      <c r="J3" s="47"/>
      <c r="K3" s="47"/>
      <c r="L3" s="47"/>
    </row>
    <row r="4" spans="2:12">
      <c r="B4" s="46"/>
      <c r="C4" s="46"/>
      <c r="D4" s="46"/>
      <c r="E4" s="46"/>
      <c r="F4" s="46"/>
      <c r="G4" s="46"/>
      <c r="H4" s="46"/>
      <c r="I4" s="47"/>
      <c r="J4" s="47"/>
      <c r="K4" s="47"/>
      <c r="L4" s="47"/>
    </row>
    <row r="5" spans="2:12">
      <c r="B5" s="46"/>
      <c r="C5" s="46"/>
      <c r="D5" s="46"/>
      <c r="E5" s="46"/>
      <c r="F5" s="46"/>
      <c r="G5" s="46"/>
      <c r="H5" s="46"/>
      <c r="I5" s="47"/>
      <c r="J5" s="47"/>
      <c r="K5" s="47"/>
      <c r="L5" s="47"/>
    </row>
    <row r="6" spans="2:12">
      <c r="B6" s="46"/>
      <c r="C6" s="46"/>
      <c r="D6" s="46"/>
      <c r="E6" s="46"/>
      <c r="F6" s="46"/>
      <c r="G6" s="46"/>
      <c r="H6" s="46"/>
      <c r="I6" s="47"/>
      <c r="J6" s="47"/>
      <c r="K6" s="47"/>
      <c r="L6" s="47"/>
    </row>
    <row r="7" spans="2:12">
      <c r="B7" s="46"/>
      <c r="C7" s="46"/>
      <c r="D7" s="46"/>
      <c r="E7" s="46"/>
      <c r="F7" s="46"/>
      <c r="G7" s="46"/>
      <c r="H7" s="46"/>
      <c r="I7" s="47"/>
      <c r="J7" s="47"/>
      <c r="K7" s="47"/>
      <c r="L7" s="47"/>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524</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398" workbookViewId="0">
      <selection activeCell="A425" sqref="A425"/>
    </sheetView>
  </sheetViews>
  <sheetFormatPr defaultRowHeight="15"/>
  <cols>
    <col min="1" max="1" width="23.570312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10</v>
      </c>
      <c r="D237" s="39">
        <f t="shared" si="3"/>
        <v>7.8585461689587423E-4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35</v>
      </c>
      <c r="D248" s="39">
        <f t="shared" si="3"/>
        <v>2.0744428639165482E-3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166</v>
      </c>
      <c r="D275" s="39">
        <f t="shared" si="4"/>
        <v>1.0778520875267841E-2</v>
      </c>
    </row>
    <row r="276" spans="1:4">
      <c r="A276" t="s">
        <v>230</v>
      </c>
      <c r="B276">
        <v>12134</v>
      </c>
      <c r="C276">
        <f>Kaikki!A276</f>
        <v>191</v>
      </c>
      <c r="D276" s="39">
        <f t="shared" si="4"/>
        <v>1.5740893357507828E-2</v>
      </c>
    </row>
    <row r="277" spans="1:4">
      <c r="A277" t="s">
        <v>231</v>
      </c>
      <c r="B277">
        <v>12512</v>
      </c>
      <c r="C277">
        <f>Kaikki!A277</f>
        <v>188</v>
      </c>
      <c r="D277" s="39">
        <f t="shared" si="4"/>
        <v>1.5025575447570333E-2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244</v>
      </c>
      <c r="D294" s="39">
        <f t="shared" si="4"/>
        <v>2.2003787537199025E-2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193</v>
      </c>
      <c r="D298" s="39">
        <f t="shared" si="4"/>
        <v>1.1788419252382117E-2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231</v>
      </c>
      <c r="D302" s="39">
        <f t="shared" si="4"/>
        <v>1.2430047352561343E-2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288</v>
      </c>
      <c r="D308" s="39">
        <f t="shared" si="4"/>
        <v>2.9523321373654536E-2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268</v>
      </c>
      <c r="D327" s="39">
        <f t="shared" si="4"/>
        <v>2.0541120564114355E-2</v>
      </c>
    </row>
    <row r="328" spans="1:4">
      <c r="A328" t="s">
        <v>348</v>
      </c>
      <c r="B328">
        <v>8718</v>
      </c>
      <c r="C328">
        <f>Kaikki!A328</f>
        <v>266</v>
      </c>
      <c r="D328" s="39">
        <f t="shared" ref="D328:D391" si="5">C328/B328</f>
        <v>3.0511585225969258E-2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510</v>
      </c>
      <c r="D332" s="39">
        <f t="shared" si="5"/>
        <v>2.3257935060197008E-2</v>
      </c>
    </row>
    <row r="333" spans="1:4">
      <c r="A333" t="s">
        <v>355</v>
      </c>
      <c r="B333">
        <v>21658</v>
      </c>
      <c r="C333">
        <f>Kaikki!A333</f>
        <v>455</v>
      </c>
      <c r="D333" s="39">
        <f t="shared" si="5"/>
        <v>2.100840336134454E-2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439</v>
      </c>
      <c r="D337" s="39">
        <f t="shared" si="5"/>
        <v>2.1015845660395424E-2</v>
      </c>
    </row>
    <row r="338" spans="1:4">
      <c r="A338" t="s">
        <v>361</v>
      </c>
      <c r="B338">
        <v>23756</v>
      </c>
      <c r="C338">
        <f>Kaikki!A338</f>
        <v>495</v>
      </c>
      <c r="D338" s="39">
        <f t="shared" si="5"/>
        <v>2.0836841219060449E-2</v>
      </c>
    </row>
    <row r="339" spans="1:4">
      <c r="A339" t="s">
        <v>362</v>
      </c>
      <c r="B339">
        <v>21894</v>
      </c>
      <c r="C339">
        <f>Kaikki!A339</f>
        <v>477</v>
      </c>
      <c r="D339" s="39">
        <f t="shared" si="5"/>
        <v>2.1786790901616882E-2</v>
      </c>
    </row>
    <row r="340" spans="1:4">
      <c r="A340" t="s">
        <v>363</v>
      </c>
      <c r="B340">
        <v>21704</v>
      </c>
      <c r="C340">
        <f>Kaikki!A340</f>
        <v>472</v>
      </c>
      <c r="D340" s="39">
        <f t="shared" si="5"/>
        <v>2.1747143383708072E-2</v>
      </c>
    </row>
    <row r="341" spans="1:4">
      <c r="A341" t="s">
        <v>364</v>
      </c>
      <c r="B341">
        <v>17866</v>
      </c>
      <c r="C341">
        <f>Kaikki!A341</f>
        <v>250</v>
      </c>
      <c r="D341" s="39">
        <f t="shared" si="5"/>
        <v>1.3993059442516512E-2</v>
      </c>
    </row>
    <row r="342" spans="1:4">
      <c r="A342" t="s">
        <v>365</v>
      </c>
      <c r="B342">
        <v>11462</v>
      </c>
      <c r="C342">
        <f>Kaikki!A342</f>
        <v>283</v>
      </c>
      <c r="D342" s="39">
        <f t="shared" si="5"/>
        <v>2.4690280928284767E-2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353</v>
      </c>
      <c r="D352" s="39">
        <f t="shared" si="5"/>
        <v>1.9007107473616197E-2</v>
      </c>
    </row>
    <row r="353" spans="1:4">
      <c r="A353" t="s">
        <v>376</v>
      </c>
      <c r="B353">
        <v>20440</v>
      </c>
      <c r="C353">
        <f>Kaikki!A353</f>
        <v>323</v>
      </c>
      <c r="D353" s="39">
        <f t="shared" si="5"/>
        <v>1.5802348336594912E-2</v>
      </c>
    </row>
    <row r="354" spans="1:4">
      <c r="A354" t="s">
        <v>377</v>
      </c>
      <c r="B354">
        <v>19754</v>
      </c>
      <c r="C354">
        <f>Kaikki!A354</f>
        <v>393</v>
      </c>
      <c r="D354" s="39">
        <f t="shared" si="5"/>
        <v>1.9894704869899766E-2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256</v>
      </c>
      <c r="D366" s="39">
        <f t="shared" si="5"/>
        <v>1.787459851975981E-2</v>
      </c>
    </row>
    <row r="367" spans="1:4">
      <c r="A367" t="s">
        <v>390</v>
      </c>
      <c r="B367">
        <v>11974</v>
      </c>
      <c r="C367">
        <f>Kaikki!A367</f>
        <v>253</v>
      </c>
      <c r="D367" s="39">
        <f t="shared" si="5"/>
        <v>2.1129113078336394E-2</v>
      </c>
    </row>
    <row r="368" spans="1:4">
      <c r="A368" t="s">
        <v>391</v>
      </c>
      <c r="B368">
        <v>6829</v>
      </c>
      <c r="C368">
        <f>Kaikki!A368</f>
        <v>129</v>
      </c>
      <c r="D368" s="39">
        <f t="shared" si="5"/>
        <v>1.88900278225216E-2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398</v>
      </c>
      <c r="D371" s="39">
        <f t="shared" si="5"/>
        <v>3.7276388498641941E-2</v>
      </c>
    </row>
    <row r="372" spans="1:4">
      <c r="A372" t="s">
        <v>395</v>
      </c>
      <c r="B372">
        <v>14981</v>
      </c>
      <c r="C372">
        <f>Kaikki!A372</f>
        <v>263</v>
      </c>
      <c r="D372" s="39">
        <f t="shared" si="5"/>
        <v>1.7555570389159603E-2</v>
      </c>
    </row>
    <row r="373" spans="1:4">
      <c r="A373" t="s">
        <v>396</v>
      </c>
      <c r="B373">
        <v>10861</v>
      </c>
      <c r="C373">
        <f>Kaikki!A373</f>
        <v>209</v>
      </c>
      <c r="D373" s="39">
        <f t="shared" si="5"/>
        <v>1.9243163612926988E-2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194</v>
      </c>
      <c r="D376" s="39">
        <f t="shared" si="5"/>
        <v>2.0704375667022414E-2</v>
      </c>
    </row>
    <row r="377" spans="1:4">
      <c r="A377" t="s">
        <v>400</v>
      </c>
      <c r="B377">
        <v>6501</v>
      </c>
      <c r="C377">
        <f>Kaikki!A377</f>
        <v>186</v>
      </c>
      <c r="D377" s="39">
        <f t="shared" si="5"/>
        <v>2.8610982925703739E-2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196</v>
      </c>
      <c r="D384" s="39">
        <f t="shared" si="5"/>
        <v>3.7984496124031007E-2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406</v>
      </c>
      <c r="D387" s="39">
        <f t="shared" si="5"/>
        <v>2.5705964290236798E-2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376</v>
      </c>
      <c r="D396" s="39">
        <f t="shared" si="6"/>
        <v>2.0154373927958835E-2</v>
      </c>
    </row>
    <row r="397" spans="1:4">
      <c r="A397" t="s">
        <v>421</v>
      </c>
      <c r="B397">
        <v>12367</v>
      </c>
      <c r="C397">
        <f>Kaikki!A397</f>
        <v>232</v>
      </c>
      <c r="D397" s="39">
        <f t="shared" si="6"/>
        <v>1.8759602167057493E-2</v>
      </c>
    </row>
    <row r="398" spans="1:4">
      <c r="A398" t="s">
        <v>422</v>
      </c>
      <c r="B398">
        <v>10583</v>
      </c>
      <c r="C398">
        <f>Kaikki!A398</f>
        <v>273</v>
      </c>
      <c r="D398" s="39">
        <f t="shared" si="6"/>
        <v>2.5796088065765849E-2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372</v>
      </c>
      <c r="D402" s="39">
        <f t="shared" si="6"/>
        <v>1.91980182690819E-2</v>
      </c>
    </row>
    <row r="403" spans="1:4">
      <c r="A403" t="s">
        <v>427</v>
      </c>
      <c r="B403">
        <v>17956</v>
      </c>
      <c r="C403">
        <f>Kaikki!A403</f>
        <v>368</v>
      </c>
      <c r="D403" s="39">
        <f t="shared" si="6"/>
        <v>2.0494542214301626E-2</v>
      </c>
    </row>
    <row r="404" spans="1:4">
      <c r="A404" t="s">
        <v>428</v>
      </c>
      <c r="B404">
        <v>14083</v>
      </c>
      <c r="C404">
        <f>Kaikki!A404</f>
        <v>239</v>
      </c>
      <c r="D404" s="39">
        <f t="shared" si="6"/>
        <v>1.6970815877298873E-2</v>
      </c>
    </row>
    <row r="405" spans="1:4">
      <c r="A405" t="s">
        <v>429</v>
      </c>
      <c r="B405">
        <v>9007</v>
      </c>
      <c r="C405">
        <f>Kaikki!A405</f>
        <v>264</v>
      </c>
      <c r="D405" s="39">
        <f t="shared" si="6"/>
        <v>2.9310536249583657E-2</v>
      </c>
    </row>
    <row r="406" spans="1:4">
      <c r="A406" t="s">
        <v>437</v>
      </c>
      <c r="B406">
        <v>13939</v>
      </c>
      <c r="C406">
        <f>Kaikki!A406</f>
        <v>462</v>
      </c>
      <c r="D406" s="39">
        <f t="shared" si="6"/>
        <v>3.3144414950857307E-2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278</v>
      </c>
      <c r="D411" s="39">
        <f t="shared" si="7"/>
        <v>2.1807342328208346E-2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515</v>
      </c>
      <c r="D414" s="39">
        <f t="shared" si="7"/>
        <v>2.3891259974021153E-2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571</v>
      </c>
      <c r="D417" s="39">
        <f t="shared" si="7"/>
        <v>2.9639242148974825E-2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619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463" activePane="bottomLeft" state="frozen"/>
      <selection pane="bottomLeft" activeCell="A487" sqref="A487"/>
    </sheetView>
  </sheetViews>
  <sheetFormatPr defaultRowHeight="15"/>
  <cols>
    <col min="1" max="1" width="9.14062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4.85546875" bestFit="1" customWidth="1"/>
    <col min="11" max="11" width="14" bestFit="1" customWidth="1"/>
    <col min="12" max="12" width="10.140625" bestFit="1" customWidth="1"/>
    <col min="13" max="13" width="14.140625" bestFit="1" customWidth="1"/>
  </cols>
  <sheetData>
    <row r="1" spans="1:15" s="7" customFormat="1" ht="39.950000000000003" customHeight="1">
      <c r="A1" s="31" t="s">
        <v>290</v>
      </c>
      <c r="B1" s="1" t="s">
        <v>1</v>
      </c>
      <c r="C1" s="1" t="s">
        <v>9</v>
      </c>
      <c r="D1" s="1" t="s">
        <v>291</v>
      </c>
      <c r="E1" s="1" t="s">
        <v>299</v>
      </c>
      <c r="F1" s="6" t="s">
        <v>7</v>
      </c>
      <c r="G1" s="7" t="s">
        <v>465</v>
      </c>
      <c r="H1" s="7" t="s">
        <v>467</v>
      </c>
      <c r="I1" s="7">
        <f>SUM(A:A)</f>
        <v>87529</v>
      </c>
      <c r="J1" s="8">
        <v>44320.505208333336</v>
      </c>
      <c r="K1" s="7">
        <f>MAX(A:A)</f>
        <v>892</v>
      </c>
      <c r="L1" s="15">
        <f>VLOOKUP(K1,A:F,6,FALSE)</f>
        <v>44270.625</v>
      </c>
      <c r="M1" s="7">
        <f>COUNT(DataN)-5</f>
        <v>485</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30.4.2021 saakka. Suurin arvo 892, joka 15.3.2021.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0">
      <c r="A17" s="3">
        <v>0</v>
      </c>
      <c r="B17" t="s">
        <v>249</v>
      </c>
      <c r="C17" t="s">
        <v>8</v>
      </c>
      <c r="E17" s="3">
        <f t="shared" si="0"/>
        <v>4</v>
      </c>
      <c r="F17" s="5">
        <v>43846.625</v>
      </c>
      <c r="G17" s="19" t="str">
        <f t="shared" si="1"/>
        <v/>
      </c>
      <c r="J17" s="28" t="e">
        <f t="shared" si="2"/>
        <v>#DIV/0!</v>
      </c>
    </row>
    <row r="18" spans="1:10">
      <c r="A18" s="3">
        <v>0</v>
      </c>
      <c r="B18" t="s">
        <v>250</v>
      </c>
      <c r="C18" t="s">
        <v>8</v>
      </c>
      <c r="E18" s="3">
        <f t="shared" si="0"/>
        <v>5</v>
      </c>
      <c r="F18" s="5">
        <v>43847.625</v>
      </c>
      <c r="G18" s="19" t="str">
        <f t="shared" si="1"/>
        <v/>
      </c>
      <c r="J18" s="28" t="e">
        <f t="shared" si="2"/>
        <v>#DIV/0!</v>
      </c>
    </row>
    <row r="19" spans="1:10">
      <c r="A19" s="3">
        <v>0</v>
      </c>
      <c r="B19" t="s">
        <v>251</v>
      </c>
      <c r="C19" t="s">
        <v>8</v>
      </c>
      <c r="E19" s="3">
        <f t="shared" si="0"/>
        <v>6</v>
      </c>
      <c r="F19" s="5">
        <v>43848.625</v>
      </c>
      <c r="G19" s="19" t="str">
        <f t="shared" si="1"/>
        <v/>
      </c>
      <c r="J19" s="28" t="e">
        <f t="shared" si="2"/>
        <v>#DIV/0!</v>
      </c>
    </row>
    <row r="20" spans="1:10">
      <c r="A20" s="3">
        <v>0</v>
      </c>
      <c r="B20" t="s">
        <v>252</v>
      </c>
      <c r="C20" t="s">
        <v>8</v>
      </c>
      <c r="E20" s="3">
        <f t="shared" si="0"/>
        <v>7</v>
      </c>
      <c r="F20" s="5">
        <v>43849.625</v>
      </c>
      <c r="G20" s="19" t="str">
        <f t="shared" si="1"/>
        <v/>
      </c>
      <c r="J20" s="28" t="e">
        <f t="shared" si="2"/>
        <v>#DIV/0!</v>
      </c>
    </row>
    <row r="21" spans="1:10">
      <c r="A21" s="3">
        <v>0</v>
      </c>
      <c r="B21" t="s">
        <v>253</v>
      </c>
      <c r="C21" t="s">
        <v>8</v>
      </c>
      <c r="E21" s="3">
        <f t="shared" si="0"/>
        <v>1</v>
      </c>
      <c r="F21" s="5">
        <v>43850.625</v>
      </c>
      <c r="G21" s="19" t="str">
        <f t="shared" si="1"/>
        <v>2020-W04</v>
      </c>
      <c r="H21">
        <f>SUM(A21:A27)</f>
        <v>0</v>
      </c>
      <c r="I21" s="28" t="e">
        <f>H21/H14-1</f>
        <v>#DIV/0!</v>
      </c>
      <c r="J21" s="28" t="e">
        <f t="shared" si="2"/>
        <v>#DIV/0!</v>
      </c>
    </row>
    <row r="22" spans="1:10">
      <c r="A22" s="3">
        <v>0</v>
      </c>
      <c r="B22" t="s">
        <v>254</v>
      </c>
      <c r="C22" t="s">
        <v>8</v>
      </c>
      <c r="E22" s="3">
        <f t="shared" si="0"/>
        <v>2</v>
      </c>
      <c r="F22" s="5">
        <v>43851.625</v>
      </c>
      <c r="G22" s="19" t="str">
        <f t="shared" si="1"/>
        <v/>
      </c>
      <c r="J22" s="28" t="e">
        <f t="shared" si="2"/>
        <v>#DIV/0!</v>
      </c>
    </row>
    <row r="23" spans="1:10">
      <c r="A23" s="3">
        <v>0</v>
      </c>
      <c r="B23" t="s">
        <v>255</v>
      </c>
      <c r="C23" t="s">
        <v>8</v>
      </c>
      <c r="E23" s="3">
        <f t="shared" si="0"/>
        <v>3</v>
      </c>
      <c r="F23" s="5">
        <v>43852.625</v>
      </c>
      <c r="G23" s="19" t="str">
        <f t="shared" si="1"/>
        <v/>
      </c>
      <c r="J23" s="28" t="e">
        <f t="shared" si="2"/>
        <v>#DIV/0!</v>
      </c>
    </row>
    <row r="24" spans="1:10">
      <c r="A24" s="3">
        <v>0</v>
      </c>
      <c r="B24" t="s">
        <v>256</v>
      </c>
      <c r="C24" t="s">
        <v>8</v>
      </c>
      <c r="E24" s="3">
        <f t="shared" si="0"/>
        <v>4</v>
      </c>
      <c r="F24" s="5">
        <v>43853.625</v>
      </c>
      <c r="G24" s="19" t="str">
        <f t="shared" si="1"/>
        <v/>
      </c>
      <c r="J24" s="28" t="e">
        <f t="shared" si="2"/>
        <v>#DIV/0!</v>
      </c>
    </row>
    <row r="25" spans="1:10">
      <c r="A25" s="3">
        <v>0</v>
      </c>
      <c r="B25" t="s">
        <v>257</v>
      </c>
      <c r="C25" t="s">
        <v>8</v>
      </c>
      <c r="E25" s="3">
        <f t="shared" si="0"/>
        <v>5</v>
      </c>
      <c r="F25" s="5">
        <v>43854.625</v>
      </c>
      <c r="G25" s="19" t="str">
        <f t="shared" si="1"/>
        <v/>
      </c>
      <c r="J25" s="28" t="e">
        <f t="shared" si="2"/>
        <v>#DIV/0!</v>
      </c>
    </row>
    <row r="26" spans="1:10">
      <c r="A26" s="3">
        <v>0</v>
      </c>
      <c r="B26" t="s">
        <v>258</v>
      </c>
      <c r="C26" t="s">
        <v>8</v>
      </c>
      <c r="E26" s="3">
        <f t="shared" si="0"/>
        <v>6</v>
      </c>
      <c r="F26" s="5">
        <v>43855.625</v>
      </c>
      <c r="G26" s="19" t="str">
        <f t="shared" si="1"/>
        <v/>
      </c>
      <c r="J26" s="28" t="e">
        <f t="shared" si="2"/>
        <v>#DIV/0!</v>
      </c>
    </row>
    <row r="27" spans="1:10">
      <c r="A27" s="3">
        <v>0</v>
      </c>
      <c r="B27" t="s">
        <v>259</v>
      </c>
      <c r="C27" t="s">
        <v>8</v>
      </c>
      <c r="E27" s="3">
        <f t="shared" si="0"/>
        <v>7</v>
      </c>
      <c r="F27" s="5">
        <v>43856.625</v>
      </c>
      <c r="G27" s="19" t="str">
        <f t="shared" si="1"/>
        <v/>
      </c>
      <c r="J27" s="28" t="e">
        <f t="shared" si="2"/>
        <v>#DIV/0!</v>
      </c>
    </row>
    <row r="28" spans="1:10">
      <c r="A28" s="3">
        <v>0</v>
      </c>
      <c r="B28" t="s">
        <v>260</v>
      </c>
      <c r="C28" t="s">
        <v>8</v>
      </c>
      <c r="E28" s="3">
        <f t="shared" si="0"/>
        <v>1</v>
      </c>
      <c r="F28" s="5">
        <v>43857.625</v>
      </c>
      <c r="G28" s="19" t="str">
        <f t="shared" si="1"/>
        <v>2020-W05</v>
      </c>
      <c r="H28">
        <f>SUM(A28:A34)</f>
        <v>1</v>
      </c>
      <c r="I28" s="28" t="e">
        <f>H28/H21-1</f>
        <v>#DIV/0!</v>
      </c>
      <c r="J28" s="28" t="e">
        <f t="shared" si="2"/>
        <v>#DIV/0!</v>
      </c>
    </row>
    <row r="29" spans="1:10">
      <c r="A29" s="3">
        <v>1</v>
      </c>
      <c r="B29" t="s">
        <v>10</v>
      </c>
      <c r="C29" t="s">
        <v>8</v>
      </c>
      <c r="E29" s="3">
        <f t="shared" si="0"/>
        <v>2</v>
      </c>
      <c r="F29" s="5">
        <v>43858.625</v>
      </c>
      <c r="G29" s="19" t="str">
        <f t="shared" si="1"/>
        <v/>
      </c>
      <c r="J29" s="28" t="e">
        <f t="shared" si="2"/>
        <v>#DIV/0!</v>
      </c>
    </row>
    <row r="30" spans="1:10">
      <c r="A30" s="3">
        <v>0</v>
      </c>
      <c r="B30" t="s">
        <v>261</v>
      </c>
      <c r="C30" t="s">
        <v>8</v>
      </c>
      <c r="E30" s="3">
        <f t="shared" si="0"/>
        <v>3</v>
      </c>
      <c r="F30" s="5">
        <v>43859.625</v>
      </c>
      <c r="G30" s="19" t="str">
        <f t="shared" si="1"/>
        <v/>
      </c>
      <c r="J30" s="28" t="e">
        <f t="shared" si="2"/>
        <v>#DIV/0!</v>
      </c>
    </row>
    <row r="31" spans="1:10">
      <c r="A31" s="3">
        <v>0</v>
      </c>
      <c r="B31" t="s">
        <v>262</v>
      </c>
      <c r="C31" t="s">
        <v>8</v>
      </c>
      <c r="E31" s="3">
        <f t="shared" si="0"/>
        <v>4</v>
      </c>
      <c r="F31" s="5">
        <v>43860.625</v>
      </c>
      <c r="G31" s="19" t="str">
        <f t="shared" si="1"/>
        <v/>
      </c>
      <c r="J31" s="28" t="e">
        <f t="shared" si="2"/>
        <v>#DIV/0!</v>
      </c>
    </row>
    <row r="32" spans="1:10">
      <c r="A32" s="3">
        <v>0</v>
      </c>
      <c r="B32" t="s">
        <v>263</v>
      </c>
      <c r="C32" t="s">
        <v>8</v>
      </c>
      <c r="E32" s="3">
        <f t="shared" si="0"/>
        <v>5</v>
      </c>
      <c r="F32" s="5">
        <v>43861.625</v>
      </c>
      <c r="G32" s="19" t="str">
        <f t="shared" si="1"/>
        <v/>
      </c>
      <c r="J32" s="28" t="e">
        <f t="shared" si="2"/>
        <v>#DIV/0!</v>
      </c>
    </row>
    <row r="33" spans="1:10">
      <c r="A33" s="3">
        <v>0</v>
      </c>
      <c r="B33" t="s">
        <v>264</v>
      </c>
      <c r="C33" t="s">
        <v>8</v>
      </c>
      <c r="E33" s="3">
        <f t="shared" si="0"/>
        <v>6</v>
      </c>
      <c r="F33" s="5">
        <v>43862.625</v>
      </c>
      <c r="G33" s="19" t="str">
        <f t="shared" si="1"/>
        <v/>
      </c>
      <c r="J33" s="28" t="e">
        <f t="shared" si="2"/>
        <v>#DIV/0!</v>
      </c>
    </row>
    <row r="34" spans="1:10">
      <c r="A34" s="3">
        <v>0</v>
      </c>
      <c r="B34" t="s">
        <v>265</v>
      </c>
      <c r="C34" t="s">
        <v>8</v>
      </c>
      <c r="E34" s="3">
        <f t="shared" si="0"/>
        <v>7</v>
      </c>
      <c r="F34" s="5">
        <v>43863.625</v>
      </c>
      <c r="G34" s="19" t="str">
        <f t="shared" si="1"/>
        <v/>
      </c>
      <c r="J34" s="28" t="e">
        <f t="shared" si="2"/>
        <v>#DIV/0!</v>
      </c>
    </row>
    <row r="35" spans="1:10">
      <c r="A35" s="3">
        <v>0</v>
      </c>
      <c r="B35" t="s">
        <v>266</v>
      </c>
      <c r="C35" t="s">
        <v>8</v>
      </c>
      <c r="E35" s="3">
        <f t="shared" si="0"/>
        <v>1</v>
      </c>
      <c r="F35" s="5">
        <v>43864.625</v>
      </c>
      <c r="G35" s="19" t="str">
        <f t="shared" si="1"/>
        <v>2020-W06</v>
      </c>
      <c r="H35">
        <f>SUM(A35:A41)</f>
        <v>0</v>
      </c>
      <c r="I35" s="28">
        <f>H35/H28-1</f>
        <v>-1</v>
      </c>
      <c r="J35" s="28" t="e">
        <f t="shared" si="2"/>
        <v>#DIV/0!</v>
      </c>
    </row>
    <row r="36" spans="1:10">
      <c r="A36" s="3">
        <v>0</v>
      </c>
      <c r="B36" t="s">
        <v>267</v>
      </c>
      <c r="C36" t="s">
        <v>8</v>
      </c>
      <c r="E36" s="3">
        <f t="shared" si="0"/>
        <v>2</v>
      </c>
      <c r="F36" s="5">
        <v>43865.625</v>
      </c>
      <c r="G36" s="19" t="str">
        <f t="shared" si="1"/>
        <v/>
      </c>
      <c r="J36" s="28">
        <f t="shared" si="2"/>
        <v>-1</v>
      </c>
    </row>
    <row r="37" spans="1:10">
      <c r="A37" s="3">
        <v>0</v>
      </c>
      <c r="B37" t="s">
        <v>268</v>
      </c>
      <c r="C37" t="s">
        <v>8</v>
      </c>
      <c r="E37" s="3">
        <f t="shared" si="0"/>
        <v>3</v>
      </c>
      <c r="F37" s="5">
        <v>43866.625</v>
      </c>
      <c r="G37" s="19" t="str">
        <f t="shared" si="1"/>
        <v/>
      </c>
      <c r="J37" s="28" t="e">
        <f t="shared" si="2"/>
        <v>#DIV/0!</v>
      </c>
    </row>
    <row r="38" spans="1:10">
      <c r="A38" s="3">
        <v>0</v>
      </c>
      <c r="B38" t="s">
        <v>269</v>
      </c>
      <c r="C38" t="s">
        <v>8</v>
      </c>
      <c r="E38" s="3">
        <f t="shared" si="0"/>
        <v>4</v>
      </c>
      <c r="F38" s="5">
        <v>43867.625</v>
      </c>
      <c r="G38" s="19" t="str">
        <f t="shared" si="1"/>
        <v/>
      </c>
      <c r="J38" s="28" t="e">
        <f t="shared" si="2"/>
        <v>#DIV/0!</v>
      </c>
    </row>
    <row r="39" spans="1:10">
      <c r="A39" s="3">
        <v>0</v>
      </c>
      <c r="B39" t="s">
        <v>270</v>
      </c>
      <c r="C39" t="s">
        <v>8</v>
      </c>
      <c r="E39" s="3">
        <f t="shared" si="0"/>
        <v>5</v>
      </c>
      <c r="F39" s="5">
        <v>43868.625</v>
      </c>
      <c r="G39" s="19" t="str">
        <f t="shared" si="1"/>
        <v/>
      </c>
      <c r="J39" s="28" t="e">
        <f t="shared" si="2"/>
        <v>#DIV/0!</v>
      </c>
    </row>
    <row r="40" spans="1:10">
      <c r="A40" s="3">
        <v>0</v>
      </c>
      <c r="B40" t="s">
        <v>271</v>
      </c>
      <c r="C40" t="s">
        <v>8</v>
      </c>
      <c r="E40" s="3">
        <f t="shared" si="0"/>
        <v>6</v>
      </c>
      <c r="F40" s="5">
        <v>43869.625</v>
      </c>
      <c r="G40" s="19" t="str">
        <f t="shared" si="1"/>
        <v/>
      </c>
      <c r="J40" s="28" t="e">
        <f t="shared" si="2"/>
        <v>#DIV/0!</v>
      </c>
    </row>
    <row r="41" spans="1:10">
      <c r="A41" s="3">
        <v>0</v>
      </c>
      <c r="B41" t="s">
        <v>272</v>
      </c>
      <c r="C41" t="s">
        <v>8</v>
      </c>
      <c r="E41" s="3">
        <f t="shared" si="0"/>
        <v>7</v>
      </c>
      <c r="F41" s="5">
        <v>43870.625</v>
      </c>
      <c r="G41" s="19" t="str">
        <f t="shared" si="1"/>
        <v/>
      </c>
      <c r="J41" s="28" t="e">
        <f t="shared" si="2"/>
        <v>#DIV/0!</v>
      </c>
    </row>
    <row r="42" spans="1:10">
      <c r="A42" s="3">
        <v>1</v>
      </c>
      <c r="B42" t="s">
        <v>11</v>
      </c>
      <c r="C42" t="s">
        <v>8</v>
      </c>
      <c r="E42" s="3">
        <f t="shared" si="0"/>
        <v>1</v>
      </c>
      <c r="F42" s="5">
        <v>43871.625</v>
      </c>
      <c r="G42" s="19" t="str">
        <f t="shared" si="1"/>
        <v>2020-W07</v>
      </c>
      <c r="H42">
        <f>SUM(A42:A48)</f>
        <v>1</v>
      </c>
      <c r="I42" s="28" t="e">
        <f>H42/H35-1</f>
        <v>#DIV/0!</v>
      </c>
      <c r="J42" s="28" t="e">
        <f t="shared" si="2"/>
        <v>#DIV/0!</v>
      </c>
    </row>
    <row r="43" spans="1:10">
      <c r="A43" s="3">
        <v>0</v>
      </c>
      <c r="B43" t="s">
        <v>273</v>
      </c>
      <c r="C43" t="s">
        <v>8</v>
      </c>
      <c r="E43" s="3">
        <f t="shared" si="0"/>
        <v>2</v>
      </c>
      <c r="F43" s="5">
        <v>43872.625</v>
      </c>
      <c r="G43" s="19" t="str">
        <f t="shared" si="1"/>
        <v/>
      </c>
      <c r="J43" s="28" t="e">
        <f t="shared" si="2"/>
        <v>#DIV/0!</v>
      </c>
    </row>
    <row r="44" spans="1:10">
      <c r="A44" s="3">
        <v>0</v>
      </c>
      <c r="B44" t="s">
        <v>274</v>
      </c>
      <c r="C44" t="s">
        <v>8</v>
      </c>
      <c r="E44" s="3">
        <f t="shared" si="0"/>
        <v>3</v>
      </c>
      <c r="F44" s="5">
        <v>43873.625</v>
      </c>
      <c r="G44" s="19" t="str">
        <f t="shared" si="1"/>
        <v/>
      </c>
      <c r="J44" s="28" t="e">
        <f t="shared" si="2"/>
        <v>#DIV/0!</v>
      </c>
    </row>
    <row r="45" spans="1:10">
      <c r="A45" s="3">
        <v>0</v>
      </c>
      <c r="B45" t="s">
        <v>275</v>
      </c>
      <c r="C45" t="s">
        <v>8</v>
      </c>
      <c r="E45" s="3">
        <f t="shared" si="0"/>
        <v>4</v>
      </c>
      <c r="F45" s="5">
        <v>43874.625</v>
      </c>
      <c r="G45" s="19" t="str">
        <f t="shared" si="1"/>
        <v/>
      </c>
      <c r="J45" s="28" t="e">
        <f t="shared" si="2"/>
        <v>#DIV/0!</v>
      </c>
    </row>
    <row r="46" spans="1:10">
      <c r="A46" s="3">
        <v>0</v>
      </c>
      <c r="B46" t="s">
        <v>276</v>
      </c>
      <c r="C46" t="s">
        <v>8</v>
      </c>
      <c r="E46" s="3">
        <f t="shared" si="0"/>
        <v>5</v>
      </c>
      <c r="F46" s="5">
        <v>43875.625</v>
      </c>
      <c r="G46" s="19" t="str">
        <f t="shared" si="1"/>
        <v/>
      </c>
      <c r="J46" s="28" t="e">
        <f t="shared" si="2"/>
        <v>#DIV/0!</v>
      </c>
    </row>
    <row r="47" spans="1:10">
      <c r="A47" s="3">
        <v>0</v>
      </c>
      <c r="B47" t="s">
        <v>277</v>
      </c>
      <c r="C47" t="s">
        <v>8</v>
      </c>
      <c r="E47" s="3">
        <f t="shared" si="0"/>
        <v>6</v>
      </c>
      <c r="F47" s="5">
        <v>43876.625</v>
      </c>
      <c r="G47" s="19" t="str">
        <f t="shared" si="1"/>
        <v/>
      </c>
      <c r="J47" s="28" t="e">
        <f t="shared" si="2"/>
        <v>#DIV/0!</v>
      </c>
    </row>
    <row r="48" spans="1:10">
      <c r="A48" s="3">
        <v>0</v>
      </c>
      <c r="B48" t="s">
        <v>278</v>
      </c>
      <c r="C48" t="s">
        <v>8</v>
      </c>
      <c r="E48" s="3">
        <f t="shared" si="0"/>
        <v>7</v>
      </c>
      <c r="F48" s="5">
        <v>43877.625</v>
      </c>
      <c r="G48" s="19" t="str">
        <f t="shared" si="1"/>
        <v/>
      </c>
      <c r="J48" s="28" t="e">
        <f t="shared" si="2"/>
        <v>#DIV/0!</v>
      </c>
    </row>
    <row r="49" spans="1:10">
      <c r="A49" s="3">
        <v>0</v>
      </c>
      <c r="B49" t="s">
        <v>279</v>
      </c>
      <c r="C49" t="s">
        <v>8</v>
      </c>
      <c r="E49" s="3">
        <f t="shared" si="0"/>
        <v>1</v>
      </c>
      <c r="F49" s="5">
        <v>43878.625</v>
      </c>
      <c r="G49" s="19" t="str">
        <f t="shared" si="1"/>
        <v>2020-W08</v>
      </c>
      <c r="H49">
        <f>SUM(A49:A55)</f>
        <v>1</v>
      </c>
      <c r="I49" s="28">
        <f>H49/H42-1</f>
        <v>0</v>
      </c>
      <c r="J49" s="28">
        <f t="shared" si="2"/>
        <v>-1</v>
      </c>
    </row>
    <row r="50" spans="1:10">
      <c r="A50" s="3">
        <v>0</v>
      </c>
      <c r="B50" t="s">
        <v>280</v>
      </c>
      <c r="C50" t="s">
        <v>8</v>
      </c>
      <c r="E50" s="3">
        <f t="shared" si="0"/>
        <v>2</v>
      </c>
      <c r="F50" s="5">
        <v>43879.625</v>
      </c>
      <c r="G50" s="19" t="str">
        <f t="shared" si="1"/>
        <v/>
      </c>
      <c r="J50" s="28" t="e">
        <f t="shared" si="2"/>
        <v>#DIV/0!</v>
      </c>
    </row>
    <row r="51" spans="1:10">
      <c r="A51" s="3">
        <v>0</v>
      </c>
      <c r="B51" t="s">
        <v>281</v>
      </c>
      <c r="C51" t="s">
        <v>8</v>
      </c>
      <c r="E51" s="3">
        <f t="shared" si="0"/>
        <v>3</v>
      </c>
      <c r="F51" s="5">
        <v>43880.625</v>
      </c>
      <c r="G51" s="19" t="str">
        <f t="shared" si="1"/>
        <v/>
      </c>
      <c r="J51" s="28" t="e">
        <f t="shared" si="2"/>
        <v>#DIV/0!</v>
      </c>
    </row>
    <row r="52" spans="1:10">
      <c r="A52" s="3">
        <v>0</v>
      </c>
      <c r="B52" t="s">
        <v>282</v>
      </c>
      <c r="C52" t="s">
        <v>8</v>
      </c>
      <c r="E52" s="3">
        <f t="shared" si="0"/>
        <v>4</v>
      </c>
      <c r="F52" s="5">
        <v>43881.625</v>
      </c>
      <c r="G52" s="19" t="str">
        <f t="shared" si="1"/>
        <v/>
      </c>
      <c r="J52" s="28" t="e">
        <f t="shared" si="2"/>
        <v>#DIV/0!</v>
      </c>
    </row>
    <row r="53" spans="1:10">
      <c r="A53" s="3">
        <v>0</v>
      </c>
      <c r="B53" t="s">
        <v>283</v>
      </c>
      <c r="C53" t="s">
        <v>8</v>
      </c>
      <c r="E53" s="3">
        <f t="shared" si="0"/>
        <v>5</v>
      </c>
      <c r="F53" s="5">
        <v>43882.625</v>
      </c>
      <c r="G53" s="19" t="str">
        <f t="shared" si="1"/>
        <v/>
      </c>
      <c r="J53" s="28" t="e">
        <f t="shared" si="2"/>
        <v>#DIV/0!</v>
      </c>
    </row>
    <row r="54" spans="1:10">
      <c r="A54" s="3">
        <v>1</v>
      </c>
      <c r="B54" t="s">
        <v>12</v>
      </c>
      <c r="C54" t="s">
        <v>8</v>
      </c>
      <c r="E54" s="3">
        <f t="shared" si="0"/>
        <v>6</v>
      </c>
      <c r="F54" s="5">
        <v>43883.625</v>
      </c>
      <c r="G54" s="19" t="str">
        <f t="shared" si="1"/>
        <v/>
      </c>
      <c r="J54" s="28" t="e">
        <f t="shared" si="2"/>
        <v>#DIV/0!</v>
      </c>
    </row>
    <row r="55" spans="1:10">
      <c r="A55" s="3">
        <v>0</v>
      </c>
      <c r="B55" t="s">
        <v>284</v>
      </c>
      <c r="C55" t="s">
        <v>8</v>
      </c>
      <c r="E55" s="3">
        <f t="shared" si="0"/>
        <v>7</v>
      </c>
      <c r="F55" s="5">
        <v>43884.625</v>
      </c>
      <c r="G55" s="19" t="str">
        <f t="shared" si="1"/>
        <v/>
      </c>
      <c r="J55" s="28" t="e">
        <f t="shared" si="2"/>
        <v>#DIV/0!</v>
      </c>
    </row>
    <row r="56" spans="1:10">
      <c r="A56" s="3">
        <v>0</v>
      </c>
      <c r="B56" t="s">
        <v>285</v>
      </c>
      <c r="C56" t="s">
        <v>8</v>
      </c>
      <c r="E56" s="3">
        <f t="shared" si="0"/>
        <v>1</v>
      </c>
      <c r="F56" s="5">
        <v>43885.625</v>
      </c>
      <c r="G56" s="19" t="str">
        <f t="shared" si="1"/>
        <v>2020-W09</v>
      </c>
      <c r="H56">
        <f>SUM(A56:A62)</f>
        <v>7</v>
      </c>
      <c r="I56" s="28">
        <f>H56/H49-1</f>
        <v>6</v>
      </c>
      <c r="J56" s="28" t="e">
        <f t="shared" si="2"/>
        <v>#DIV/0!</v>
      </c>
    </row>
    <row r="57" spans="1:10">
      <c r="A57" s="3">
        <v>1</v>
      </c>
      <c r="B57" t="s">
        <v>13</v>
      </c>
      <c r="C57" t="s">
        <v>8</v>
      </c>
      <c r="E57" s="3">
        <f t="shared" si="0"/>
        <v>2</v>
      </c>
      <c r="F57" s="5">
        <v>43886.625</v>
      </c>
      <c r="G57" s="19" t="str">
        <f t="shared" si="1"/>
        <v/>
      </c>
      <c r="J57" s="28" t="e">
        <f t="shared" si="2"/>
        <v>#DIV/0!</v>
      </c>
    </row>
    <row r="58" spans="1:10">
      <c r="A58" s="3">
        <v>0</v>
      </c>
      <c r="B58" t="s">
        <v>286</v>
      </c>
      <c r="C58" t="s">
        <v>8</v>
      </c>
      <c r="E58" s="3">
        <f t="shared" si="0"/>
        <v>3</v>
      </c>
      <c r="F58" s="5">
        <v>43887.625</v>
      </c>
      <c r="G58" s="19" t="str">
        <f t="shared" si="1"/>
        <v/>
      </c>
      <c r="J58" s="28" t="e">
        <f t="shared" si="2"/>
        <v>#DIV/0!</v>
      </c>
    </row>
    <row r="59" spans="1:10">
      <c r="A59" s="3">
        <v>1</v>
      </c>
      <c r="B59" t="s">
        <v>14</v>
      </c>
      <c r="C59" t="s">
        <v>8</v>
      </c>
      <c r="E59" s="3">
        <f t="shared" si="0"/>
        <v>4</v>
      </c>
      <c r="F59" s="5">
        <v>43888.625</v>
      </c>
      <c r="G59" s="19" t="str">
        <f t="shared" si="1"/>
        <v/>
      </c>
      <c r="J59" s="28" t="e">
        <f t="shared" si="2"/>
        <v>#DIV/0!</v>
      </c>
    </row>
    <row r="60" spans="1:10">
      <c r="A60" s="3">
        <v>3</v>
      </c>
      <c r="B60" t="s">
        <v>15</v>
      </c>
      <c r="C60" t="s">
        <v>8</v>
      </c>
      <c r="E60" s="3">
        <f t="shared" si="0"/>
        <v>5</v>
      </c>
      <c r="F60" s="5">
        <v>43889.625</v>
      </c>
      <c r="G60" s="19" t="str">
        <f t="shared" si="1"/>
        <v/>
      </c>
      <c r="J60" s="28" t="e">
        <f t="shared" si="2"/>
        <v>#DIV/0!</v>
      </c>
    </row>
    <row r="61" spans="1:10">
      <c r="A61" s="3">
        <v>1</v>
      </c>
      <c r="B61" t="s">
        <v>16</v>
      </c>
      <c r="C61" t="s">
        <v>8</v>
      </c>
      <c r="E61" s="3">
        <f t="shared" si="0"/>
        <v>6</v>
      </c>
      <c r="F61" s="5">
        <v>43890.625</v>
      </c>
      <c r="G61" s="19" t="str">
        <f t="shared" si="1"/>
        <v/>
      </c>
      <c r="J61" s="28">
        <f t="shared" si="2"/>
        <v>0</v>
      </c>
    </row>
    <row r="62" spans="1:10">
      <c r="A62" s="3">
        <v>1</v>
      </c>
      <c r="B62" t="s">
        <v>17</v>
      </c>
      <c r="C62" t="s">
        <v>8</v>
      </c>
      <c r="E62" s="3">
        <f t="shared" si="0"/>
        <v>7</v>
      </c>
      <c r="F62" s="5">
        <v>43891.625</v>
      </c>
      <c r="G62" s="19" t="str">
        <f t="shared" si="1"/>
        <v/>
      </c>
      <c r="J62" s="28" t="e">
        <f t="shared" si="2"/>
        <v>#DIV/0!</v>
      </c>
    </row>
    <row r="63" spans="1:10">
      <c r="A63" s="3">
        <v>0</v>
      </c>
      <c r="B63" t="s">
        <v>287</v>
      </c>
      <c r="C63" t="s">
        <v>8</v>
      </c>
      <c r="E63" s="3">
        <f t="shared" si="0"/>
        <v>1</v>
      </c>
      <c r="F63" s="5">
        <v>43892.625</v>
      </c>
      <c r="G63" s="19" t="str">
        <f t="shared" si="1"/>
        <v>2020-W10</v>
      </c>
      <c r="H63">
        <f>SUM(A63:A69)</f>
        <v>34</v>
      </c>
      <c r="I63" s="28">
        <f>H63/H56-1</f>
        <v>3.8571428571428568</v>
      </c>
      <c r="J63" s="28" t="e">
        <f t="shared" si="2"/>
        <v>#DIV/0!</v>
      </c>
    </row>
    <row r="64" spans="1:10">
      <c r="A64" s="3">
        <v>4</v>
      </c>
      <c r="B64" t="s">
        <v>18</v>
      </c>
      <c r="C64" t="s">
        <v>8</v>
      </c>
      <c r="E64" s="3">
        <f t="shared" si="0"/>
        <v>2</v>
      </c>
      <c r="F64" s="5">
        <v>43893.625</v>
      </c>
      <c r="G64" s="19" t="str">
        <f t="shared" si="1"/>
        <v/>
      </c>
      <c r="J64" s="28">
        <f t="shared" si="2"/>
        <v>3</v>
      </c>
    </row>
    <row r="65" spans="1:10">
      <c r="A65" s="3">
        <v>6</v>
      </c>
      <c r="B65" t="s">
        <v>19</v>
      </c>
      <c r="C65" t="s">
        <v>8</v>
      </c>
      <c r="E65" s="3">
        <f t="shared" si="0"/>
        <v>3</v>
      </c>
      <c r="F65" s="5">
        <v>43894.625</v>
      </c>
      <c r="G65" s="19" t="str">
        <f t="shared" si="1"/>
        <v/>
      </c>
      <c r="J65" s="28" t="e">
        <f t="shared" si="2"/>
        <v>#DIV/0!</v>
      </c>
    </row>
    <row r="66" spans="1:10">
      <c r="A66" s="3">
        <v>1</v>
      </c>
      <c r="B66" t="s">
        <v>20</v>
      </c>
      <c r="C66" t="s">
        <v>8</v>
      </c>
      <c r="E66" s="3">
        <f t="shared" si="0"/>
        <v>4</v>
      </c>
      <c r="F66" s="5">
        <v>43895.625</v>
      </c>
      <c r="G66" s="19" t="str">
        <f t="shared" si="1"/>
        <v/>
      </c>
      <c r="J66" s="28">
        <f t="shared" si="2"/>
        <v>0</v>
      </c>
    </row>
    <row r="67" spans="1:10">
      <c r="A67" s="3">
        <v>7</v>
      </c>
      <c r="B67" t="s">
        <v>21</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22</v>
      </c>
      <c r="C68" t="s">
        <v>8</v>
      </c>
      <c r="E68" s="3">
        <f t="shared" si="3"/>
        <v>6</v>
      </c>
      <c r="F68" s="5">
        <v>43897.625</v>
      </c>
      <c r="G68" s="19" t="str">
        <f t="shared" si="4"/>
        <v/>
      </c>
      <c r="J68" s="28">
        <f t="shared" si="2"/>
        <v>6</v>
      </c>
    </row>
    <row r="69" spans="1:10">
      <c r="A69" s="3">
        <v>9</v>
      </c>
      <c r="B69" t="s">
        <v>23</v>
      </c>
      <c r="C69" t="s">
        <v>8</v>
      </c>
      <c r="E69" s="3">
        <f t="shared" si="3"/>
        <v>7</v>
      </c>
      <c r="F69" s="5">
        <v>43898.625</v>
      </c>
      <c r="G69" s="19" t="str">
        <f t="shared" si="4"/>
        <v/>
      </c>
      <c r="J69" s="28">
        <f t="shared" si="2"/>
        <v>8</v>
      </c>
    </row>
    <row r="70" spans="1:10">
      <c r="A70" s="3">
        <v>17</v>
      </c>
      <c r="B70" t="s">
        <v>24</v>
      </c>
      <c r="C70" t="s">
        <v>8</v>
      </c>
      <c r="E70" s="3">
        <f t="shared" si="3"/>
        <v>1</v>
      </c>
      <c r="F70" s="5">
        <v>43899.625</v>
      </c>
      <c r="G70" s="19" t="str">
        <f t="shared" si="4"/>
        <v>2020-W11</v>
      </c>
      <c r="H70">
        <f>SUM(A70:A76)</f>
        <v>317</v>
      </c>
      <c r="I70" s="28">
        <f>H70/H63-1</f>
        <v>8.3235294117647065</v>
      </c>
      <c r="J70" s="28" t="e">
        <f t="shared" si="2"/>
        <v>#DIV/0!</v>
      </c>
    </row>
    <row r="71" spans="1:10">
      <c r="A71" s="3">
        <v>54</v>
      </c>
      <c r="B71" t="s">
        <v>25</v>
      </c>
      <c r="C71" t="s">
        <v>8</v>
      </c>
      <c r="E71" s="3">
        <f t="shared" si="3"/>
        <v>2</v>
      </c>
      <c r="F71" s="5">
        <v>43900.625</v>
      </c>
      <c r="G71" s="19" t="str">
        <f t="shared" si="4"/>
        <v/>
      </c>
      <c r="J71" s="28">
        <f t="shared" si="2"/>
        <v>12.5</v>
      </c>
    </row>
    <row r="72" spans="1:10">
      <c r="A72" s="3">
        <v>76</v>
      </c>
      <c r="B72" t="s">
        <v>26</v>
      </c>
      <c r="C72" t="s">
        <v>8</v>
      </c>
      <c r="E72" s="3">
        <f t="shared" si="3"/>
        <v>3</v>
      </c>
      <c r="F72" s="5">
        <v>43901.625</v>
      </c>
      <c r="G72" s="19" t="str">
        <f t="shared" si="4"/>
        <v/>
      </c>
      <c r="J72" s="28">
        <f t="shared" si="2"/>
        <v>11.666666666666666</v>
      </c>
    </row>
    <row r="73" spans="1:10">
      <c r="A73" s="3">
        <v>60</v>
      </c>
      <c r="B73" t="s">
        <v>27</v>
      </c>
      <c r="C73" t="s">
        <v>8</v>
      </c>
      <c r="E73" s="3">
        <f t="shared" si="3"/>
        <v>4</v>
      </c>
      <c r="F73" s="5">
        <v>43902.625</v>
      </c>
      <c r="G73" s="19" t="str">
        <f t="shared" si="4"/>
        <v/>
      </c>
      <c r="J73" s="28">
        <f t="shared" ref="J73:J136" si="5">A73/A66-1</f>
        <v>59</v>
      </c>
    </row>
    <row r="74" spans="1:10">
      <c r="A74" s="3">
        <v>28</v>
      </c>
      <c r="B74" t="s">
        <v>28</v>
      </c>
      <c r="C74" t="s">
        <v>8</v>
      </c>
      <c r="E74" s="3">
        <f t="shared" si="3"/>
        <v>5</v>
      </c>
      <c r="F74" s="5">
        <v>43903.625</v>
      </c>
      <c r="G74" s="19" t="str">
        <f t="shared" si="4"/>
        <v/>
      </c>
      <c r="J74" s="28">
        <f t="shared" si="5"/>
        <v>3</v>
      </c>
    </row>
    <row r="75" spans="1:10">
      <c r="A75" s="3">
        <v>29</v>
      </c>
      <c r="B75" t="s">
        <v>29</v>
      </c>
      <c r="C75" t="s">
        <v>8</v>
      </c>
      <c r="E75" s="3">
        <f t="shared" si="3"/>
        <v>6</v>
      </c>
      <c r="F75" s="5">
        <v>43904.625</v>
      </c>
      <c r="G75" s="19" t="str">
        <f t="shared" si="4"/>
        <v/>
      </c>
      <c r="J75" s="28">
        <f t="shared" si="5"/>
        <v>3.1428571428571432</v>
      </c>
    </row>
    <row r="76" spans="1:10">
      <c r="A76" s="3">
        <v>53</v>
      </c>
      <c r="B76" t="s">
        <v>30</v>
      </c>
      <c r="C76" t="s">
        <v>8</v>
      </c>
      <c r="E76" s="3">
        <f t="shared" si="3"/>
        <v>7</v>
      </c>
      <c r="F76" s="5">
        <v>43905.625</v>
      </c>
      <c r="G76" s="19" t="str">
        <f t="shared" si="4"/>
        <v/>
      </c>
      <c r="J76" s="28">
        <f t="shared" si="5"/>
        <v>4.8888888888888893</v>
      </c>
    </row>
    <row r="77" spans="1:10">
      <c r="A77" s="3">
        <v>52</v>
      </c>
      <c r="B77" t="s">
        <v>31</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32</v>
      </c>
      <c r="C78" t="s">
        <v>8</v>
      </c>
      <c r="E78" s="3">
        <f t="shared" si="3"/>
        <v>2</v>
      </c>
      <c r="F78" s="5">
        <v>43907.625</v>
      </c>
      <c r="G78" s="19" t="str">
        <f t="shared" si="4"/>
        <v/>
      </c>
      <c r="J78" s="28">
        <f t="shared" si="5"/>
        <v>-0.12962962962962965</v>
      </c>
    </row>
    <row r="79" spans="1:10">
      <c r="A79" s="3">
        <v>90</v>
      </c>
      <c r="B79" t="s">
        <v>33</v>
      </c>
      <c r="C79" t="s">
        <v>8</v>
      </c>
      <c r="E79" s="3">
        <f t="shared" si="3"/>
        <v>3</v>
      </c>
      <c r="F79" s="5">
        <v>43908.625</v>
      </c>
      <c r="G79" s="19" t="str">
        <f t="shared" si="4"/>
        <v/>
      </c>
      <c r="J79" s="28">
        <f t="shared" si="5"/>
        <v>0.18421052631578938</v>
      </c>
    </row>
    <row r="80" spans="1:10">
      <c r="A80" s="3">
        <v>99</v>
      </c>
      <c r="B80" t="s">
        <v>34</v>
      </c>
      <c r="C80" t="s">
        <v>8</v>
      </c>
      <c r="E80" s="3">
        <f t="shared" si="3"/>
        <v>4</v>
      </c>
      <c r="F80" s="5">
        <v>43909.625</v>
      </c>
      <c r="G80" s="19" t="str">
        <f t="shared" si="4"/>
        <v/>
      </c>
      <c r="J80" s="28">
        <f t="shared" si="5"/>
        <v>0.64999999999999991</v>
      </c>
    </row>
    <row r="81" spans="1:10">
      <c r="A81" s="3">
        <v>87</v>
      </c>
      <c r="B81" t="s">
        <v>35</v>
      </c>
      <c r="C81" t="s">
        <v>8</v>
      </c>
      <c r="E81" s="3">
        <f t="shared" si="3"/>
        <v>5</v>
      </c>
      <c r="F81" s="5">
        <v>43910.625</v>
      </c>
      <c r="G81" s="19" t="str">
        <f t="shared" si="4"/>
        <v/>
      </c>
      <c r="J81" s="28">
        <f t="shared" si="5"/>
        <v>2.1071428571428572</v>
      </c>
    </row>
    <row r="82" spans="1:10">
      <c r="A82" s="3">
        <v>87</v>
      </c>
      <c r="B82" t="s">
        <v>36</v>
      </c>
      <c r="C82" t="s">
        <v>8</v>
      </c>
      <c r="E82" s="3">
        <f t="shared" si="3"/>
        <v>6</v>
      </c>
      <c r="F82" s="5">
        <v>43911.625</v>
      </c>
      <c r="G82" s="19" t="str">
        <f t="shared" si="4"/>
        <v/>
      </c>
      <c r="J82" s="28">
        <f t="shared" si="5"/>
        <v>2</v>
      </c>
    </row>
    <row r="83" spans="1:10">
      <c r="A83" s="3">
        <v>78</v>
      </c>
      <c r="B83" t="s">
        <v>37</v>
      </c>
      <c r="C83" t="s">
        <v>8</v>
      </c>
      <c r="E83" s="3">
        <f t="shared" si="3"/>
        <v>7</v>
      </c>
      <c r="F83" s="5">
        <v>43912.625</v>
      </c>
      <c r="G83" s="19" t="str">
        <f t="shared" si="4"/>
        <v/>
      </c>
      <c r="J83" s="28">
        <f t="shared" si="5"/>
        <v>0.47169811320754707</v>
      </c>
    </row>
    <row r="84" spans="1:10">
      <c r="A84" s="3">
        <v>84</v>
      </c>
      <c r="B84" t="s">
        <v>38</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39</v>
      </c>
      <c r="C85" t="s">
        <v>8</v>
      </c>
      <c r="E85" s="3">
        <f t="shared" si="3"/>
        <v>2</v>
      </c>
      <c r="F85" s="5">
        <v>43914.625</v>
      </c>
      <c r="G85" s="19" t="str">
        <f t="shared" si="4"/>
        <v/>
      </c>
      <c r="J85" s="28">
        <f t="shared" si="5"/>
        <v>1.1063829787234041</v>
      </c>
    </row>
    <row r="86" spans="1:10">
      <c r="A86" s="3">
        <v>104</v>
      </c>
      <c r="B86" t="s">
        <v>40</v>
      </c>
      <c r="C86" t="s">
        <v>8</v>
      </c>
      <c r="E86" s="3">
        <f t="shared" si="3"/>
        <v>3</v>
      </c>
      <c r="F86" s="5">
        <v>43915.625</v>
      </c>
      <c r="G86" s="19" t="str">
        <f t="shared" si="4"/>
        <v/>
      </c>
      <c r="J86" s="28">
        <f t="shared" si="5"/>
        <v>0.15555555555555545</v>
      </c>
    </row>
    <row r="87" spans="1:10">
      <c r="A87" s="3">
        <v>113</v>
      </c>
      <c r="B87" t="s">
        <v>41</v>
      </c>
      <c r="C87" t="s">
        <v>8</v>
      </c>
      <c r="E87" s="3">
        <f t="shared" si="3"/>
        <v>4</v>
      </c>
      <c r="F87" s="5">
        <v>43916.625</v>
      </c>
      <c r="G87" s="19" t="str">
        <f t="shared" si="4"/>
        <v/>
      </c>
      <c r="J87" s="28">
        <f t="shared" si="5"/>
        <v>0.14141414141414144</v>
      </c>
    </row>
    <row r="88" spans="1:10">
      <c r="A88" s="3">
        <v>95</v>
      </c>
      <c r="B88" t="s">
        <v>42</v>
      </c>
      <c r="C88" t="s">
        <v>8</v>
      </c>
      <c r="E88" s="3">
        <f t="shared" si="3"/>
        <v>5</v>
      </c>
      <c r="F88" s="5">
        <v>43917.625</v>
      </c>
      <c r="G88" s="19" t="str">
        <f t="shared" si="4"/>
        <v/>
      </c>
      <c r="J88" s="28">
        <f t="shared" si="5"/>
        <v>9.1954022988505857E-2</v>
      </c>
    </row>
    <row r="89" spans="1:10">
      <c r="A89" s="3">
        <v>77</v>
      </c>
      <c r="B89" t="s">
        <v>43</v>
      </c>
      <c r="C89" t="s">
        <v>8</v>
      </c>
      <c r="E89" s="3">
        <f t="shared" si="3"/>
        <v>6</v>
      </c>
      <c r="F89" s="5">
        <v>43918.625</v>
      </c>
      <c r="G89" s="19" t="str">
        <f t="shared" si="4"/>
        <v/>
      </c>
      <c r="J89" s="28">
        <f t="shared" si="5"/>
        <v>-0.11494252873563215</v>
      </c>
    </row>
    <row r="90" spans="1:10">
      <c r="A90" s="3">
        <v>70</v>
      </c>
      <c r="B90" t="s">
        <v>44</v>
      </c>
      <c r="C90" t="s">
        <v>8</v>
      </c>
      <c r="E90" s="3">
        <f t="shared" si="3"/>
        <v>7</v>
      </c>
      <c r="F90" s="5">
        <v>43919.625</v>
      </c>
      <c r="G90" s="19" t="str">
        <f t="shared" si="4"/>
        <v/>
      </c>
      <c r="J90" s="28">
        <f t="shared" si="5"/>
        <v>-0.10256410256410253</v>
      </c>
    </row>
    <row r="91" spans="1:10">
      <c r="A91" s="3">
        <v>129</v>
      </c>
      <c r="B91" t="s">
        <v>45</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46</v>
      </c>
      <c r="C92" t="s">
        <v>8</v>
      </c>
      <c r="E92" s="3">
        <f t="shared" si="3"/>
        <v>2</v>
      </c>
      <c r="F92" s="5">
        <v>43921.625</v>
      </c>
      <c r="G92" s="19" t="str">
        <f t="shared" si="4"/>
        <v/>
      </c>
      <c r="J92" s="28">
        <f t="shared" si="5"/>
        <v>0.26262626262626254</v>
      </c>
    </row>
    <row r="93" spans="1:10">
      <c r="A93" s="3">
        <v>149</v>
      </c>
      <c r="B93" t="s">
        <v>47</v>
      </c>
      <c r="C93" t="s">
        <v>8</v>
      </c>
      <c r="E93" s="3">
        <f t="shared" si="3"/>
        <v>3</v>
      </c>
      <c r="F93" s="5">
        <v>43922.625</v>
      </c>
      <c r="G93" s="19" t="str">
        <f t="shared" si="4"/>
        <v/>
      </c>
      <c r="J93" s="28">
        <f t="shared" si="5"/>
        <v>0.43269230769230771</v>
      </c>
    </row>
    <row r="94" spans="1:10">
      <c r="A94" s="3">
        <v>161</v>
      </c>
      <c r="B94" t="s">
        <v>48</v>
      </c>
      <c r="C94" t="s">
        <v>8</v>
      </c>
      <c r="E94" s="3">
        <f t="shared" si="3"/>
        <v>4</v>
      </c>
      <c r="F94" s="5">
        <v>43923.625</v>
      </c>
      <c r="G94" s="19" t="str">
        <f t="shared" si="4"/>
        <v/>
      </c>
      <c r="J94" s="28">
        <f t="shared" si="5"/>
        <v>0.4247787610619469</v>
      </c>
    </row>
    <row r="95" spans="1:10">
      <c r="A95" s="3">
        <v>199</v>
      </c>
      <c r="B95" t="s">
        <v>49</v>
      </c>
      <c r="C95" t="s">
        <v>8</v>
      </c>
      <c r="E95" s="3">
        <f t="shared" si="3"/>
        <v>5</v>
      </c>
      <c r="F95" s="5">
        <v>43924.625</v>
      </c>
      <c r="G95" s="19" t="str">
        <f t="shared" si="4"/>
        <v/>
      </c>
      <c r="J95" s="28">
        <f t="shared" si="5"/>
        <v>1.094736842105263</v>
      </c>
    </row>
    <row r="96" spans="1:10">
      <c r="A96" s="3">
        <v>81</v>
      </c>
      <c r="B96" t="s">
        <v>50</v>
      </c>
      <c r="C96" t="s">
        <v>8</v>
      </c>
      <c r="E96" s="3">
        <f t="shared" si="3"/>
        <v>6</v>
      </c>
      <c r="F96" s="5">
        <v>43925.625</v>
      </c>
      <c r="G96" s="19" t="str">
        <f t="shared" si="4"/>
        <v/>
      </c>
      <c r="J96" s="28">
        <f t="shared" si="5"/>
        <v>5.1948051948051965E-2</v>
      </c>
    </row>
    <row r="97" spans="1:10">
      <c r="A97" s="3">
        <v>122</v>
      </c>
      <c r="B97" s="1" t="s">
        <v>51</v>
      </c>
      <c r="C97" t="s">
        <v>8</v>
      </c>
      <c r="D97" s="1"/>
      <c r="E97" s="3">
        <f t="shared" si="3"/>
        <v>7</v>
      </c>
      <c r="F97" s="6">
        <v>43926.625</v>
      </c>
      <c r="G97" s="19" t="str">
        <f t="shared" si="4"/>
        <v/>
      </c>
      <c r="J97" s="28">
        <f t="shared" si="5"/>
        <v>0.74285714285714288</v>
      </c>
    </row>
    <row r="98" spans="1:10" s="41" customFormat="1">
      <c r="A98" s="40">
        <v>209</v>
      </c>
      <c r="B98" s="41" t="s">
        <v>52</v>
      </c>
      <c r="C98" s="41" t="s">
        <v>8</v>
      </c>
      <c r="E98" s="40">
        <f t="shared" si="3"/>
        <v>1</v>
      </c>
      <c r="F98" s="42">
        <v>43927.625</v>
      </c>
      <c r="G98" s="43" t="str">
        <f t="shared" si="4"/>
        <v>2020-W15</v>
      </c>
      <c r="H98" s="41">
        <f>SUM(A98:A104)</f>
        <v>931</v>
      </c>
      <c r="I98" s="44">
        <f>H98/H91-1</f>
        <v>-3.6231884057971064E-2</v>
      </c>
      <c r="J98" s="44">
        <f t="shared" si="5"/>
        <v>0.62015503875968991</v>
      </c>
    </row>
    <row r="99" spans="1:10">
      <c r="A99" s="3">
        <v>200</v>
      </c>
      <c r="B99" t="s">
        <v>53</v>
      </c>
      <c r="C99" t="s">
        <v>8</v>
      </c>
      <c r="E99" s="3">
        <f t="shared" si="3"/>
        <v>2</v>
      </c>
      <c r="F99" s="5">
        <v>43928.625</v>
      </c>
      <c r="G99" s="19" t="str">
        <f t="shared" si="4"/>
        <v/>
      </c>
      <c r="J99" s="28">
        <f t="shared" si="5"/>
        <v>0.60000000000000009</v>
      </c>
    </row>
    <row r="100" spans="1:10">
      <c r="A100" s="3">
        <v>138</v>
      </c>
      <c r="B100" t="s">
        <v>54</v>
      </c>
      <c r="C100" t="s">
        <v>8</v>
      </c>
      <c r="E100" s="3">
        <f t="shared" si="3"/>
        <v>3</v>
      </c>
      <c r="F100" s="5">
        <v>43929.625</v>
      </c>
      <c r="G100" s="19" t="str">
        <f t="shared" si="4"/>
        <v/>
      </c>
      <c r="J100" s="28">
        <f t="shared" si="5"/>
        <v>-7.3825503355704702E-2</v>
      </c>
    </row>
    <row r="101" spans="1:10">
      <c r="A101" s="3">
        <v>158</v>
      </c>
      <c r="B101" t="s">
        <v>55</v>
      </c>
      <c r="C101" t="s">
        <v>8</v>
      </c>
      <c r="E101" s="3">
        <f t="shared" si="3"/>
        <v>4</v>
      </c>
      <c r="F101" s="5">
        <v>43930.625</v>
      </c>
      <c r="G101" s="19" t="str">
        <f t="shared" si="4"/>
        <v/>
      </c>
      <c r="J101" s="28">
        <f t="shared" si="5"/>
        <v>-1.8633540372670843E-2</v>
      </c>
    </row>
    <row r="102" spans="1:10">
      <c r="A102" s="3">
        <v>71</v>
      </c>
      <c r="B102" t="s">
        <v>56</v>
      </c>
      <c r="C102" t="s">
        <v>8</v>
      </c>
      <c r="E102" s="3">
        <f t="shared" si="3"/>
        <v>5</v>
      </c>
      <c r="F102" s="5">
        <v>43931.625</v>
      </c>
      <c r="G102" s="19" t="str">
        <f t="shared" si="4"/>
        <v/>
      </c>
      <c r="J102" s="28">
        <f t="shared" si="5"/>
        <v>-0.64321608040201006</v>
      </c>
    </row>
    <row r="103" spans="1:10">
      <c r="A103" s="3">
        <v>75</v>
      </c>
      <c r="B103" t="s">
        <v>57</v>
      </c>
      <c r="C103" t="s">
        <v>8</v>
      </c>
      <c r="E103" s="3">
        <f t="shared" si="3"/>
        <v>6</v>
      </c>
      <c r="F103" s="5">
        <v>43932.625</v>
      </c>
      <c r="G103" s="19" t="str">
        <f t="shared" si="4"/>
        <v/>
      </c>
      <c r="J103" s="28">
        <f t="shared" si="5"/>
        <v>-7.407407407407407E-2</v>
      </c>
    </row>
    <row r="104" spans="1:10">
      <c r="A104" s="3">
        <v>80</v>
      </c>
      <c r="B104" t="s">
        <v>58</v>
      </c>
      <c r="C104" t="s">
        <v>8</v>
      </c>
      <c r="E104" s="3">
        <f t="shared" si="3"/>
        <v>7</v>
      </c>
      <c r="F104" s="5">
        <v>43933.625</v>
      </c>
      <c r="G104" s="19" t="str">
        <f t="shared" si="4"/>
        <v/>
      </c>
      <c r="J104" s="28">
        <f t="shared" si="5"/>
        <v>-0.34426229508196726</v>
      </c>
    </row>
    <row r="105" spans="1:10">
      <c r="A105" s="3">
        <v>117</v>
      </c>
      <c r="B105" t="s">
        <v>59</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60</v>
      </c>
      <c r="C106" t="s">
        <v>8</v>
      </c>
      <c r="E106" s="3">
        <f t="shared" si="3"/>
        <v>2</v>
      </c>
      <c r="F106" s="5">
        <v>43935.625</v>
      </c>
      <c r="G106" s="19" t="str">
        <f t="shared" si="4"/>
        <v/>
      </c>
      <c r="J106" s="28">
        <f t="shared" si="5"/>
        <v>-0.125</v>
      </c>
    </row>
    <row r="107" spans="1:10">
      <c r="A107" s="3">
        <v>130</v>
      </c>
      <c r="B107" t="s">
        <v>61</v>
      </c>
      <c r="C107" t="s">
        <v>8</v>
      </c>
      <c r="E107" s="3">
        <f t="shared" si="3"/>
        <v>3</v>
      </c>
      <c r="F107" s="5">
        <v>43936.625</v>
      </c>
      <c r="G107" s="19" t="str">
        <f t="shared" si="4"/>
        <v/>
      </c>
      <c r="J107" s="28">
        <f t="shared" si="5"/>
        <v>-5.7971014492753659E-2</v>
      </c>
    </row>
    <row r="108" spans="1:10">
      <c r="A108" s="3">
        <v>120</v>
      </c>
      <c r="B108" t="s">
        <v>62</v>
      </c>
      <c r="C108" t="s">
        <v>8</v>
      </c>
      <c r="E108" s="3">
        <f t="shared" si="3"/>
        <v>4</v>
      </c>
      <c r="F108" s="5">
        <v>43937.625</v>
      </c>
      <c r="G108" s="19" t="str">
        <f t="shared" si="4"/>
        <v/>
      </c>
      <c r="J108" s="28">
        <f t="shared" si="5"/>
        <v>-0.240506329113924</v>
      </c>
    </row>
    <row r="109" spans="1:10">
      <c r="A109" s="3">
        <v>125</v>
      </c>
      <c r="B109" t="s">
        <v>63</v>
      </c>
      <c r="C109" t="s">
        <v>8</v>
      </c>
      <c r="E109" s="3">
        <f t="shared" si="3"/>
        <v>5</v>
      </c>
      <c r="F109" s="5">
        <v>43938.625</v>
      </c>
      <c r="G109" s="19" t="str">
        <f t="shared" si="4"/>
        <v/>
      </c>
      <c r="J109" s="28">
        <f t="shared" si="5"/>
        <v>0.76056338028169024</v>
      </c>
    </row>
    <row r="110" spans="1:10">
      <c r="A110" s="3">
        <v>56</v>
      </c>
      <c r="B110" t="s">
        <v>64</v>
      </c>
      <c r="C110" t="s">
        <v>8</v>
      </c>
      <c r="E110" s="3">
        <f t="shared" si="3"/>
        <v>6</v>
      </c>
      <c r="F110" s="5">
        <v>43939.625</v>
      </c>
      <c r="G110" s="19" t="str">
        <f t="shared" si="4"/>
        <v/>
      </c>
      <c r="J110" s="28">
        <f t="shared" si="5"/>
        <v>-0.2533333333333333</v>
      </c>
    </row>
    <row r="111" spans="1:10">
      <c r="A111" s="3">
        <v>67</v>
      </c>
      <c r="B111" t="s">
        <v>65</v>
      </c>
      <c r="C111" t="s">
        <v>8</v>
      </c>
      <c r="E111" s="3">
        <f t="shared" si="3"/>
        <v>7</v>
      </c>
      <c r="F111" s="5">
        <v>43940.625</v>
      </c>
      <c r="G111" s="19" t="str">
        <f t="shared" si="4"/>
        <v/>
      </c>
      <c r="J111" s="28">
        <f t="shared" si="5"/>
        <v>-0.16249999999999998</v>
      </c>
    </row>
    <row r="112" spans="1:10" s="41" customFormat="1">
      <c r="A112" s="40">
        <v>143</v>
      </c>
      <c r="B112" s="41" t="s">
        <v>66</v>
      </c>
      <c r="C112" s="41" t="s">
        <v>8</v>
      </c>
      <c r="E112" s="40">
        <f t="shared" si="3"/>
        <v>1</v>
      </c>
      <c r="F112" s="42">
        <v>43941.625</v>
      </c>
      <c r="G112" s="43" t="str">
        <f t="shared" si="4"/>
        <v>2020-W17</v>
      </c>
      <c r="H112" s="41">
        <f>SUM(A112:A118)</f>
        <v>736</v>
      </c>
      <c r="I112" s="44">
        <f>H112/H105-1</f>
        <v>-6.8354430379746867E-2</v>
      </c>
      <c r="J112" s="44">
        <f t="shared" si="5"/>
        <v>0.22222222222222232</v>
      </c>
    </row>
    <row r="113" spans="1:10">
      <c r="A113" s="3">
        <v>112</v>
      </c>
      <c r="B113" t="s">
        <v>67</v>
      </c>
      <c r="C113" t="s">
        <v>8</v>
      </c>
      <c r="E113" s="3">
        <f t="shared" si="3"/>
        <v>2</v>
      </c>
      <c r="F113" s="5">
        <v>43942.625</v>
      </c>
      <c r="G113" s="19" t="str">
        <f t="shared" si="4"/>
        <v/>
      </c>
      <c r="J113" s="28">
        <f t="shared" si="5"/>
        <v>-0.36</v>
      </c>
    </row>
    <row r="114" spans="1:10">
      <c r="A114" s="3">
        <v>124</v>
      </c>
      <c r="B114" t="s">
        <v>68</v>
      </c>
      <c r="C114" t="s">
        <v>8</v>
      </c>
      <c r="E114" s="3">
        <f t="shared" si="3"/>
        <v>3</v>
      </c>
      <c r="F114" s="5">
        <v>43943.625</v>
      </c>
      <c r="G114" s="19" t="str">
        <f t="shared" si="4"/>
        <v/>
      </c>
      <c r="J114" s="28">
        <f t="shared" si="5"/>
        <v>-4.6153846153846101E-2</v>
      </c>
    </row>
    <row r="115" spans="1:10">
      <c r="A115" s="3">
        <v>116</v>
      </c>
      <c r="B115" t="s">
        <v>69</v>
      </c>
      <c r="C115" t="s">
        <v>8</v>
      </c>
      <c r="E115" s="3">
        <f t="shared" si="3"/>
        <v>4</v>
      </c>
      <c r="F115" s="5">
        <v>43944.625</v>
      </c>
      <c r="G115" s="19" t="str">
        <f t="shared" si="4"/>
        <v/>
      </c>
      <c r="J115" s="28">
        <f t="shared" si="5"/>
        <v>-3.3333333333333326E-2</v>
      </c>
    </row>
    <row r="116" spans="1:10">
      <c r="A116" s="3">
        <v>92</v>
      </c>
      <c r="B116" t="s">
        <v>70</v>
      </c>
      <c r="C116" t="s">
        <v>8</v>
      </c>
      <c r="E116" s="3">
        <f t="shared" si="3"/>
        <v>5</v>
      </c>
      <c r="F116" s="5">
        <v>43945.625</v>
      </c>
      <c r="G116" s="19" t="str">
        <f t="shared" si="4"/>
        <v/>
      </c>
      <c r="J116" s="28">
        <f t="shared" si="5"/>
        <v>-0.26400000000000001</v>
      </c>
    </row>
    <row r="117" spans="1:10">
      <c r="A117" s="3">
        <v>76</v>
      </c>
      <c r="B117" t="s">
        <v>71</v>
      </c>
      <c r="C117" t="s">
        <v>8</v>
      </c>
      <c r="E117" s="3">
        <f t="shared" si="3"/>
        <v>6</v>
      </c>
      <c r="F117" s="5">
        <v>43946.625</v>
      </c>
      <c r="G117" s="19" t="str">
        <f t="shared" si="4"/>
        <v/>
      </c>
      <c r="J117" s="28">
        <f t="shared" si="5"/>
        <v>0.35714285714285721</v>
      </c>
    </row>
    <row r="118" spans="1:10">
      <c r="A118" s="3">
        <v>73</v>
      </c>
      <c r="B118" t="s">
        <v>72</v>
      </c>
      <c r="C118" t="s">
        <v>8</v>
      </c>
      <c r="E118" s="3">
        <f t="shared" si="3"/>
        <v>7</v>
      </c>
      <c r="F118" s="5">
        <v>43947.625</v>
      </c>
      <c r="G118" s="19" t="str">
        <f t="shared" si="4"/>
        <v/>
      </c>
      <c r="J118" s="28">
        <f t="shared" si="5"/>
        <v>8.9552238805970186E-2</v>
      </c>
    </row>
    <row r="119" spans="1:10">
      <c r="A119" s="3">
        <v>123</v>
      </c>
      <c r="B119" t="s">
        <v>73</v>
      </c>
      <c r="C119" t="s">
        <v>8</v>
      </c>
      <c r="E119" s="3">
        <f t="shared" si="3"/>
        <v>1</v>
      </c>
      <c r="F119" s="5">
        <v>43948.625</v>
      </c>
      <c r="G119" s="19" t="str">
        <f t="shared" si="4"/>
        <v>2020-W18</v>
      </c>
      <c r="H119">
        <f>SUM(A119:A125)</f>
        <v>623</v>
      </c>
      <c r="I119" s="28">
        <f>H119/H112-1</f>
        <v>-0.15353260869565222</v>
      </c>
      <c r="J119" s="28">
        <f t="shared" si="5"/>
        <v>-0.1398601398601399</v>
      </c>
    </row>
    <row r="120" spans="1:10" s="41" customFormat="1">
      <c r="A120" s="40">
        <v>139</v>
      </c>
      <c r="B120" s="41" t="s">
        <v>74</v>
      </c>
      <c r="C120" s="41" t="s">
        <v>8</v>
      </c>
      <c r="E120" s="40">
        <f t="shared" si="3"/>
        <v>2</v>
      </c>
      <c r="F120" s="42">
        <v>43949.625</v>
      </c>
      <c r="G120" s="43" t="str">
        <f t="shared" si="4"/>
        <v/>
      </c>
      <c r="J120" s="44">
        <f t="shared" si="5"/>
        <v>0.2410714285714286</v>
      </c>
    </row>
    <row r="121" spans="1:10">
      <c r="A121" s="3">
        <v>108</v>
      </c>
      <c r="B121" t="s">
        <v>75</v>
      </c>
      <c r="C121" t="s">
        <v>8</v>
      </c>
      <c r="E121" s="3">
        <f t="shared" si="3"/>
        <v>3</v>
      </c>
      <c r="F121" s="5">
        <v>43950.625</v>
      </c>
      <c r="G121" s="19" t="str">
        <f t="shared" si="4"/>
        <v/>
      </c>
      <c r="J121" s="28">
        <f t="shared" si="5"/>
        <v>-0.12903225806451613</v>
      </c>
    </row>
    <row r="122" spans="1:10">
      <c r="A122" s="3">
        <v>86</v>
      </c>
      <c r="B122" t="s">
        <v>76</v>
      </c>
      <c r="C122" t="s">
        <v>8</v>
      </c>
      <c r="E122" s="3">
        <f t="shared" si="3"/>
        <v>4</v>
      </c>
      <c r="F122" s="5">
        <v>43951.625</v>
      </c>
      <c r="G122" s="19" t="str">
        <f t="shared" si="4"/>
        <v/>
      </c>
      <c r="J122" s="28">
        <f t="shared" si="5"/>
        <v>-0.25862068965517238</v>
      </c>
    </row>
    <row r="123" spans="1:10">
      <c r="A123" s="3">
        <v>48</v>
      </c>
      <c r="B123" t="s">
        <v>77</v>
      </c>
      <c r="C123" t="s">
        <v>8</v>
      </c>
      <c r="E123" s="3">
        <f t="shared" si="3"/>
        <v>5</v>
      </c>
      <c r="F123" s="5">
        <v>43952.625</v>
      </c>
      <c r="G123" s="19" t="str">
        <f t="shared" si="4"/>
        <v/>
      </c>
      <c r="J123" s="28">
        <f t="shared" si="5"/>
        <v>-0.47826086956521741</v>
      </c>
    </row>
    <row r="124" spans="1:10">
      <c r="A124" s="3">
        <v>58</v>
      </c>
      <c r="B124" t="s">
        <v>78</v>
      </c>
      <c r="C124" t="s">
        <v>8</v>
      </c>
      <c r="E124" s="3">
        <f t="shared" si="3"/>
        <v>6</v>
      </c>
      <c r="F124" s="5">
        <v>43953.625</v>
      </c>
      <c r="G124" s="19" t="str">
        <f t="shared" si="4"/>
        <v/>
      </c>
      <c r="J124" s="28">
        <f t="shared" si="5"/>
        <v>-0.23684210526315785</v>
      </c>
    </row>
    <row r="125" spans="1:10">
      <c r="A125" s="3">
        <v>61</v>
      </c>
      <c r="B125" t="s">
        <v>79</v>
      </c>
      <c r="C125" t="s">
        <v>8</v>
      </c>
      <c r="E125" s="3">
        <f t="shared" si="3"/>
        <v>7</v>
      </c>
      <c r="F125" s="5">
        <v>43954.625</v>
      </c>
      <c r="G125" s="19" t="str">
        <f t="shared" si="4"/>
        <v/>
      </c>
      <c r="J125" s="28">
        <f t="shared" si="5"/>
        <v>-0.16438356164383561</v>
      </c>
    </row>
    <row r="126" spans="1:10">
      <c r="A126" s="3">
        <v>133</v>
      </c>
      <c r="B126" t="s">
        <v>80</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81</v>
      </c>
      <c r="C127" t="s">
        <v>8</v>
      </c>
      <c r="E127" s="3">
        <f t="shared" si="3"/>
        <v>2</v>
      </c>
      <c r="F127" s="5">
        <v>43956.625</v>
      </c>
      <c r="G127" s="19" t="str">
        <f t="shared" si="4"/>
        <v/>
      </c>
      <c r="J127" s="28">
        <f t="shared" si="5"/>
        <v>-0.10071942446043169</v>
      </c>
    </row>
    <row r="128" spans="1:10">
      <c r="A128" s="3">
        <v>95</v>
      </c>
      <c r="B128" t="s">
        <v>82</v>
      </c>
      <c r="C128" t="s">
        <v>8</v>
      </c>
      <c r="E128" s="3">
        <f t="shared" si="3"/>
        <v>3</v>
      </c>
      <c r="F128" s="5">
        <v>43957.625</v>
      </c>
      <c r="G128" s="19" t="str">
        <f t="shared" si="4"/>
        <v/>
      </c>
      <c r="J128" s="28">
        <f t="shared" si="5"/>
        <v>-0.12037037037037035</v>
      </c>
    </row>
    <row r="129" spans="1:10" s="41" customFormat="1">
      <c r="A129" s="40">
        <v>108</v>
      </c>
      <c r="B129" s="41" t="s">
        <v>83</v>
      </c>
      <c r="C129" s="41" t="s">
        <v>8</v>
      </c>
      <c r="E129" s="40">
        <f t="shared" si="3"/>
        <v>4</v>
      </c>
      <c r="F129" s="42">
        <v>43958.625</v>
      </c>
      <c r="G129" s="43" t="str">
        <f t="shared" si="4"/>
        <v/>
      </c>
      <c r="J129" s="44">
        <f t="shared" si="5"/>
        <v>0.2558139534883721</v>
      </c>
    </row>
    <row r="130" spans="1:10">
      <c r="A130" s="3">
        <v>81</v>
      </c>
      <c r="B130" t="s">
        <v>84</v>
      </c>
      <c r="C130" t="s">
        <v>8</v>
      </c>
      <c r="E130" s="3">
        <f t="shared" si="3"/>
        <v>5</v>
      </c>
      <c r="F130" s="5">
        <v>43959.625</v>
      </c>
      <c r="G130" s="19" t="str">
        <f t="shared" si="4"/>
        <v/>
      </c>
      <c r="J130" s="28">
        <f t="shared" si="5"/>
        <v>0.6875</v>
      </c>
    </row>
    <row r="131" spans="1:10">
      <c r="A131" s="3">
        <v>47</v>
      </c>
      <c r="B131" t="s">
        <v>85</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86</v>
      </c>
      <c r="C132" t="s">
        <v>8</v>
      </c>
      <c r="E132" s="3">
        <f t="shared" si="6"/>
        <v>7</v>
      </c>
      <c r="F132" s="5">
        <v>43961.625</v>
      </c>
      <c r="G132" s="19" t="str">
        <f t="shared" si="7"/>
        <v/>
      </c>
      <c r="J132" s="28">
        <f t="shared" si="5"/>
        <v>-0.54098360655737698</v>
      </c>
    </row>
    <row r="133" spans="1:10">
      <c r="A133" s="3">
        <v>92</v>
      </c>
      <c r="B133" t="s">
        <v>87</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88</v>
      </c>
      <c r="C134" t="s">
        <v>8</v>
      </c>
      <c r="E134" s="3">
        <f t="shared" si="6"/>
        <v>2</v>
      </c>
      <c r="F134" s="5">
        <v>43963.625</v>
      </c>
      <c r="G134" s="19" t="str">
        <f t="shared" si="7"/>
        <v/>
      </c>
      <c r="J134" s="28">
        <f t="shared" si="5"/>
        <v>-0.46399999999999997</v>
      </c>
    </row>
    <row r="135" spans="1:10">
      <c r="A135" s="3">
        <v>78</v>
      </c>
      <c r="B135" t="s">
        <v>89</v>
      </c>
      <c r="C135" t="s">
        <v>8</v>
      </c>
      <c r="E135" s="3">
        <f t="shared" si="6"/>
        <v>3</v>
      </c>
      <c r="F135" s="5">
        <v>43964.625</v>
      </c>
      <c r="G135" s="19" t="str">
        <f t="shared" si="7"/>
        <v/>
      </c>
      <c r="J135" s="28">
        <f t="shared" si="5"/>
        <v>-0.17894736842105263</v>
      </c>
    </row>
    <row r="136" spans="1:10">
      <c r="A136" s="3">
        <v>50</v>
      </c>
      <c r="B136" t="s">
        <v>90</v>
      </c>
      <c r="C136" t="s">
        <v>8</v>
      </c>
      <c r="E136" s="3">
        <f t="shared" si="6"/>
        <v>4</v>
      </c>
      <c r="F136" s="5">
        <v>43965.625</v>
      </c>
      <c r="G136" s="19" t="str">
        <f t="shared" si="7"/>
        <v/>
      </c>
      <c r="J136" s="28">
        <f t="shared" si="5"/>
        <v>-0.53703703703703698</v>
      </c>
    </row>
    <row r="137" spans="1:10">
      <c r="A137" s="3">
        <v>55</v>
      </c>
      <c r="B137" t="s">
        <v>91</v>
      </c>
      <c r="C137" t="s">
        <v>8</v>
      </c>
      <c r="E137" s="3">
        <f t="shared" si="6"/>
        <v>5</v>
      </c>
      <c r="F137" s="5">
        <v>43966.625</v>
      </c>
      <c r="G137" s="19" t="str">
        <f t="shared" si="7"/>
        <v/>
      </c>
      <c r="J137" s="28">
        <f t="shared" ref="J137:J200" si="8">A137/A130-1</f>
        <v>-0.32098765432098764</v>
      </c>
    </row>
    <row r="138" spans="1:10">
      <c r="A138" s="3">
        <v>25</v>
      </c>
      <c r="B138" t="s">
        <v>92</v>
      </c>
      <c r="C138" t="s">
        <v>8</v>
      </c>
      <c r="E138" s="3">
        <f t="shared" si="6"/>
        <v>6</v>
      </c>
      <c r="F138" s="5">
        <v>43967.625</v>
      </c>
      <c r="G138" s="19" t="str">
        <f t="shared" si="7"/>
        <v/>
      </c>
      <c r="J138" s="28">
        <f t="shared" si="8"/>
        <v>-0.46808510638297873</v>
      </c>
    </row>
    <row r="139" spans="1:10">
      <c r="A139" s="3">
        <v>29</v>
      </c>
      <c r="B139" t="s">
        <v>93</v>
      </c>
      <c r="C139" t="s">
        <v>8</v>
      </c>
      <c r="E139" s="3">
        <f t="shared" si="6"/>
        <v>7</v>
      </c>
      <c r="F139" s="5">
        <v>43968.625</v>
      </c>
      <c r="G139" s="19" t="str">
        <f t="shared" si="7"/>
        <v/>
      </c>
      <c r="J139" s="28">
        <f t="shared" si="8"/>
        <v>3.5714285714285809E-2</v>
      </c>
    </row>
    <row r="140" spans="1:10">
      <c r="A140" s="3">
        <v>45</v>
      </c>
      <c r="B140" t="s">
        <v>94</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95</v>
      </c>
      <c r="C141" t="s">
        <v>8</v>
      </c>
      <c r="E141" s="3">
        <f t="shared" si="6"/>
        <v>2</v>
      </c>
      <c r="F141" s="5">
        <v>43970.625</v>
      </c>
      <c r="G141" s="19" t="str">
        <f t="shared" si="7"/>
        <v/>
      </c>
      <c r="J141" s="28">
        <f t="shared" si="8"/>
        <v>-0.38805970149253732</v>
      </c>
    </row>
    <row r="142" spans="1:10">
      <c r="A142" s="3">
        <v>43</v>
      </c>
      <c r="B142" t="s">
        <v>96</v>
      </c>
      <c r="C142" t="s">
        <v>8</v>
      </c>
      <c r="E142" s="3">
        <f t="shared" si="6"/>
        <v>3</v>
      </c>
      <c r="F142" s="5">
        <v>43971.625</v>
      </c>
      <c r="G142" s="19" t="str">
        <f t="shared" si="7"/>
        <v/>
      </c>
      <c r="J142" s="28">
        <f t="shared" si="8"/>
        <v>-0.44871794871794868</v>
      </c>
    </row>
    <row r="143" spans="1:10">
      <c r="A143" s="3">
        <v>22</v>
      </c>
      <c r="B143" t="s">
        <v>97</v>
      </c>
      <c r="C143" t="s">
        <v>8</v>
      </c>
      <c r="E143" s="3">
        <f t="shared" si="6"/>
        <v>4</v>
      </c>
      <c r="F143" s="5">
        <v>43972.625</v>
      </c>
      <c r="G143" s="19" t="str">
        <f t="shared" si="7"/>
        <v/>
      </c>
      <c r="J143" s="28">
        <f t="shared" si="8"/>
        <v>-0.56000000000000005</v>
      </c>
    </row>
    <row r="144" spans="1:10">
      <c r="A144" s="3">
        <v>32</v>
      </c>
      <c r="B144" t="s">
        <v>98</v>
      </c>
      <c r="C144" t="s">
        <v>8</v>
      </c>
      <c r="E144" s="3">
        <f t="shared" si="6"/>
        <v>5</v>
      </c>
      <c r="F144" s="5">
        <v>43973.625</v>
      </c>
      <c r="G144" s="19" t="str">
        <f t="shared" si="7"/>
        <v/>
      </c>
      <c r="J144" s="28">
        <f t="shared" si="8"/>
        <v>-0.41818181818181821</v>
      </c>
    </row>
    <row r="145" spans="1:10">
      <c r="A145" s="3">
        <v>18</v>
      </c>
      <c r="B145" t="s">
        <v>99</v>
      </c>
      <c r="C145" t="s">
        <v>8</v>
      </c>
      <c r="E145" s="3">
        <f t="shared" si="6"/>
        <v>6</v>
      </c>
      <c r="F145" s="5">
        <v>43974.625</v>
      </c>
      <c r="G145" s="19" t="str">
        <f t="shared" si="7"/>
        <v/>
      </c>
      <c r="J145" s="28">
        <f t="shared" si="8"/>
        <v>-0.28000000000000003</v>
      </c>
    </row>
    <row r="146" spans="1:10">
      <c r="A146" s="3">
        <v>20</v>
      </c>
      <c r="B146" t="s">
        <v>100</v>
      </c>
      <c r="C146" t="s">
        <v>8</v>
      </c>
      <c r="E146" s="3">
        <f t="shared" si="6"/>
        <v>7</v>
      </c>
      <c r="F146" s="5">
        <v>43975.625</v>
      </c>
      <c r="G146" s="19" t="str">
        <f t="shared" si="7"/>
        <v/>
      </c>
      <c r="J146" s="28">
        <f t="shared" si="8"/>
        <v>-0.31034482758620685</v>
      </c>
    </row>
    <row r="147" spans="1:10">
      <c r="A147" s="3">
        <v>45</v>
      </c>
      <c r="B147" t="s">
        <v>101</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102</v>
      </c>
      <c r="C148" t="s">
        <v>8</v>
      </c>
      <c r="E148" s="3">
        <f t="shared" si="6"/>
        <v>2</v>
      </c>
      <c r="F148" s="5">
        <v>43977.625</v>
      </c>
      <c r="G148" s="19" t="str">
        <f t="shared" si="7"/>
        <v/>
      </c>
      <c r="J148" s="28">
        <f t="shared" si="8"/>
        <v>-0.19512195121951215</v>
      </c>
    </row>
    <row r="149" spans="1:10">
      <c r="A149" s="3">
        <v>12</v>
      </c>
      <c r="B149" t="s">
        <v>103</v>
      </c>
      <c r="C149" t="s">
        <v>8</v>
      </c>
      <c r="E149" s="3">
        <f t="shared" si="6"/>
        <v>3</v>
      </c>
      <c r="F149" s="5">
        <v>43978.625</v>
      </c>
      <c r="G149" s="19" t="str">
        <f t="shared" si="7"/>
        <v/>
      </c>
      <c r="J149" s="28">
        <f t="shared" si="8"/>
        <v>-0.72093023255813948</v>
      </c>
    </row>
    <row r="150" spans="1:10">
      <c r="A150" s="3">
        <v>30</v>
      </c>
      <c r="B150" t="s">
        <v>104</v>
      </c>
      <c r="C150" t="s">
        <v>8</v>
      </c>
      <c r="E150" s="3">
        <f t="shared" si="6"/>
        <v>4</v>
      </c>
      <c r="F150" s="5">
        <v>43979.625</v>
      </c>
      <c r="G150" s="19" t="str">
        <f t="shared" si="7"/>
        <v/>
      </c>
      <c r="J150" s="28">
        <f t="shared" si="8"/>
        <v>0.36363636363636354</v>
      </c>
    </row>
    <row r="151" spans="1:10">
      <c r="A151" s="3">
        <v>21</v>
      </c>
      <c r="B151" t="s">
        <v>105</v>
      </c>
      <c r="C151" t="s">
        <v>8</v>
      </c>
      <c r="E151" s="3">
        <f t="shared" si="6"/>
        <v>5</v>
      </c>
      <c r="F151" s="5">
        <v>43980.625</v>
      </c>
      <c r="G151" s="19" t="str">
        <f t="shared" si="7"/>
        <v/>
      </c>
      <c r="J151" s="28">
        <f t="shared" si="8"/>
        <v>-0.34375</v>
      </c>
    </row>
    <row r="152" spans="1:10">
      <c r="A152" s="3">
        <v>10</v>
      </c>
      <c r="B152" t="s">
        <v>106</v>
      </c>
      <c r="C152" t="s">
        <v>8</v>
      </c>
      <c r="E152" s="3">
        <f t="shared" si="6"/>
        <v>6</v>
      </c>
      <c r="F152" s="5">
        <v>43981.625</v>
      </c>
      <c r="G152" s="19" t="str">
        <f t="shared" si="7"/>
        <v/>
      </c>
      <c r="J152" s="28">
        <f t="shared" si="8"/>
        <v>-0.44444444444444442</v>
      </c>
    </row>
    <row r="153" spans="1:10">
      <c r="A153" s="3">
        <v>12</v>
      </c>
      <c r="B153" t="s">
        <v>107</v>
      </c>
      <c r="C153" t="s">
        <v>8</v>
      </c>
      <c r="E153" s="3">
        <f t="shared" si="6"/>
        <v>7</v>
      </c>
      <c r="F153" s="5">
        <v>43982.625</v>
      </c>
      <c r="G153" s="19" t="str">
        <f t="shared" si="7"/>
        <v/>
      </c>
      <c r="J153" s="28">
        <f t="shared" si="8"/>
        <v>-0.4</v>
      </c>
    </row>
    <row r="154" spans="1:10">
      <c r="A154" s="3">
        <v>17</v>
      </c>
      <c r="B154" t="s">
        <v>108</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109</v>
      </c>
      <c r="C155" t="s">
        <v>8</v>
      </c>
      <c r="E155" s="3">
        <f t="shared" si="6"/>
        <v>2</v>
      </c>
      <c r="F155" s="5">
        <v>43984.625</v>
      </c>
      <c r="G155" s="19" t="str">
        <f t="shared" si="7"/>
        <v/>
      </c>
      <c r="J155" s="28">
        <f t="shared" si="8"/>
        <v>-0.54545454545454541</v>
      </c>
    </row>
    <row r="156" spans="1:10">
      <c r="A156" s="3">
        <v>25</v>
      </c>
      <c r="B156" t="s">
        <v>110</v>
      </c>
      <c r="C156" t="s">
        <v>8</v>
      </c>
      <c r="E156" s="3">
        <f t="shared" si="6"/>
        <v>3</v>
      </c>
      <c r="F156" s="5">
        <v>43985.625</v>
      </c>
      <c r="G156" s="19" t="str">
        <f t="shared" si="7"/>
        <v/>
      </c>
      <c r="J156" s="28">
        <f t="shared" si="8"/>
        <v>1.0833333333333335</v>
      </c>
    </row>
    <row r="157" spans="1:10">
      <c r="A157" s="3">
        <v>12</v>
      </c>
      <c r="B157" t="s">
        <v>111</v>
      </c>
      <c r="C157" t="s">
        <v>8</v>
      </c>
      <c r="E157" s="3">
        <f t="shared" si="6"/>
        <v>4</v>
      </c>
      <c r="F157" s="5">
        <v>43986.625</v>
      </c>
      <c r="G157" s="19" t="str">
        <f t="shared" si="7"/>
        <v/>
      </c>
      <c r="J157" s="28">
        <f t="shared" si="8"/>
        <v>-0.6</v>
      </c>
    </row>
    <row r="158" spans="1:10">
      <c r="A158" s="3">
        <v>13</v>
      </c>
      <c r="B158" t="s">
        <v>112</v>
      </c>
      <c r="C158" t="s">
        <v>8</v>
      </c>
      <c r="E158" s="3">
        <f t="shared" si="6"/>
        <v>5</v>
      </c>
      <c r="F158" s="5">
        <v>43987.625</v>
      </c>
      <c r="G158" s="19" t="str">
        <f t="shared" si="7"/>
        <v/>
      </c>
      <c r="J158" s="28">
        <f t="shared" si="8"/>
        <v>-0.38095238095238093</v>
      </c>
    </row>
    <row r="159" spans="1:10">
      <c r="A159" s="3">
        <v>13</v>
      </c>
      <c r="B159" t="s">
        <v>113</v>
      </c>
      <c r="C159" t="s">
        <v>8</v>
      </c>
      <c r="E159" s="3">
        <f t="shared" si="6"/>
        <v>6</v>
      </c>
      <c r="F159" s="5">
        <v>43988.625</v>
      </c>
      <c r="G159" s="19" t="str">
        <f t="shared" si="7"/>
        <v/>
      </c>
      <c r="J159" s="28">
        <f t="shared" si="8"/>
        <v>0.30000000000000004</v>
      </c>
    </row>
    <row r="160" spans="1:10">
      <c r="A160" s="3">
        <v>4</v>
      </c>
      <c r="B160" t="s">
        <v>114</v>
      </c>
      <c r="C160" t="s">
        <v>8</v>
      </c>
      <c r="E160" s="3">
        <f t="shared" si="6"/>
        <v>7</v>
      </c>
      <c r="F160" s="5">
        <v>43989.625</v>
      </c>
      <c r="G160" s="19" t="str">
        <f t="shared" si="7"/>
        <v/>
      </c>
      <c r="J160" s="28">
        <f t="shared" si="8"/>
        <v>-0.66666666666666674</v>
      </c>
    </row>
    <row r="161" spans="1:10">
      <c r="A161" s="3">
        <v>10</v>
      </c>
      <c r="B161" t="s">
        <v>115</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116</v>
      </c>
      <c r="C162" t="s">
        <v>8</v>
      </c>
      <c r="E162" s="3">
        <f t="shared" si="6"/>
        <v>2</v>
      </c>
      <c r="F162" s="5">
        <v>43991.625</v>
      </c>
      <c r="G162" s="19" t="str">
        <f t="shared" si="7"/>
        <v/>
      </c>
      <c r="J162" s="28">
        <f t="shared" si="8"/>
        <v>-0.46666666666666667</v>
      </c>
    </row>
    <row r="163" spans="1:10">
      <c r="A163" s="3">
        <v>7</v>
      </c>
      <c r="B163" t="s">
        <v>117</v>
      </c>
      <c r="C163" t="s">
        <v>8</v>
      </c>
      <c r="E163" s="3">
        <f t="shared" si="6"/>
        <v>3</v>
      </c>
      <c r="F163" s="5">
        <v>43992.625</v>
      </c>
      <c r="G163" s="19" t="str">
        <f t="shared" si="7"/>
        <v/>
      </c>
      <c r="J163" s="28">
        <f t="shared" si="8"/>
        <v>-0.72</v>
      </c>
    </row>
    <row r="164" spans="1:10">
      <c r="A164" s="3">
        <v>9</v>
      </c>
      <c r="B164" t="s">
        <v>118</v>
      </c>
      <c r="C164" t="s">
        <v>8</v>
      </c>
      <c r="E164" s="3">
        <f t="shared" si="6"/>
        <v>4</v>
      </c>
      <c r="F164" s="5">
        <v>43993.625</v>
      </c>
      <c r="G164" s="19" t="str">
        <f t="shared" si="7"/>
        <v/>
      </c>
      <c r="J164" s="28">
        <f t="shared" si="8"/>
        <v>-0.25</v>
      </c>
    </row>
    <row r="165" spans="1:10">
      <c r="A165" s="3">
        <v>13</v>
      </c>
      <c r="B165" t="s">
        <v>119</v>
      </c>
      <c r="C165" t="s">
        <v>8</v>
      </c>
      <c r="E165" s="3">
        <f t="shared" si="6"/>
        <v>5</v>
      </c>
      <c r="F165" s="5">
        <v>43994.625</v>
      </c>
      <c r="G165" s="19" t="str">
        <f t="shared" si="7"/>
        <v/>
      </c>
      <c r="J165" s="28">
        <f t="shared" si="8"/>
        <v>0</v>
      </c>
    </row>
    <row r="166" spans="1:10">
      <c r="A166" s="3">
        <v>2</v>
      </c>
      <c r="B166" t="s">
        <v>120</v>
      </c>
      <c r="C166" t="s">
        <v>8</v>
      </c>
      <c r="E166" s="3">
        <f t="shared" si="6"/>
        <v>6</v>
      </c>
      <c r="F166" s="5">
        <v>43995.625</v>
      </c>
      <c r="G166" s="19" t="str">
        <f t="shared" si="7"/>
        <v/>
      </c>
      <c r="J166" s="28">
        <f t="shared" si="8"/>
        <v>-0.84615384615384615</v>
      </c>
    </row>
    <row r="167" spans="1:10">
      <c r="A167" s="3">
        <v>5</v>
      </c>
      <c r="B167" t="s">
        <v>121</v>
      </c>
      <c r="C167" t="s">
        <v>8</v>
      </c>
      <c r="E167" s="3">
        <f t="shared" si="6"/>
        <v>7</v>
      </c>
      <c r="F167" s="5">
        <v>43996.625</v>
      </c>
      <c r="G167" s="19" t="str">
        <f t="shared" si="7"/>
        <v/>
      </c>
      <c r="J167" s="28">
        <f t="shared" si="8"/>
        <v>0.25</v>
      </c>
    </row>
    <row r="168" spans="1:10">
      <c r="A168" s="3">
        <v>16</v>
      </c>
      <c r="B168" t="s">
        <v>122</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123</v>
      </c>
      <c r="C169" t="s">
        <v>8</v>
      </c>
      <c r="E169" s="3">
        <f t="shared" si="6"/>
        <v>2</v>
      </c>
      <c r="F169" s="5">
        <v>43998.625</v>
      </c>
      <c r="G169" s="19" t="str">
        <f t="shared" si="7"/>
        <v/>
      </c>
      <c r="J169" s="28">
        <f t="shared" si="8"/>
        <v>0</v>
      </c>
    </row>
    <row r="170" spans="1:10">
      <c r="A170" s="3">
        <v>4</v>
      </c>
      <c r="B170" t="s">
        <v>124</v>
      </c>
      <c r="C170" t="s">
        <v>8</v>
      </c>
      <c r="E170" s="3">
        <f t="shared" si="6"/>
        <v>3</v>
      </c>
      <c r="F170" s="5">
        <v>43999.625</v>
      </c>
      <c r="G170" s="19" t="str">
        <f t="shared" si="7"/>
        <v/>
      </c>
      <c r="J170" s="28">
        <f t="shared" si="8"/>
        <v>-0.4285714285714286</v>
      </c>
    </row>
    <row r="171" spans="1:10">
      <c r="A171" s="3">
        <v>8</v>
      </c>
      <c r="B171" t="s">
        <v>125</v>
      </c>
      <c r="C171" t="s">
        <v>8</v>
      </c>
      <c r="E171" s="3">
        <f t="shared" si="6"/>
        <v>4</v>
      </c>
      <c r="F171" s="5">
        <v>44000.625</v>
      </c>
      <c r="G171" s="19" t="str">
        <f t="shared" si="7"/>
        <v/>
      </c>
      <c r="J171" s="28">
        <f t="shared" si="8"/>
        <v>-0.11111111111111116</v>
      </c>
    </row>
    <row r="172" spans="1:10">
      <c r="A172" s="3">
        <v>0</v>
      </c>
      <c r="B172" t="s">
        <v>288</v>
      </c>
      <c r="C172" t="s">
        <v>8</v>
      </c>
      <c r="E172" s="3">
        <f t="shared" si="6"/>
        <v>5</v>
      </c>
      <c r="F172" s="5">
        <v>44001.625</v>
      </c>
      <c r="G172" s="19" t="str">
        <f t="shared" si="7"/>
        <v/>
      </c>
      <c r="J172" s="28">
        <f t="shared" si="8"/>
        <v>-1</v>
      </c>
    </row>
    <row r="173" spans="1:10">
      <c r="A173" s="3">
        <v>2</v>
      </c>
      <c r="B173" t="s">
        <v>126</v>
      </c>
      <c r="C173" t="s">
        <v>8</v>
      </c>
      <c r="E173" s="3">
        <f t="shared" si="6"/>
        <v>6</v>
      </c>
      <c r="F173" s="5">
        <v>44002.625</v>
      </c>
      <c r="G173" s="19" t="str">
        <f t="shared" si="7"/>
        <v/>
      </c>
      <c r="J173" s="28">
        <f t="shared" si="8"/>
        <v>0</v>
      </c>
    </row>
    <row r="174" spans="1:10">
      <c r="A174" s="3">
        <v>13</v>
      </c>
      <c r="B174" t="s">
        <v>127</v>
      </c>
      <c r="C174" t="s">
        <v>8</v>
      </c>
      <c r="E174" s="3">
        <f t="shared" si="6"/>
        <v>7</v>
      </c>
      <c r="F174" s="5">
        <v>44003.625</v>
      </c>
      <c r="G174" s="19" t="str">
        <f t="shared" si="7"/>
        <v/>
      </c>
      <c r="J174" s="28">
        <f t="shared" si="8"/>
        <v>1.6</v>
      </c>
    </row>
    <row r="175" spans="1:10">
      <c r="A175" s="3">
        <v>5</v>
      </c>
      <c r="B175" t="s">
        <v>128</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129</v>
      </c>
      <c r="C176" t="s">
        <v>8</v>
      </c>
      <c r="E176" s="3">
        <f t="shared" si="6"/>
        <v>2</v>
      </c>
      <c r="F176" s="5">
        <v>44005.625</v>
      </c>
      <c r="G176" s="19" t="str">
        <f t="shared" si="7"/>
        <v/>
      </c>
      <c r="J176" s="28">
        <f t="shared" si="8"/>
        <v>-0.375</v>
      </c>
    </row>
    <row r="177" spans="1:10">
      <c r="A177" s="3">
        <v>17</v>
      </c>
      <c r="B177" t="s">
        <v>130</v>
      </c>
      <c r="C177" t="s">
        <v>8</v>
      </c>
      <c r="E177" s="3">
        <f t="shared" si="6"/>
        <v>3</v>
      </c>
      <c r="F177" s="5">
        <v>44006.625</v>
      </c>
      <c r="G177" s="19" t="str">
        <f t="shared" si="7"/>
        <v/>
      </c>
      <c r="J177" s="28">
        <f t="shared" si="8"/>
        <v>3.25</v>
      </c>
    </row>
    <row r="178" spans="1:10">
      <c r="A178" s="3">
        <v>14</v>
      </c>
      <c r="B178" t="s">
        <v>131</v>
      </c>
      <c r="C178" t="s">
        <v>8</v>
      </c>
      <c r="E178" s="3">
        <f t="shared" si="6"/>
        <v>4</v>
      </c>
      <c r="F178" s="5">
        <v>44007.625</v>
      </c>
      <c r="G178" s="19" t="str">
        <f t="shared" si="7"/>
        <v/>
      </c>
      <c r="J178" s="28">
        <f t="shared" si="8"/>
        <v>0.75</v>
      </c>
    </row>
    <row r="179" spans="1:10">
      <c r="A179" s="3">
        <v>3</v>
      </c>
      <c r="B179" t="s">
        <v>132</v>
      </c>
      <c r="C179" t="s">
        <v>8</v>
      </c>
      <c r="E179" s="3">
        <f t="shared" si="6"/>
        <v>5</v>
      </c>
      <c r="F179" s="5">
        <v>44008.625</v>
      </c>
      <c r="G179" s="19" t="str">
        <f t="shared" si="7"/>
        <v/>
      </c>
      <c r="J179" s="28" t="e">
        <f t="shared" si="8"/>
        <v>#DIV/0!</v>
      </c>
    </row>
    <row r="180" spans="1:10">
      <c r="A180" s="3">
        <v>2</v>
      </c>
      <c r="B180" t="s">
        <v>133</v>
      </c>
      <c r="C180" t="s">
        <v>8</v>
      </c>
      <c r="E180" s="3">
        <f t="shared" si="6"/>
        <v>6</v>
      </c>
      <c r="F180" s="5">
        <v>44009.625</v>
      </c>
      <c r="G180" s="19" t="str">
        <f t="shared" si="7"/>
        <v/>
      </c>
      <c r="J180" s="28">
        <f t="shared" si="8"/>
        <v>0</v>
      </c>
    </row>
    <row r="181" spans="1:10">
      <c r="A181" s="3">
        <v>7</v>
      </c>
      <c r="B181" t="s">
        <v>134</v>
      </c>
      <c r="C181" t="s">
        <v>8</v>
      </c>
      <c r="E181" s="3">
        <f t="shared" si="6"/>
        <v>7</v>
      </c>
      <c r="F181" s="5">
        <v>44010.625</v>
      </c>
      <c r="G181" s="19" t="str">
        <f t="shared" si="7"/>
        <v/>
      </c>
      <c r="J181" s="28">
        <f t="shared" si="8"/>
        <v>-0.46153846153846156</v>
      </c>
    </row>
    <row r="182" spans="1:10">
      <c r="A182" s="3">
        <v>16</v>
      </c>
      <c r="B182" t="s">
        <v>135</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136</v>
      </c>
      <c r="C183" t="s">
        <v>8</v>
      </c>
      <c r="E183" s="3">
        <f t="shared" si="6"/>
        <v>2</v>
      </c>
      <c r="F183" s="5">
        <v>44012.625</v>
      </c>
      <c r="G183" s="19" t="str">
        <f t="shared" si="7"/>
        <v/>
      </c>
      <c r="J183" s="28">
        <f t="shared" si="8"/>
        <v>1</v>
      </c>
    </row>
    <row r="184" spans="1:10">
      <c r="A184" s="3">
        <v>2</v>
      </c>
      <c r="B184" t="s">
        <v>137</v>
      </c>
      <c r="C184" t="s">
        <v>8</v>
      </c>
      <c r="E184" s="3">
        <f t="shared" si="6"/>
        <v>3</v>
      </c>
      <c r="F184" s="5">
        <v>44013.625</v>
      </c>
      <c r="G184" s="19" t="str">
        <f t="shared" si="7"/>
        <v/>
      </c>
      <c r="J184" s="28">
        <f t="shared" si="8"/>
        <v>-0.88235294117647056</v>
      </c>
    </row>
    <row r="185" spans="1:10">
      <c r="A185" s="3">
        <v>7</v>
      </c>
      <c r="B185" t="s">
        <v>138</v>
      </c>
      <c r="C185" t="s">
        <v>8</v>
      </c>
      <c r="E185" s="3">
        <f t="shared" si="6"/>
        <v>4</v>
      </c>
      <c r="F185" s="5">
        <v>44014.625</v>
      </c>
      <c r="G185" s="19" t="str">
        <f t="shared" si="7"/>
        <v/>
      </c>
      <c r="J185" s="28">
        <f t="shared" si="8"/>
        <v>-0.5</v>
      </c>
    </row>
    <row r="186" spans="1:10">
      <c r="A186" s="3">
        <v>6</v>
      </c>
      <c r="B186" t="s">
        <v>139</v>
      </c>
      <c r="C186" t="s">
        <v>8</v>
      </c>
      <c r="E186" s="3">
        <f t="shared" si="6"/>
        <v>5</v>
      </c>
      <c r="F186" s="5">
        <v>44015.625</v>
      </c>
      <c r="G186" s="19" t="str">
        <f t="shared" si="7"/>
        <v/>
      </c>
      <c r="J186" s="28">
        <f t="shared" si="8"/>
        <v>1</v>
      </c>
    </row>
    <row r="187" spans="1:10">
      <c r="A187" s="3">
        <v>2</v>
      </c>
      <c r="B187" t="s">
        <v>140</v>
      </c>
      <c r="C187" t="s">
        <v>8</v>
      </c>
      <c r="E187" s="3">
        <f t="shared" si="6"/>
        <v>6</v>
      </c>
      <c r="F187" s="5">
        <v>44016.625</v>
      </c>
      <c r="G187" s="19" t="str">
        <f t="shared" si="7"/>
        <v/>
      </c>
      <c r="J187" s="28">
        <f t="shared" si="8"/>
        <v>0</v>
      </c>
    </row>
    <row r="188" spans="1:10">
      <c r="A188" s="3">
        <v>3</v>
      </c>
      <c r="B188" t="s">
        <v>141</v>
      </c>
      <c r="C188" t="s">
        <v>8</v>
      </c>
      <c r="E188" s="3">
        <f t="shared" si="6"/>
        <v>7</v>
      </c>
      <c r="F188" s="5">
        <v>44017.625</v>
      </c>
      <c r="G188" s="19" t="str">
        <f t="shared" si="7"/>
        <v/>
      </c>
      <c r="J188" s="28">
        <f t="shared" si="8"/>
        <v>-0.5714285714285714</v>
      </c>
    </row>
    <row r="189" spans="1:10">
      <c r="A189" s="3">
        <v>8</v>
      </c>
      <c r="B189" t="s">
        <v>142</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143</v>
      </c>
      <c r="C190" t="s">
        <v>8</v>
      </c>
      <c r="E190" s="3">
        <f t="shared" si="6"/>
        <v>2</v>
      </c>
      <c r="F190" s="5">
        <v>44019.625</v>
      </c>
      <c r="G190" s="19" t="str">
        <f t="shared" si="7"/>
        <v/>
      </c>
      <c r="J190" s="28">
        <f t="shared" si="8"/>
        <v>-0.7</v>
      </c>
    </row>
    <row r="191" spans="1:10">
      <c r="A191" s="3">
        <v>9</v>
      </c>
      <c r="B191" t="s">
        <v>144</v>
      </c>
      <c r="C191" t="s">
        <v>8</v>
      </c>
      <c r="E191" s="3">
        <f t="shared" si="6"/>
        <v>3</v>
      </c>
      <c r="F191" s="5">
        <v>44020.625</v>
      </c>
      <c r="G191" s="19" t="str">
        <f t="shared" si="7"/>
        <v/>
      </c>
      <c r="J191" s="28">
        <f t="shared" si="8"/>
        <v>3.5</v>
      </c>
    </row>
    <row r="192" spans="1:10">
      <c r="A192" s="3">
        <v>8</v>
      </c>
      <c r="B192" t="s">
        <v>145</v>
      </c>
      <c r="C192" t="s">
        <v>8</v>
      </c>
      <c r="E192" s="3">
        <f t="shared" si="6"/>
        <v>4</v>
      </c>
      <c r="F192" s="5">
        <v>44021.625</v>
      </c>
      <c r="G192" s="19" t="str">
        <f t="shared" si="7"/>
        <v/>
      </c>
      <c r="J192" s="28">
        <f t="shared" si="8"/>
        <v>0.14285714285714279</v>
      </c>
    </row>
    <row r="193" spans="1:10">
      <c r="A193" s="3">
        <v>6</v>
      </c>
      <c r="B193" t="s">
        <v>146</v>
      </c>
      <c r="C193" t="s">
        <v>8</v>
      </c>
      <c r="E193" s="3">
        <f t="shared" si="6"/>
        <v>5</v>
      </c>
      <c r="F193" s="5">
        <v>44022.625</v>
      </c>
      <c r="G193" s="19" t="str">
        <f t="shared" si="7"/>
        <v/>
      </c>
      <c r="J193" s="28">
        <f t="shared" si="8"/>
        <v>0</v>
      </c>
    </row>
    <row r="194" spans="1:10">
      <c r="A194" s="3">
        <v>0</v>
      </c>
      <c r="B194" t="s">
        <v>289</v>
      </c>
      <c r="C194" t="s">
        <v>8</v>
      </c>
      <c r="E194" s="3">
        <f t="shared" si="6"/>
        <v>6</v>
      </c>
      <c r="F194" s="5">
        <v>44023.625</v>
      </c>
      <c r="G194" s="19" t="str">
        <f t="shared" si="7"/>
        <v/>
      </c>
      <c r="J194" s="28">
        <f t="shared" si="8"/>
        <v>-1</v>
      </c>
    </row>
    <row r="195" spans="1:10">
      <c r="A195" s="3">
        <v>4</v>
      </c>
      <c r="B195" t="s">
        <v>147</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148</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149</v>
      </c>
      <c r="C197" t="s">
        <v>8</v>
      </c>
      <c r="E197" s="3">
        <f t="shared" si="9"/>
        <v>2</v>
      </c>
      <c r="F197" s="5">
        <v>44026.625</v>
      </c>
      <c r="G197" s="19" t="str">
        <f t="shared" si="10"/>
        <v/>
      </c>
      <c r="J197" s="28">
        <f t="shared" si="8"/>
        <v>0.66666666666666674</v>
      </c>
    </row>
    <row r="198" spans="1:10">
      <c r="A198" s="3">
        <v>5</v>
      </c>
      <c r="B198" t="s">
        <v>150</v>
      </c>
      <c r="C198" t="s">
        <v>8</v>
      </c>
      <c r="E198" s="3">
        <f t="shared" si="9"/>
        <v>3</v>
      </c>
      <c r="F198" s="5">
        <v>44027.625</v>
      </c>
      <c r="G198" s="19" t="str">
        <f t="shared" si="10"/>
        <v/>
      </c>
      <c r="J198" s="28">
        <f t="shared" si="8"/>
        <v>-0.44444444444444442</v>
      </c>
    </row>
    <row r="199" spans="1:10">
      <c r="A199" s="3">
        <v>9</v>
      </c>
      <c r="B199" t="s">
        <v>151</v>
      </c>
      <c r="C199" t="s">
        <v>8</v>
      </c>
      <c r="E199" s="3">
        <f t="shared" si="9"/>
        <v>4</v>
      </c>
      <c r="F199" s="5">
        <v>44028.625</v>
      </c>
      <c r="G199" s="19" t="str">
        <f t="shared" si="10"/>
        <v/>
      </c>
      <c r="J199" s="28">
        <f t="shared" si="8"/>
        <v>0.125</v>
      </c>
    </row>
    <row r="200" spans="1:10">
      <c r="A200" s="3">
        <v>6</v>
      </c>
      <c r="B200" t="s">
        <v>152</v>
      </c>
      <c r="C200" t="s">
        <v>8</v>
      </c>
      <c r="E200" s="3">
        <f t="shared" si="9"/>
        <v>5</v>
      </c>
      <c r="F200" s="5">
        <v>44029.625</v>
      </c>
      <c r="G200" s="19" t="str">
        <f t="shared" si="10"/>
        <v/>
      </c>
      <c r="J200" s="28">
        <f t="shared" si="8"/>
        <v>0</v>
      </c>
    </row>
    <row r="201" spans="1:10">
      <c r="A201" s="3">
        <v>7</v>
      </c>
      <c r="B201" t="s">
        <v>153</v>
      </c>
      <c r="C201" t="s">
        <v>8</v>
      </c>
      <c r="E201" s="3">
        <f t="shared" si="9"/>
        <v>6</v>
      </c>
      <c r="F201" s="5">
        <v>44030.625</v>
      </c>
      <c r="G201" s="19" t="str">
        <f t="shared" si="10"/>
        <v/>
      </c>
      <c r="J201" s="28" t="e">
        <f t="shared" ref="J201:J264" si="11">A201/A194-1</f>
        <v>#DIV/0!</v>
      </c>
    </row>
    <row r="202" spans="1:10">
      <c r="A202" s="3">
        <v>5</v>
      </c>
      <c r="B202" t="s">
        <v>154</v>
      </c>
      <c r="C202" t="s">
        <v>8</v>
      </c>
      <c r="E202" s="3">
        <f t="shared" si="9"/>
        <v>7</v>
      </c>
      <c r="F202" s="5">
        <v>44031.625</v>
      </c>
      <c r="G202" s="19" t="str">
        <f t="shared" si="10"/>
        <v/>
      </c>
      <c r="J202" s="28">
        <f t="shared" si="11"/>
        <v>0.25</v>
      </c>
    </row>
    <row r="203" spans="1:10">
      <c r="A203" s="3">
        <v>12</v>
      </c>
      <c r="B203" t="s">
        <v>155</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156</v>
      </c>
      <c r="C204" t="s">
        <v>8</v>
      </c>
      <c r="E204" s="3">
        <f t="shared" si="9"/>
        <v>2</v>
      </c>
      <c r="F204" s="5">
        <v>44033.625</v>
      </c>
      <c r="G204" s="19" t="str">
        <f t="shared" si="10"/>
        <v/>
      </c>
      <c r="J204" s="28">
        <f t="shared" si="11"/>
        <v>0.60000000000000009</v>
      </c>
    </row>
    <row r="205" spans="1:10">
      <c r="A205" s="3">
        <v>11</v>
      </c>
      <c r="B205" t="s">
        <v>157</v>
      </c>
      <c r="C205" t="s">
        <v>8</v>
      </c>
      <c r="E205" s="3">
        <f t="shared" si="9"/>
        <v>3</v>
      </c>
      <c r="F205" s="5">
        <v>44034.625</v>
      </c>
      <c r="G205" s="19" t="str">
        <f t="shared" si="10"/>
        <v/>
      </c>
      <c r="J205" s="28">
        <f t="shared" si="11"/>
        <v>1.2000000000000002</v>
      </c>
    </row>
    <row r="206" spans="1:10">
      <c r="A206" s="3">
        <v>3</v>
      </c>
      <c r="B206" t="s">
        <v>158</v>
      </c>
      <c r="C206" t="s">
        <v>8</v>
      </c>
      <c r="E206" s="3">
        <f t="shared" si="9"/>
        <v>4</v>
      </c>
      <c r="F206" s="5">
        <v>44035.625</v>
      </c>
      <c r="G206" s="19" t="str">
        <f t="shared" si="10"/>
        <v/>
      </c>
      <c r="J206" s="28">
        <f t="shared" si="11"/>
        <v>-0.66666666666666674</v>
      </c>
    </row>
    <row r="207" spans="1:10">
      <c r="A207" s="3">
        <v>10</v>
      </c>
      <c r="B207" t="s">
        <v>159</v>
      </c>
      <c r="C207" t="s">
        <v>8</v>
      </c>
      <c r="E207" s="3">
        <f t="shared" si="9"/>
        <v>5</v>
      </c>
      <c r="F207" s="5">
        <v>44036.625</v>
      </c>
      <c r="G207" s="19" t="str">
        <f t="shared" si="10"/>
        <v/>
      </c>
      <c r="J207" s="28">
        <f t="shared" si="11"/>
        <v>0.66666666666666674</v>
      </c>
    </row>
    <row r="208" spans="1:10">
      <c r="A208" s="3">
        <v>4</v>
      </c>
      <c r="B208" t="s">
        <v>160</v>
      </c>
      <c r="C208" t="s">
        <v>8</v>
      </c>
      <c r="E208" s="3">
        <f t="shared" si="9"/>
        <v>6</v>
      </c>
      <c r="F208" s="5">
        <v>44037.625</v>
      </c>
      <c r="G208" s="19" t="str">
        <f t="shared" si="10"/>
        <v/>
      </c>
      <c r="J208" s="28">
        <f t="shared" si="11"/>
        <v>-0.4285714285714286</v>
      </c>
    </row>
    <row r="209" spans="1:10">
      <c r="A209" s="3">
        <v>8</v>
      </c>
      <c r="B209" t="s">
        <v>161</v>
      </c>
      <c r="C209" t="s">
        <v>8</v>
      </c>
      <c r="E209" s="3">
        <f t="shared" si="9"/>
        <v>7</v>
      </c>
      <c r="F209" s="5">
        <v>44038.625</v>
      </c>
      <c r="G209" s="19" t="str">
        <f t="shared" si="10"/>
        <v/>
      </c>
      <c r="J209" s="28">
        <f t="shared" si="11"/>
        <v>0.60000000000000009</v>
      </c>
    </row>
    <row r="210" spans="1:10">
      <c r="A210" s="3">
        <v>12</v>
      </c>
      <c r="B210" t="s">
        <v>162</v>
      </c>
      <c r="C210" t="s">
        <v>8</v>
      </c>
      <c r="E210" s="3">
        <f t="shared" si="9"/>
        <v>1</v>
      </c>
      <c r="F210" s="5">
        <v>44039.625</v>
      </c>
      <c r="G210" s="19" t="str">
        <f t="shared" si="10"/>
        <v>2020-W31</v>
      </c>
      <c r="H210">
        <f>SUM(A210:A216)</f>
        <v>84</v>
      </c>
      <c r="I210" s="28">
        <f>H210/H203-1</f>
        <v>0.5</v>
      </c>
      <c r="J210" s="28">
        <f t="shared" si="11"/>
        <v>0</v>
      </c>
    </row>
    <row r="211" spans="1:10">
      <c r="A211" s="3">
        <v>9</v>
      </c>
      <c r="B211" t="s">
        <v>163</v>
      </c>
      <c r="C211" t="s">
        <v>8</v>
      </c>
      <c r="E211" s="3">
        <f t="shared" si="9"/>
        <v>2</v>
      </c>
      <c r="F211" s="5">
        <v>44040.625</v>
      </c>
      <c r="G211" s="19" t="str">
        <f t="shared" si="10"/>
        <v/>
      </c>
      <c r="J211" s="28">
        <f t="shared" si="11"/>
        <v>0.125</v>
      </c>
    </row>
    <row r="212" spans="1:10">
      <c r="A212" s="3">
        <v>12</v>
      </c>
      <c r="B212" t="s">
        <v>164</v>
      </c>
      <c r="C212" t="s">
        <v>8</v>
      </c>
      <c r="E212" s="3">
        <f t="shared" si="9"/>
        <v>3</v>
      </c>
      <c r="F212" s="5">
        <v>44041.625</v>
      </c>
      <c r="G212" s="19" t="str">
        <f t="shared" si="10"/>
        <v/>
      </c>
      <c r="J212" s="28">
        <f t="shared" si="11"/>
        <v>9.0909090909090828E-2</v>
      </c>
    </row>
    <row r="213" spans="1:10">
      <c r="A213" s="3">
        <v>8</v>
      </c>
      <c r="B213" t="s">
        <v>165</v>
      </c>
      <c r="C213" t="s">
        <v>8</v>
      </c>
      <c r="E213" s="3">
        <f t="shared" si="9"/>
        <v>4</v>
      </c>
      <c r="F213" s="5">
        <v>44042.625</v>
      </c>
      <c r="G213" s="19" t="str">
        <f t="shared" si="10"/>
        <v/>
      </c>
      <c r="J213" s="28">
        <f t="shared" si="11"/>
        <v>1.6666666666666665</v>
      </c>
    </row>
    <row r="214" spans="1:10">
      <c r="A214" s="3">
        <v>18</v>
      </c>
      <c r="B214" t="s">
        <v>166</v>
      </c>
      <c r="C214" t="s">
        <v>8</v>
      </c>
      <c r="E214" s="3">
        <f t="shared" si="9"/>
        <v>5</v>
      </c>
      <c r="F214" s="5">
        <v>44043.625</v>
      </c>
      <c r="G214" s="19" t="str">
        <f t="shared" si="10"/>
        <v/>
      </c>
      <c r="J214" s="28">
        <f t="shared" si="11"/>
        <v>0.8</v>
      </c>
    </row>
    <row r="215" spans="1:10">
      <c r="A215" s="3">
        <v>15</v>
      </c>
      <c r="B215" t="s">
        <v>167</v>
      </c>
      <c r="C215" t="s">
        <v>8</v>
      </c>
      <c r="E215" s="3">
        <f t="shared" si="9"/>
        <v>6</v>
      </c>
      <c r="F215" s="5">
        <v>44044.625</v>
      </c>
      <c r="G215" s="19" t="str">
        <f t="shared" si="10"/>
        <v/>
      </c>
      <c r="J215" s="28">
        <f t="shared" si="11"/>
        <v>2.75</v>
      </c>
    </row>
    <row r="216" spans="1:10">
      <c r="A216" s="3">
        <v>10</v>
      </c>
      <c r="B216" t="s">
        <v>168</v>
      </c>
      <c r="C216" t="s">
        <v>8</v>
      </c>
      <c r="E216" s="3">
        <f t="shared" si="9"/>
        <v>7</v>
      </c>
      <c r="F216" s="5">
        <v>44045.625</v>
      </c>
      <c r="G216" s="19" t="str">
        <f t="shared" si="10"/>
        <v/>
      </c>
      <c r="J216" s="28">
        <f t="shared" si="11"/>
        <v>0.25</v>
      </c>
    </row>
    <row r="217" spans="1:10">
      <c r="A217" s="3">
        <v>35</v>
      </c>
      <c r="B217" t="s">
        <v>169</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170</v>
      </c>
      <c r="C218" t="s">
        <v>8</v>
      </c>
      <c r="E218" s="3">
        <f t="shared" si="9"/>
        <v>2</v>
      </c>
      <c r="F218" s="5">
        <v>44047.625</v>
      </c>
      <c r="G218" s="19" t="str">
        <f t="shared" si="10"/>
        <v/>
      </c>
      <c r="J218" s="28">
        <f t="shared" si="11"/>
        <v>1.4444444444444446</v>
      </c>
    </row>
    <row r="219" spans="1:10">
      <c r="A219" s="3">
        <v>29</v>
      </c>
      <c r="B219" t="s">
        <v>171</v>
      </c>
      <c r="C219" t="s">
        <v>8</v>
      </c>
      <c r="E219" s="3">
        <f t="shared" si="9"/>
        <v>3</v>
      </c>
      <c r="F219" s="5">
        <v>44048.625</v>
      </c>
      <c r="G219" s="19" t="str">
        <f t="shared" si="10"/>
        <v/>
      </c>
      <c r="J219" s="28">
        <f t="shared" si="11"/>
        <v>1.4166666666666665</v>
      </c>
    </row>
    <row r="220" spans="1:10">
      <c r="A220" s="3">
        <v>22</v>
      </c>
      <c r="B220" t="s">
        <v>172</v>
      </c>
      <c r="C220" t="s">
        <v>8</v>
      </c>
      <c r="E220" s="3">
        <f t="shared" si="9"/>
        <v>4</v>
      </c>
      <c r="F220" s="5">
        <v>44049.625</v>
      </c>
      <c r="G220" s="19" t="str">
        <f t="shared" si="10"/>
        <v/>
      </c>
      <c r="J220" s="28">
        <f t="shared" si="11"/>
        <v>1.75</v>
      </c>
    </row>
    <row r="221" spans="1:10">
      <c r="A221" s="3">
        <v>17</v>
      </c>
      <c r="B221" t="s">
        <v>173</v>
      </c>
      <c r="C221" t="s">
        <v>8</v>
      </c>
      <c r="E221" s="3">
        <f t="shared" si="9"/>
        <v>5</v>
      </c>
      <c r="F221" s="5">
        <v>44050.625</v>
      </c>
      <c r="G221" s="19" t="str">
        <f t="shared" si="10"/>
        <v/>
      </c>
      <c r="J221" s="28">
        <f t="shared" si="11"/>
        <v>-5.555555555555558E-2</v>
      </c>
    </row>
    <row r="222" spans="1:10">
      <c r="A222" s="3">
        <v>9</v>
      </c>
      <c r="B222" t="s">
        <v>174</v>
      </c>
      <c r="C222" t="s">
        <v>8</v>
      </c>
      <c r="E222" s="3">
        <f t="shared" si="9"/>
        <v>6</v>
      </c>
      <c r="F222" s="5">
        <v>44051.625</v>
      </c>
      <c r="G222" s="19" t="str">
        <f t="shared" si="10"/>
        <v/>
      </c>
      <c r="J222" s="28">
        <f t="shared" si="11"/>
        <v>-0.4</v>
      </c>
    </row>
    <row r="223" spans="1:10">
      <c r="A223" s="3">
        <v>35</v>
      </c>
      <c r="B223" t="s">
        <v>175</v>
      </c>
      <c r="C223" t="s">
        <v>8</v>
      </c>
      <c r="E223" s="3">
        <f t="shared" si="9"/>
        <v>7</v>
      </c>
      <c r="F223" s="5">
        <v>44052.625</v>
      </c>
      <c r="G223" s="19" t="str">
        <f t="shared" si="10"/>
        <v/>
      </c>
      <c r="J223" s="28">
        <f t="shared" si="11"/>
        <v>2.5</v>
      </c>
    </row>
    <row r="224" spans="1:10">
      <c r="A224" s="3">
        <v>15</v>
      </c>
      <c r="B224" t="s">
        <v>176</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177</v>
      </c>
      <c r="C225" t="s">
        <v>8</v>
      </c>
      <c r="E225" s="3">
        <f t="shared" si="9"/>
        <v>2</v>
      </c>
      <c r="F225" s="5">
        <v>44054.625</v>
      </c>
      <c r="G225" s="19" t="str">
        <f t="shared" si="10"/>
        <v/>
      </c>
      <c r="J225" s="28">
        <f t="shared" si="11"/>
        <v>0.27272727272727271</v>
      </c>
    </row>
    <row r="226" spans="1:10">
      <c r="A226" s="3">
        <v>27</v>
      </c>
      <c r="B226" t="s">
        <v>178</v>
      </c>
      <c r="C226" t="s">
        <v>8</v>
      </c>
      <c r="E226" s="3">
        <f t="shared" si="9"/>
        <v>3</v>
      </c>
      <c r="F226" s="5">
        <v>44055.625</v>
      </c>
      <c r="G226" s="19" t="str">
        <f t="shared" si="10"/>
        <v/>
      </c>
      <c r="J226" s="28">
        <f t="shared" si="11"/>
        <v>-6.8965517241379337E-2</v>
      </c>
    </row>
    <row r="227" spans="1:10">
      <c r="A227" s="3">
        <v>21</v>
      </c>
      <c r="B227" t="s">
        <v>179</v>
      </c>
      <c r="C227" t="s">
        <v>8</v>
      </c>
      <c r="E227" s="3">
        <f t="shared" si="9"/>
        <v>4</v>
      </c>
      <c r="F227" s="5">
        <v>44056.625</v>
      </c>
      <c r="G227" s="19" t="str">
        <f t="shared" si="10"/>
        <v/>
      </c>
      <c r="J227" s="28">
        <f t="shared" si="11"/>
        <v>-4.5454545454545414E-2</v>
      </c>
    </row>
    <row r="228" spans="1:10">
      <c r="A228" s="3">
        <v>27</v>
      </c>
      <c r="B228" t="s">
        <v>180</v>
      </c>
      <c r="C228" t="s">
        <v>8</v>
      </c>
      <c r="E228" s="3">
        <f t="shared" si="9"/>
        <v>5</v>
      </c>
      <c r="F228" s="5">
        <v>44057.625</v>
      </c>
      <c r="G228" s="19" t="str">
        <f t="shared" si="10"/>
        <v/>
      </c>
      <c r="J228" s="28">
        <f t="shared" si="11"/>
        <v>0.58823529411764697</v>
      </c>
    </row>
    <row r="229" spans="1:10">
      <c r="A229" s="3">
        <v>14</v>
      </c>
      <c r="B229" t="s">
        <v>181</v>
      </c>
      <c r="C229" t="s">
        <v>8</v>
      </c>
      <c r="E229" s="3">
        <f t="shared" si="9"/>
        <v>6</v>
      </c>
      <c r="F229" s="5">
        <v>44058.625</v>
      </c>
      <c r="G229" s="19" t="str">
        <f t="shared" si="10"/>
        <v/>
      </c>
      <c r="J229" s="28">
        <f t="shared" si="11"/>
        <v>0.55555555555555558</v>
      </c>
    </row>
    <row r="230" spans="1:10">
      <c r="A230" s="3">
        <v>43</v>
      </c>
      <c r="B230" t="s">
        <v>182</v>
      </c>
      <c r="C230" t="s">
        <v>8</v>
      </c>
      <c r="E230" s="3">
        <f t="shared" si="9"/>
        <v>7</v>
      </c>
      <c r="F230" s="5">
        <v>44059.625</v>
      </c>
      <c r="G230" s="19" t="str">
        <f t="shared" si="10"/>
        <v/>
      </c>
      <c r="J230" s="28">
        <f t="shared" si="11"/>
        <v>0.22857142857142865</v>
      </c>
    </row>
    <row r="231" spans="1:10">
      <c r="A231" s="3">
        <v>27</v>
      </c>
      <c r="B231" t="s">
        <v>183</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184</v>
      </c>
      <c r="C232" t="s">
        <v>8</v>
      </c>
      <c r="E232" s="3">
        <f t="shared" si="9"/>
        <v>2</v>
      </c>
      <c r="F232" s="5">
        <v>44061.625</v>
      </c>
      <c r="G232" s="19" t="str">
        <f t="shared" si="10"/>
        <v/>
      </c>
      <c r="J232" s="28">
        <f t="shared" si="11"/>
        <v>0.39285714285714279</v>
      </c>
    </row>
    <row r="233" spans="1:10">
      <c r="A233" s="3">
        <v>47</v>
      </c>
      <c r="B233" t="s">
        <v>185</v>
      </c>
      <c r="C233" t="s">
        <v>8</v>
      </c>
      <c r="E233" s="3">
        <f t="shared" si="9"/>
        <v>3</v>
      </c>
      <c r="F233" s="5">
        <v>44062.625</v>
      </c>
      <c r="G233" s="19" t="str">
        <f t="shared" si="10"/>
        <v/>
      </c>
      <c r="J233" s="28">
        <f t="shared" si="11"/>
        <v>0.7407407407407407</v>
      </c>
    </row>
    <row r="234" spans="1:10">
      <c r="A234" s="3">
        <v>27</v>
      </c>
      <c r="B234" t="s">
        <v>186</v>
      </c>
      <c r="C234" t="s">
        <v>8</v>
      </c>
      <c r="E234" s="3">
        <f t="shared" si="9"/>
        <v>4</v>
      </c>
      <c r="F234" s="5">
        <v>44063.625</v>
      </c>
      <c r="G234" s="19" t="str">
        <f t="shared" si="10"/>
        <v/>
      </c>
      <c r="J234" s="28">
        <f t="shared" si="11"/>
        <v>0.28571428571428581</v>
      </c>
    </row>
    <row r="235" spans="1:10">
      <c r="A235" s="3">
        <v>25</v>
      </c>
      <c r="B235" t="s">
        <v>187</v>
      </c>
      <c r="C235" t="s">
        <v>8</v>
      </c>
      <c r="E235" s="3">
        <f t="shared" si="9"/>
        <v>5</v>
      </c>
      <c r="F235" s="5">
        <v>44064.625</v>
      </c>
      <c r="G235" s="19" t="str">
        <f t="shared" si="10"/>
        <v/>
      </c>
      <c r="J235" s="28">
        <f t="shared" si="11"/>
        <v>-7.407407407407407E-2</v>
      </c>
    </row>
    <row r="236" spans="1:10">
      <c r="A236" s="3">
        <v>16</v>
      </c>
      <c r="B236" t="s">
        <v>188</v>
      </c>
      <c r="C236" t="s">
        <v>8</v>
      </c>
      <c r="E236" s="3">
        <f t="shared" si="9"/>
        <v>6</v>
      </c>
      <c r="F236" s="5">
        <v>44065.625</v>
      </c>
      <c r="G236" s="19" t="str">
        <f t="shared" si="10"/>
        <v/>
      </c>
      <c r="J236" s="28">
        <f t="shared" si="11"/>
        <v>0.14285714285714279</v>
      </c>
    </row>
    <row r="237" spans="1:10">
      <c r="A237" s="3">
        <v>10</v>
      </c>
      <c r="B237" t="s">
        <v>189</v>
      </c>
      <c r="C237" t="s">
        <v>8</v>
      </c>
      <c r="E237" s="3">
        <f t="shared" si="9"/>
        <v>7</v>
      </c>
      <c r="F237" s="5">
        <v>44066.625</v>
      </c>
      <c r="G237" s="19" t="str">
        <f t="shared" si="10"/>
        <v/>
      </c>
      <c r="J237" s="28">
        <f t="shared" si="11"/>
        <v>-0.76744186046511631</v>
      </c>
    </row>
    <row r="238" spans="1:10">
      <c r="A238" s="3">
        <v>17</v>
      </c>
      <c r="B238" t="s">
        <v>190</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191</v>
      </c>
      <c r="C239" t="s">
        <v>8</v>
      </c>
      <c r="E239" s="3">
        <f t="shared" si="9"/>
        <v>2</v>
      </c>
      <c r="F239" s="5">
        <v>44068.625</v>
      </c>
      <c r="G239" s="19" t="str">
        <f t="shared" si="10"/>
        <v/>
      </c>
      <c r="J239" s="28">
        <f t="shared" si="11"/>
        <v>-0.61538461538461542</v>
      </c>
    </row>
    <row r="240" spans="1:10">
      <c r="A240" s="3">
        <v>20</v>
      </c>
      <c r="B240" t="s">
        <v>192</v>
      </c>
      <c r="C240" t="s">
        <v>8</v>
      </c>
      <c r="E240" s="3">
        <f t="shared" si="9"/>
        <v>3</v>
      </c>
      <c r="F240" s="5">
        <v>44069.625</v>
      </c>
      <c r="G240" s="19" t="str">
        <f t="shared" si="10"/>
        <v/>
      </c>
      <c r="J240" s="28">
        <f t="shared" si="11"/>
        <v>-0.57446808510638303</v>
      </c>
    </row>
    <row r="241" spans="1:10">
      <c r="A241" s="3">
        <v>32</v>
      </c>
      <c r="B241" t="s">
        <v>193</v>
      </c>
      <c r="C241" t="s">
        <v>8</v>
      </c>
      <c r="E241" s="3">
        <f t="shared" si="9"/>
        <v>4</v>
      </c>
      <c r="F241" s="5">
        <v>44070.625</v>
      </c>
      <c r="G241" s="19" t="str">
        <f t="shared" si="10"/>
        <v/>
      </c>
      <c r="J241" s="28">
        <f t="shared" si="11"/>
        <v>0.18518518518518512</v>
      </c>
    </row>
    <row r="242" spans="1:10">
      <c r="A242" s="3">
        <v>35</v>
      </c>
      <c r="B242" t="s">
        <v>194</v>
      </c>
      <c r="C242" t="s">
        <v>8</v>
      </c>
      <c r="E242" s="3">
        <f t="shared" si="9"/>
        <v>5</v>
      </c>
      <c r="F242" s="5">
        <v>44071.625</v>
      </c>
      <c r="G242" s="19" t="str">
        <f t="shared" si="10"/>
        <v/>
      </c>
      <c r="J242" s="28">
        <f t="shared" si="11"/>
        <v>0.39999999999999991</v>
      </c>
    </row>
    <row r="243" spans="1:10">
      <c r="A243" s="3">
        <v>19</v>
      </c>
      <c r="B243" t="s">
        <v>195</v>
      </c>
      <c r="C243" t="s">
        <v>8</v>
      </c>
      <c r="E243" s="3">
        <f t="shared" si="9"/>
        <v>6</v>
      </c>
      <c r="F243" s="5">
        <v>44072.625</v>
      </c>
      <c r="G243" s="19" t="str">
        <f t="shared" si="10"/>
        <v/>
      </c>
      <c r="J243" s="28">
        <f t="shared" si="11"/>
        <v>0.1875</v>
      </c>
    </row>
    <row r="244" spans="1:10">
      <c r="A244" s="3">
        <v>18</v>
      </c>
      <c r="B244" t="s">
        <v>196</v>
      </c>
      <c r="C244" t="s">
        <v>8</v>
      </c>
      <c r="E244" s="3">
        <f t="shared" si="9"/>
        <v>7</v>
      </c>
      <c r="F244" s="5">
        <v>44073.625</v>
      </c>
      <c r="G244" s="19" t="str">
        <f t="shared" si="10"/>
        <v/>
      </c>
      <c r="J244" s="28">
        <f t="shared" si="11"/>
        <v>0.8</v>
      </c>
    </row>
    <row r="245" spans="1:10">
      <c r="A245" s="3">
        <v>48</v>
      </c>
      <c r="B245" t="s">
        <v>197</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198</v>
      </c>
      <c r="C246" t="s">
        <v>8</v>
      </c>
      <c r="E246" s="3">
        <f t="shared" si="9"/>
        <v>2</v>
      </c>
      <c r="F246" s="5">
        <v>44075.625</v>
      </c>
      <c r="G246" s="19" t="str">
        <f t="shared" si="10"/>
        <v/>
      </c>
      <c r="J246" s="28">
        <f t="shared" si="11"/>
        <v>0.93333333333333335</v>
      </c>
    </row>
    <row r="247" spans="1:10">
      <c r="A247" s="3">
        <v>26</v>
      </c>
      <c r="B247" t="s">
        <v>199</v>
      </c>
      <c r="C247" t="s">
        <v>8</v>
      </c>
      <c r="E247" s="3">
        <f t="shared" si="9"/>
        <v>3</v>
      </c>
      <c r="F247" s="5">
        <v>44076.625</v>
      </c>
      <c r="G247" s="19" t="str">
        <f t="shared" si="10"/>
        <v/>
      </c>
      <c r="J247" s="28">
        <f t="shared" si="11"/>
        <v>0.30000000000000004</v>
      </c>
    </row>
    <row r="248" spans="1:10">
      <c r="A248" s="3">
        <v>35</v>
      </c>
      <c r="B248" t="s">
        <v>200</v>
      </c>
      <c r="C248" t="s">
        <v>8</v>
      </c>
      <c r="E248" s="3">
        <f t="shared" si="9"/>
        <v>4</v>
      </c>
      <c r="F248" s="5">
        <v>44077.625</v>
      </c>
      <c r="G248" s="19" t="str">
        <f t="shared" si="10"/>
        <v/>
      </c>
      <c r="J248" s="28">
        <f t="shared" si="11"/>
        <v>9.375E-2</v>
      </c>
    </row>
    <row r="249" spans="1:10">
      <c r="A249" s="3">
        <v>42</v>
      </c>
      <c r="B249" t="s">
        <v>201</v>
      </c>
      <c r="C249" t="s">
        <v>8</v>
      </c>
      <c r="E249" s="3">
        <f t="shared" si="9"/>
        <v>5</v>
      </c>
      <c r="F249" s="5">
        <v>44078.625</v>
      </c>
      <c r="G249" s="19" t="str">
        <f t="shared" si="10"/>
        <v/>
      </c>
      <c r="J249" s="28">
        <f t="shared" si="11"/>
        <v>0.19999999999999996</v>
      </c>
    </row>
    <row r="250" spans="1:10">
      <c r="A250" s="3">
        <v>22</v>
      </c>
      <c r="B250" t="s">
        <v>202</v>
      </c>
      <c r="C250" t="s">
        <v>8</v>
      </c>
      <c r="E250" s="3">
        <f t="shared" si="9"/>
        <v>6</v>
      </c>
      <c r="F250" s="5">
        <v>44079.625</v>
      </c>
      <c r="G250" s="19" t="str">
        <f t="shared" si="10"/>
        <v/>
      </c>
      <c r="J250" s="28">
        <f t="shared" si="11"/>
        <v>0.15789473684210531</v>
      </c>
    </row>
    <row r="251" spans="1:10">
      <c r="A251" s="3">
        <v>33</v>
      </c>
      <c r="B251" t="s">
        <v>203</v>
      </c>
      <c r="C251" t="s">
        <v>8</v>
      </c>
      <c r="E251" s="3">
        <f t="shared" si="9"/>
        <v>7</v>
      </c>
      <c r="F251" s="5">
        <v>44080.625</v>
      </c>
      <c r="G251" s="19" t="str">
        <f t="shared" si="10"/>
        <v/>
      </c>
      <c r="J251" s="28">
        <f t="shared" si="11"/>
        <v>0.83333333333333326</v>
      </c>
    </row>
    <row r="252" spans="1:10">
      <c r="A252" s="3">
        <v>45</v>
      </c>
      <c r="B252" t="s">
        <v>204</v>
      </c>
      <c r="C252" t="s">
        <v>8</v>
      </c>
      <c r="E252" s="3">
        <f t="shared" si="9"/>
        <v>1</v>
      </c>
      <c r="F252" s="5">
        <v>44081.625</v>
      </c>
      <c r="G252" s="19" t="str">
        <f t="shared" si="10"/>
        <v>2020-W37</v>
      </c>
      <c r="H252">
        <f>SUM(A252:A258)</f>
        <v>355</v>
      </c>
      <c r="I252" s="28">
        <f>H252/H245-1</f>
        <v>0.5106382978723405</v>
      </c>
      <c r="J252" s="28">
        <f t="shared" si="11"/>
        <v>-6.25E-2</v>
      </c>
    </row>
    <row r="253" spans="1:10">
      <c r="A253" s="3">
        <v>57</v>
      </c>
      <c r="B253" t="s">
        <v>205</v>
      </c>
      <c r="C253" t="s">
        <v>8</v>
      </c>
      <c r="E253" s="3">
        <f t="shared" si="9"/>
        <v>2</v>
      </c>
      <c r="F253" s="5">
        <v>44082.625</v>
      </c>
      <c r="G253" s="19" t="str">
        <f t="shared" si="10"/>
        <v/>
      </c>
      <c r="J253" s="28">
        <f t="shared" si="11"/>
        <v>0.96551724137931028</v>
      </c>
    </row>
    <row r="254" spans="1:10">
      <c r="A254" s="3">
        <v>55</v>
      </c>
      <c r="B254" t="s">
        <v>206</v>
      </c>
      <c r="C254" t="s">
        <v>8</v>
      </c>
      <c r="E254" s="3">
        <f t="shared" si="9"/>
        <v>3</v>
      </c>
      <c r="F254" s="5">
        <v>44083.625</v>
      </c>
      <c r="G254" s="19" t="str">
        <f t="shared" si="10"/>
        <v/>
      </c>
      <c r="J254" s="28">
        <f t="shared" si="11"/>
        <v>1.1153846153846154</v>
      </c>
    </row>
    <row r="255" spans="1:10">
      <c r="A255" s="3">
        <v>54</v>
      </c>
      <c r="B255" t="s">
        <v>207</v>
      </c>
      <c r="C255" t="s">
        <v>8</v>
      </c>
      <c r="E255" s="3">
        <f t="shared" si="9"/>
        <v>4</v>
      </c>
      <c r="F255" s="5">
        <v>44084.625</v>
      </c>
      <c r="G255" s="19" t="str">
        <f t="shared" si="10"/>
        <v/>
      </c>
      <c r="J255" s="28">
        <f t="shared" si="11"/>
        <v>0.54285714285714293</v>
      </c>
    </row>
    <row r="256" spans="1:10">
      <c r="A256" s="3">
        <v>58</v>
      </c>
      <c r="B256" t="s">
        <v>208</v>
      </c>
      <c r="C256" t="s">
        <v>8</v>
      </c>
      <c r="E256" s="3">
        <f t="shared" si="9"/>
        <v>5</v>
      </c>
      <c r="F256" s="5">
        <v>44085.625</v>
      </c>
      <c r="G256" s="19" t="str">
        <f t="shared" si="10"/>
        <v/>
      </c>
      <c r="J256" s="28">
        <f t="shared" si="11"/>
        <v>0.38095238095238093</v>
      </c>
    </row>
    <row r="257" spans="1:10">
      <c r="A257" s="3">
        <v>40</v>
      </c>
      <c r="B257" t="s">
        <v>209</v>
      </c>
      <c r="C257" t="s">
        <v>8</v>
      </c>
      <c r="E257" s="3">
        <f t="shared" si="9"/>
        <v>6</v>
      </c>
      <c r="F257" s="5">
        <v>44086.625</v>
      </c>
      <c r="G257" s="19" t="str">
        <f t="shared" si="10"/>
        <v/>
      </c>
      <c r="J257" s="28">
        <f t="shared" si="11"/>
        <v>0.81818181818181812</v>
      </c>
    </row>
    <row r="258" spans="1:10">
      <c r="A258" s="3">
        <v>46</v>
      </c>
      <c r="B258" t="s">
        <v>210</v>
      </c>
      <c r="C258" t="s">
        <v>8</v>
      </c>
      <c r="E258" s="3">
        <f t="shared" si="9"/>
        <v>7</v>
      </c>
      <c r="F258" s="5">
        <v>44087.625</v>
      </c>
      <c r="G258" s="19" t="str">
        <f t="shared" si="10"/>
        <v/>
      </c>
      <c r="J258" s="28">
        <f t="shared" si="11"/>
        <v>0.39393939393939403</v>
      </c>
    </row>
    <row r="259" spans="1:10">
      <c r="A259" s="3">
        <v>59</v>
      </c>
      <c r="B259" t="s">
        <v>211</v>
      </c>
      <c r="C259" t="s">
        <v>8</v>
      </c>
      <c r="E259" s="3">
        <f t="shared" ref="E259:E324" si="12">WEEKDAY(F259,2)</f>
        <v>1</v>
      </c>
      <c r="F259" s="5">
        <v>44088.625</v>
      </c>
      <c r="G259" s="19" t="str">
        <f t="shared" ref="G259:G322" si="13">IF(WEEKDAY(F259,2)=1,YEAR(F259)&amp;"-W"&amp;TEXT(WEEKNUM(F259,14),"00"),"")</f>
        <v>2020-W38</v>
      </c>
      <c r="H259">
        <f>SUM(A259:A265)</f>
        <v>469</v>
      </c>
      <c r="I259" s="28">
        <f>H259/H252-1</f>
        <v>0.3211267605633803</v>
      </c>
      <c r="J259" s="28">
        <f t="shared" si="11"/>
        <v>0.31111111111111112</v>
      </c>
    </row>
    <row r="260" spans="1:10">
      <c r="A260" s="3">
        <v>53</v>
      </c>
      <c r="B260" t="s">
        <v>212</v>
      </c>
      <c r="C260" t="s">
        <v>8</v>
      </c>
      <c r="E260" s="3">
        <f t="shared" si="12"/>
        <v>2</v>
      </c>
      <c r="F260" s="5">
        <v>44089.625</v>
      </c>
      <c r="G260" s="19" t="str">
        <f t="shared" si="13"/>
        <v/>
      </c>
      <c r="J260" s="28">
        <f t="shared" si="11"/>
        <v>-7.0175438596491224E-2</v>
      </c>
    </row>
    <row r="261" spans="1:10">
      <c r="A261" s="3">
        <v>57</v>
      </c>
      <c r="B261" t="s">
        <v>213</v>
      </c>
      <c r="C261" t="s">
        <v>8</v>
      </c>
      <c r="E261" s="3">
        <f t="shared" si="12"/>
        <v>3</v>
      </c>
      <c r="F261" s="5">
        <v>44090.625</v>
      </c>
      <c r="G261" s="19" t="str">
        <f t="shared" si="13"/>
        <v/>
      </c>
      <c r="J261" s="28">
        <f t="shared" si="11"/>
        <v>3.6363636363636376E-2</v>
      </c>
    </row>
    <row r="262" spans="1:10">
      <c r="A262" s="3">
        <v>85</v>
      </c>
      <c r="B262" t="s">
        <v>214</v>
      </c>
      <c r="C262" t="s">
        <v>8</v>
      </c>
      <c r="E262" s="3">
        <f t="shared" si="12"/>
        <v>4</v>
      </c>
      <c r="F262" s="5">
        <v>44091.625</v>
      </c>
      <c r="G262" s="19" t="str">
        <f t="shared" si="13"/>
        <v/>
      </c>
      <c r="J262" s="28">
        <f t="shared" si="11"/>
        <v>0.57407407407407418</v>
      </c>
    </row>
    <row r="263" spans="1:10">
      <c r="A263" s="3">
        <v>77</v>
      </c>
      <c r="B263" t="s">
        <v>215</v>
      </c>
      <c r="C263" t="s">
        <v>8</v>
      </c>
      <c r="E263" s="3">
        <f t="shared" si="12"/>
        <v>5</v>
      </c>
      <c r="F263" s="5">
        <v>44092.625</v>
      </c>
      <c r="G263" s="19" t="str">
        <f t="shared" si="13"/>
        <v/>
      </c>
      <c r="J263" s="28">
        <f t="shared" si="11"/>
        <v>0.32758620689655182</v>
      </c>
    </row>
    <row r="264" spans="1:10">
      <c r="A264" s="3">
        <v>64</v>
      </c>
      <c r="B264" t="s">
        <v>216</v>
      </c>
      <c r="C264" t="s">
        <v>8</v>
      </c>
      <c r="E264" s="3">
        <f t="shared" si="12"/>
        <v>6</v>
      </c>
      <c r="F264" s="5">
        <v>44093.625</v>
      </c>
      <c r="G264" s="19" t="str">
        <f t="shared" si="13"/>
        <v/>
      </c>
      <c r="J264" s="28">
        <f t="shared" si="11"/>
        <v>0.60000000000000009</v>
      </c>
    </row>
    <row r="265" spans="1:10">
      <c r="A265" s="3">
        <v>74</v>
      </c>
      <c r="B265" t="s">
        <v>217</v>
      </c>
      <c r="C265" t="s">
        <v>8</v>
      </c>
      <c r="E265" s="3">
        <f t="shared" si="12"/>
        <v>7</v>
      </c>
      <c r="F265" s="5">
        <v>44094.625</v>
      </c>
      <c r="G265" s="19" t="str">
        <f t="shared" si="13"/>
        <v/>
      </c>
      <c r="J265" s="28">
        <f t="shared" ref="J265:J328" si="14">A265/A258-1</f>
        <v>0.60869565217391308</v>
      </c>
    </row>
    <row r="266" spans="1:10">
      <c r="A266" s="3">
        <v>120</v>
      </c>
      <c r="B266" t="s">
        <v>218</v>
      </c>
      <c r="C266" t="s">
        <v>8</v>
      </c>
      <c r="E266" s="3">
        <f t="shared" si="12"/>
        <v>1</v>
      </c>
      <c r="F266" s="5">
        <v>44095.625</v>
      </c>
      <c r="G266" s="19" t="str">
        <f t="shared" si="13"/>
        <v>2020-W39</v>
      </c>
      <c r="H266">
        <f>SUM(A266:A272)</f>
        <v>717</v>
      </c>
      <c r="I266" s="28">
        <f>H266/H259-1</f>
        <v>0.52878464818763327</v>
      </c>
      <c r="J266" s="28">
        <f t="shared" si="14"/>
        <v>1.0338983050847457</v>
      </c>
    </row>
    <row r="267" spans="1:10">
      <c r="A267" s="3">
        <v>110</v>
      </c>
      <c r="B267" t="s">
        <v>219</v>
      </c>
      <c r="C267" t="s">
        <v>8</v>
      </c>
      <c r="E267" s="3">
        <f t="shared" si="12"/>
        <v>2</v>
      </c>
      <c r="F267" s="5">
        <v>44096.625</v>
      </c>
      <c r="G267" s="19" t="str">
        <f t="shared" si="13"/>
        <v/>
      </c>
      <c r="J267" s="28">
        <f t="shared" si="14"/>
        <v>1.0754716981132075</v>
      </c>
    </row>
    <row r="268" spans="1:10">
      <c r="A268" s="3">
        <v>117</v>
      </c>
      <c r="B268" t="s">
        <v>220</v>
      </c>
      <c r="C268" t="s">
        <v>8</v>
      </c>
      <c r="E268" s="3">
        <f t="shared" si="12"/>
        <v>3</v>
      </c>
      <c r="F268" s="5">
        <v>44097.625</v>
      </c>
      <c r="G268" s="19" t="str">
        <f t="shared" si="13"/>
        <v/>
      </c>
      <c r="J268" s="28">
        <f t="shared" si="14"/>
        <v>1.0526315789473686</v>
      </c>
    </row>
    <row r="269" spans="1:10">
      <c r="A269" s="3">
        <v>98</v>
      </c>
      <c r="B269" t="s">
        <v>221</v>
      </c>
      <c r="C269" t="s">
        <v>8</v>
      </c>
      <c r="E269" s="3">
        <f t="shared" si="12"/>
        <v>4</v>
      </c>
      <c r="F269" s="5">
        <v>44098.625</v>
      </c>
      <c r="G269" s="19" t="str">
        <f t="shared" si="13"/>
        <v/>
      </c>
      <c r="J269" s="28">
        <f t="shared" si="14"/>
        <v>0.15294117647058814</v>
      </c>
    </row>
    <row r="270" spans="1:10">
      <c r="A270" s="3">
        <v>128</v>
      </c>
      <c r="B270" t="s">
        <v>222</v>
      </c>
      <c r="C270" t="s">
        <v>8</v>
      </c>
      <c r="E270" s="3">
        <f t="shared" si="12"/>
        <v>5</v>
      </c>
      <c r="F270" s="5">
        <v>44099.625</v>
      </c>
      <c r="G270" s="19" t="str">
        <f t="shared" si="13"/>
        <v/>
      </c>
      <c r="J270" s="28">
        <f t="shared" si="14"/>
        <v>0.66233766233766245</v>
      </c>
    </row>
    <row r="271" spans="1:10">
      <c r="A271" s="3">
        <v>74</v>
      </c>
      <c r="B271" t="s">
        <v>223</v>
      </c>
      <c r="C271" t="s">
        <v>8</v>
      </c>
      <c r="E271" s="3">
        <f t="shared" si="12"/>
        <v>6</v>
      </c>
      <c r="F271" s="5">
        <v>44100.625</v>
      </c>
      <c r="G271" s="19" t="str">
        <f t="shared" si="13"/>
        <v/>
      </c>
      <c r="J271" s="28">
        <f t="shared" si="14"/>
        <v>0.15625</v>
      </c>
    </row>
    <row r="272" spans="1:10">
      <c r="A272" s="3">
        <v>70</v>
      </c>
      <c r="B272" t="s">
        <v>224</v>
      </c>
      <c r="C272" t="s">
        <v>8</v>
      </c>
      <c r="E272" s="3">
        <f t="shared" si="12"/>
        <v>7</v>
      </c>
      <c r="F272" s="5">
        <v>44101.625</v>
      </c>
      <c r="G272" s="19" t="str">
        <f t="shared" si="13"/>
        <v/>
      </c>
      <c r="J272" s="28">
        <f t="shared" si="14"/>
        <v>-5.4054054054054057E-2</v>
      </c>
    </row>
    <row r="273" spans="1:10">
      <c r="A273" s="3">
        <v>124</v>
      </c>
      <c r="B273" t="s">
        <v>225</v>
      </c>
      <c r="C273" t="s">
        <v>8</v>
      </c>
      <c r="E273" s="3">
        <f t="shared" si="12"/>
        <v>1</v>
      </c>
      <c r="F273" s="5">
        <v>44102.625</v>
      </c>
      <c r="G273" s="19" t="str">
        <f t="shared" si="13"/>
        <v>2020-W40</v>
      </c>
      <c r="H273">
        <f>SUM(A273:A279)</f>
        <v>1129</v>
      </c>
      <c r="I273" s="28">
        <f>H273/H266-1</f>
        <v>0.57461645746164569</v>
      </c>
      <c r="J273" s="28">
        <f t="shared" si="14"/>
        <v>3.3333333333333437E-2</v>
      </c>
    </row>
    <row r="274" spans="1:10">
      <c r="A274" s="3">
        <v>134</v>
      </c>
      <c r="B274" t="s">
        <v>226</v>
      </c>
      <c r="C274" t="s">
        <v>8</v>
      </c>
      <c r="E274" s="3">
        <f t="shared" si="12"/>
        <v>2</v>
      </c>
      <c r="F274" s="5">
        <v>44103.625</v>
      </c>
      <c r="G274" s="19" t="str">
        <f t="shared" si="13"/>
        <v/>
      </c>
      <c r="J274" s="28">
        <f t="shared" si="14"/>
        <v>0.21818181818181825</v>
      </c>
    </row>
    <row r="275" spans="1:10">
      <c r="A275" s="3">
        <v>166</v>
      </c>
      <c r="B275" t="s">
        <v>228</v>
      </c>
      <c r="C275" t="s">
        <v>8</v>
      </c>
      <c r="E275" s="3">
        <f t="shared" si="12"/>
        <v>3</v>
      </c>
      <c r="F275" s="5">
        <v>44104.625</v>
      </c>
      <c r="G275" s="19" t="str">
        <f t="shared" si="13"/>
        <v/>
      </c>
      <c r="J275" s="28">
        <f t="shared" si="14"/>
        <v>0.41880341880341887</v>
      </c>
    </row>
    <row r="276" spans="1:10">
      <c r="A276" s="3">
        <v>191</v>
      </c>
      <c r="B276" t="s">
        <v>230</v>
      </c>
      <c r="C276" t="s">
        <v>8</v>
      </c>
      <c r="E276" s="3">
        <f t="shared" si="12"/>
        <v>4</v>
      </c>
      <c r="F276" s="5">
        <v>44105.625</v>
      </c>
      <c r="G276" s="19" t="str">
        <f t="shared" si="13"/>
        <v/>
      </c>
      <c r="J276" s="28">
        <f t="shared" si="14"/>
        <v>0.94897959183673475</v>
      </c>
    </row>
    <row r="277" spans="1:10">
      <c r="A277" s="3">
        <v>188</v>
      </c>
      <c r="B277" t="s">
        <v>231</v>
      </c>
      <c r="C277" t="s">
        <v>8</v>
      </c>
      <c r="E277" s="3">
        <f t="shared" si="12"/>
        <v>5</v>
      </c>
      <c r="F277" s="5">
        <v>44106.625</v>
      </c>
      <c r="G277" s="19" t="str">
        <f t="shared" si="13"/>
        <v/>
      </c>
      <c r="J277" s="28">
        <f t="shared" si="14"/>
        <v>0.46875</v>
      </c>
    </row>
    <row r="278" spans="1:10">
      <c r="A278" s="3">
        <v>178</v>
      </c>
      <c r="B278" t="s">
        <v>233</v>
      </c>
      <c r="C278" t="s">
        <v>8</v>
      </c>
      <c r="E278" s="3">
        <f t="shared" si="12"/>
        <v>6</v>
      </c>
      <c r="F278" s="5">
        <v>44107.625</v>
      </c>
      <c r="G278" s="19" t="str">
        <f t="shared" si="13"/>
        <v/>
      </c>
      <c r="J278" s="28">
        <f t="shared" si="14"/>
        <v>1.4054054054054053</v>
      </c>
    </row>
    <row r="279" spans="1:10">
      <c r="A279" s="3">
        <v>148</v>
      </c>
      <c r="B279" t="s">
        <v>292</v>
      </c>
      <c r="C279" t="s">
        <v>8</v>
      </c>
      <c r="E279" s="3">
        <f t="shared" si="12"/>
        <v>7</v>
      </c>
      <c r="F279" s="5">
        <v>44108.625</v>
      </c>
      <c r="G279" s="19" t="str">
        <f t="shared" si="13"/>
        <v/>
      </c>
      <c r="J279" s="28">
        <f t="shared" si="14"/>
        <v>1.1142857142857143</v>
      </c>
    </row>
    <row r="280" spans="1:10" s="10" customFormat="1">
      <c r="A280" s="14">
        <v>291</v>
      </c>
      <c r="B280" s="10" t="s">
        <v>293</v>
      </c>
      <c r="C280" s="10" t="s">
        <v>8</v>
      </c>
      <c r="E280" s="14">
        <f t="shared" si="12"/>
        <v>1</v>
      </c>
      <c r="F280" s="18">
        <v>44109.625</v>
      </c>
      <c r="G280" s="19" t="str">
        <f t="shared" si="13"/>
        <v>2020-W41</v>
      </c>
      <c r="H280">
        <f>SUM(A280:A286)</f>
        <v>1625</v>
      </c>
      <c r="I280" s="28">
        <f>H280/H273-1</f>
        <v>0.43932683790965465</v>
      </c>
      <c r="J280" s="28">
        <f t="shared" si="14"/>
        <v>1.346774193548387</v>
      </c>
    </row>
    <row r="281" spans="1:10">
      <c r="A281" s="3">
        <v>302</v>
      </c>
      <c r="B281" t="s">
        <v>294</v>
      </c>
      <c r="C281" t="s">
        <v>8</v>
      </c>
      <c r="E281" s="3">
        <f t="shared" si="12"/>
        <v>2</v>
      </c>
      <c r="F281" s="5">
        <v>44110.625</v>
      </c>
      <c r="G281" s="19" t="str">
        <f t="shared" si="13"/>
        <v/>
      </c>
      <c r="J281" s="28">
        <f t="shared" si="14"/>
        <v>1.2537313432835822</v>
      </c>
    </row>
    <row r="282" spans="1:10" s="41" customFormat="1">
      <c r="A282" s="40">
        <v>306</v>
      </c>
      <c r="B282" s="41" t="s">
        <v>295</v>
      </c>
      <c r="C282" s="41" t="s">
        <v>8</v>
      </c>
      <c r="E282" s="40">
        <f t="shared" si="12"/>
        <v>3</v>
      </c>
      <c r="F282" s="42">
        <v>44111.625</v>
      </c>
      <c r="G282" s="43" t="str">
        <f t="shared" si="13"/>
        <v/>
      </c>
      <c r="J282" s="44">
        <f t="shared" si="14"/>
        <v>0.84337349397590367</v>
      </c>
    </row>
    <row r="283" spans="1:10">
      <c r="A283" s="3">
        <v>259</v>
      </c>
      <c r="B283" t="s">
        <v>296</v>
      </c>
      <c r="C283" t="s">
        <v>8</v>
      </c>
      <c r="E283" s="3">
        <f t="shared" si="12"/>
        <v>4</v>
      </c>
      <c r="F283" s="5">
        <v>44112.625</v>
      </c>
      <c r="G283" s="19" t="str">
        <f t="shared" si="13"/>
        <v/>
      </c>
      <c r="J283" s="28">
        <f t="shared" si="14"/>
        <v>0.35602094240837689</v>
      </c>
    </row>
    <row r="284" spans="1:10">
      <c r="A284" s="3">
        <v>226</v>
      </c>
      <c r="B284" t="s">
        <v>297</v>
      </c>
      <c r="C284" t="s">
        <v>8</v>
      </c>
      <c r="E284" s="3">
        <f t="shared" si="12"/>
        <v>5</v>
      </c>
      <c r="F284" s="5">
        <v>44113.625</v>
      </c>
      <c r="G284" s="19" t="str">
        <f t="shared" si="13"/>
        <v/>
      </c>
      <c r="J284" s="28">
        <f t="shared" si="14"/>
        <v>0.2021276595744681</v>
      </c>
    </row>
    <row r="285" spans="1:10">
      <c r="A285" s="3">
        <v>110</v>
      </c>
      <c r="B285" t="s">
        <v>300</v>
      </c>
      <c r="C285" t="s">
        <v>8</v>
      </c>
      <c r="E285" s="3">
        <f t="shared" si="12"/>
        <v>6</v>
      </c>
      <c r="F285" s="5">
        <v>44114.625</v>
      </c>
      <c r="G285" s="19" t="str">
        <f t="shared" si="13"/>
        <v/>
      </c>
      <c r="J285" s="28">
        <f t="shared" si="14"/>
        <v>-0.3820224719101124</v>
      </c>
    </row>
    <row r="286" spans="1:10">
      <c r="A286" s="3">
        <v>131</v>
      </c>
      <c r="B286" t="s">
        <v>301</v>
      </c>
      <c r="C286" t="s">
        <v>8</v>
      </c>
      <c r="E286" s="3">
        <f t="shared" si="12"/>
        <v>7</v>
      </c>
      <c r="F286" s="5">
        <v>44115.625</v>
      </c>
      <c r="G286" s="19" t="str">
        <f t="shared" si="13"/>
        <v/>
      </c>
      <c r="J286" s="28">
        <f t="shared" si="14"/>
        <v>-0.11486486486486491</v>
      </c>
    </row>
    <row r="287" spans="1:10" s="10" customFormat="1">
      <c r="A287" s="14">
        <v>256</v>
      </c>
      <c r="B287" s="10" t="s">
        <v>305</v>
      </c>
      <c r="C287" s="10" t="s">
        <v>8</v>
      </c>
      <c r="E287" s="14">
        <f t="shared" si="12"/>
        <v>1</v>
      </c>
      <c r="F287" s="18">
        <v>44116.625</v>
      </c>
      <c r="G287" s="19" t="str">
        <f t="shared" si="13"/>
        <v>2020-W42</v>
      </c>
      <c r="H287">
        <f>SUM(A287:A293)</f>
        <v>1275</v>
      </c>
      <c r="I287" s="28">
        <f>H287/H280-1</f>
        <v>-0.2153846153846154</v>
      </c>
      <c r="J287" s="28">
        <f t="shared" si="14"/>
        <v>-0.1202749140893471</v>
      </c>
    </row>
    <row r="288" spans="1:10">
      <c r="A288" s="3">
        <v>199</v>
      </c>
      <c r="B288" t="s">
        <v>306</v>
      </c>
      <c r="C288" t="s">
        <v>8</v>
      </c>
      <c r="E288" s="3">
        <f t="shared" si="12"/>
        <v>2</v>
      </c>
      <c r="F288" s="5">
        <v>44117.625</v>
      </c>
      <c r="G288" s="19" t="str">
        <f t="shared" si="13"/>
        <v/>
      </c>
      <c r="J288" s="28">
        <f t="shared" si="14"/>
        <v>-0.34105960264900659</v>
      </c>
    </row>
    <row r="289" spans="1:10">
      <c r="A289" s="3">
        <v>202</v>
      </c>
      <c r="B289" t="s">
        <v>307</v>
      </c>
      <c r="C289" t="s">
        <v>8</v>
      </c>
      <c r="E289" s="3">
        <f t="shared" si="12"/>
        <v>3</v>
      </c>
      <c r="F289" s="5">
        <v>44118.625</v>
      </c>
      <c r="G289" s="19" t="str">
        <f t="shared" si="13"/>
        <v/>
      </c>
      <c r="J289" s="28">
        <f t="shared" si="14"/>
        <v>-0.33986928104575165</v>
      </c>
    </row>
    <row r="290" spans="1:10">
      <c r="A290" s="3">
        <v>190</v>
      </c>
      <c r="B290" t="s">
        <v>308</v>
      </c>
      <c r="C290" t="s">
        <v>8</v>
      </c>
      <c r="E290" s="3">
        <f t="shared" si="12"/>
        <v>4</v>
      </c>
      <c r="F290" s="5">
        <v>44119.625</v>
      </c>
      <c r="G290" s="19" t="str">
        <f t="shared" si="13"/>
        <v/>
      </c>
      <c r="J290" s="28">
        <f t="shared" si="14"/>
        <v>-0.26640926640926643</v>
      </c>
    </row>
    <row r="291" spans="1:10">
      <c r="A291" s="3">
        <v>195</v>
      </c>
      <c r="B291" t="s">
        <v>309</v>
      </c>
      <c r="C291" t="s">
        <v>8</v>
      </c>
      <c r="E291" s="3">
        <f t="shared" si="12"/>
        <v>5</v>
      </c>
      <c r="F291" s="5">
        <v>44120.625</v>
      </c>
      <c r="G291" s="19" t="str">
        <f t="shared" si="13"/>
        <v/>
      </c>
      <c r="J291" s="28">
        <f t="shared" si="14"/>
        <v>-0.13716814159292035</v>
      </c>
    </row>
    <row r="292" spans="1:10">
      <c r="A292" s="3">
        <v>104</v>
      </c>
      <c r="B292" t="s">
        <v>310</v>
      </c>
      <c r="C292" t="s">
        <v>8</v>
      </c>
      <c r="E292" s="3">
        <f t="shared" si="12"/>
        <v>6</v>
      </c>
      <c r="F292" s="5">
        <v>44121.625</v>
      </c>
      <c r="G292" s="19" t="str">
        <f t="shared" si="13"/>
        <v/>
      </c>
      <c r="J292" s="28">
        <f t="shared" si="14"/>
        <v>-5.4545454545454564E-2</v>
      </c>
    </row>
    <row r="293" spans="1:10">
      <c r="A293" s="3">
        <v>129</v>
      </c>
      <c r="B293" t="s">
        <v>311</v>
      </c>
      <c r="C293" t="s">
        <v>8</v>
      </c>
      <c r="E293" s="3">
        <f t="shared" si="12"/>
        <v>7</v>
      </c>
      <c r="F293" s="5">
        <v>44122.625</v>
      </c>
      <c r="G293" s="19" t="str">
        <f t="shared" si="13"/>
        <v/>
      </c>
      <c r="J293" s="28">
        <f t="shared" si="14"/>
        <v>-1.5267175572519109E-2</v>
      </c>
    </row>
    <row r="294" spans="1:10" s="10" customFormat="1">
      <c r="A294" s="14">
        <v>244</v>
      </c>
      <c r="B294" s="10" t="s">
        <v>312</v>
      </c>
      <c r="C294" s="10" t="s">
        <v>8</v>
      </c>
      <c r="E294" s="14">
        <f t="shared" si="12"/>
        <v>1</v>
      </c>
      <c r="F294" s="18">
        <v>44123.625</v>
      </c>
      <c r="G294" s="19" t="str">
        <f t="shared" si="13"/>
        <v>2020-W43</v>
      </c>
      <c r="H294">
        <f>SUM(A294:A300)</f>
        <v>1243</v>
      </c>
      <c r="I294" s="28">
        <f>H294/H287-1</f>
        <v>-2.5098039215686319E-2</v>
      </c>
      <c r="J294" s="28">
        <f t="shared" si="14"/>
        <v>-4.6875E-2</v>
      </c>
    </row>
    <row r="295" spans="1:10">
      <c r="A295" s="3">
        <v>167</v>
      </c>
      <c r="B295" t="s">
        <v>313</v>
      </c>
      <c r="C295" t="s">
        <v>8</v>
      </c>
      <c r="E295" s="3">
        <f t="shared" si="12"/>
        <v>2</v>
      </c>
      <c r="F295" s="5">
        <v>44124.625</v>
      </c>
      <c r="G295" s="19" t="str">
        <f t="shared" si="13"/>
        <v/>
      </c>
      <c r="J295" s="28">
        <f t="shared" si="14"/>
        <v>-0.16080402010050254</v>
      </c>
    </row>
    <row r="296" spans="1:10">
      <c r="A296" s="3">
        <v>188</v>
      </c>
      <c r="B296" t="s">
        <v>314</v>
      </c>
      <c r="C296" t="s">
        <v>8</v>
      </c>
      <c r="E296" s="3">
        <f t="shared" si="12"/>
        <v>3</v>
      </c>
      <c r="F296" s="5">
        <v>44125.625</v>
      </c>
      <c r="G296" s="19" t="str">
        <f t="shared" si="13"/>
        <v/>
      </c>
      <c r="J296" s="28">
        <f t="shared" si="14"/>
        <v>-6.9306930693069257E-2</v>
      </c>
    </row>
    <row r="297" spans="1:10">
      <c r="A297" s="3">
        <v>220</v>
      </c>
      <c r="B297" t="s">
        <v>315</v>
      </c>
      <c r="C297" t="s">
        <v>8</v>
      </c>
      <c r="E297" s="3">
        <f t="shared" si="12"/>
        <v>4</v>
      </c>
      <c r="F297" s="5">
        <v>44126.625</v>
      </c>
      <c r="G297" s="19" t="str">
        <f t="shared" si="13"/>
        <v/>
      </c>
      <c r="J297" s="28">
        <f t="shared" si="14"/>
        <v>0.15789473684210531</v>
      </c>
    </row>
    <row r="298" spans="1:10">
      <c r="A298" s="3">
        <v>193</v>
      </c>
      <c r="B298" t="s">
        <v>316</v>
      </c>
      <c r="C298" t="s">
        <v>8</v>
      </c>
      <c r="E298" s="3">
        <f t="shared" si="12"/>
        <v>5</v>
      </c>
      <c r="F298" s="5">
        <v>44127.625</v>
      </c>
      <c r="G298" s="19" t="str">
        <f t="shared" si="13"/>
        <v/>
      </c>
      <c r="J298" s="28">
        <f t="shared" si="14"/>
        <v>-1.025641025641022E-2</v>
      </c>
    </row>
    <row r="299" spans="1:10">
      <c r="A299" s="3">
        <v>107</v>
      </c>
      <c r="B299" t="s">
        <v>317</v>
      </c>
      <c r="C299" t="s">
        <v>8</v>
      </c>
      <c r="E299" s="3">
        <f t="shared" si="12"/>
        <v>6</v>
      </c>
      <c r="F299" s="5">
        <v>44128.625</v>
      </c>
      <c r="G299" s="19" t="str">
        <f t="shared" si="13"/>
        <v/>
      </c>
      <c r="J299" s="28">
        <f t="shared" si="14"/>
        <v>2.8846153846153744E-2</v>
      </c>
    </row>
    <row r="300" spans="1:10">
      <c r="A300" s="3">
        <v>124</v>
      </c>
      <c r="B300" t="s">
        <v>318</v>
      </c>
      <c r="C300" t="s">
        <v>8</v>
      </c>
      <c r="E300" s="3">
        <f t="shared" si="12"/>
        <v>7</v>
      </c>
      <c r="F300" s="5">
        <v>44129.625</v>
      </c>
      <c r="G300" s="19" t="str">
        <f t="shared" si="13"/>
        <v/>
      </c>
      <c r="J300" s="28">
        <f t="shared" si="14"/>
        <v>-3.8759689922480578E-2</v>
      </c>
    </row>
    <row r="301" spans="1:10" s="10" customFormat="1">
      <c r="A301" s="14">
        <v>255</v>
      </c>
      <c r="B301" s="10" t="s">
        <v>319</v>
      </c>
      <c r="C301" s="10" t="s">
        <v>8</v>
      </c>
      <c r="E301" s="14">
        <f t="shared" si="12"/>
        <v>1</v>
      </c>
      <c r="F301" s="18">
        <v>44130.625</v>
      </c>
      <c r="G301" s="19" t="str">
        <f t="shared" si="13"/>
        <v>2020-W44</v>
      </c>
      <c r="H301">
        <f>SUM(A301:A307)</f>
        <v>1455</v>
      </c>
      <c r="I301" s="28">
        <f>H301/H294-1</f>
        <v>0.170555108608206</v>
      </c>
      <c r="J301" s="28">
        <f t="shared" si="14"/>
        <v>4.508196721311486E-2</v>
      </c>
    </row>
    <row r="302" spans="1:10">
      <c r="A302" s="3">
        <v>231</v>
      </c>
      <c r="B302" t="s">
        <v>320</v>
      </c>
      <c r="C302" t="s">
        <v>8</v>
      </c>
      <c r="E302" s="3">
        <f t="shared" si="12"/>
        <v>2</v>
      </c>
      <c r="F302" s="5">
        <v>44131.625</v>
      </c>
      <c r="G302" s="19" t="str">
        <f t="shared" si="13"/>
        <v/>
      </c>
      <c r="J302" s="28">
        <f t="shared" si="14"/>
        <v>0.38323353293413165</v>
      </c>
    </row>
    <row r="303" spans="1:10">
      <c r="A303" s="3">
        <v>240</v>
      </c>
      <c r="B303" t="s">
        <v>321</v>
      </c>
      <c r="C303" t="s">
        <v>8</v>
      </c>
      <c r="E303" s="3">
        <f t="shared" si="12"/>
        <v>3</v>
      </c>
      <c r="F303" s="5">
        <v>44132.625</v>
      </c>
      <c r="G303" s="19" t="str">
        <f t="shared" si="13"/>
        <v/>
      </c>
      <c r="J303" s="28">
        <f t="shared" si="14"/>
        <v>0.27659574468085113</v>
      </c>
    </row>
    <row r="304" spans="1:10">
      <c r="A304" s="3">
        <v>237</v>
      </c>
      <c r="B304" t="s">
        <v>322</v>
      </c>
      <c r="C304" t="s">
        <v>8</v>
      </c>
      <c r="E304" s="3">
        <f t="shared" si="12"/>
        <v>4</v>
      </c>
      <c r="F304" s="5">
        <v>44133.625</v>
      </c>
      <c r="G304" s="19" t="str">
        <f t="shared" si="13"/>
        <v/>
      </c>
      <c r="J304" s="28">
        <f t="shared" si="14"/>
        <v>7.7272727272727382E-2</v>
      </c>
    </row>
    <row r="305" spans="1:10">
      <c r="A305" s="3">
        <v>220</v>
      </c>
      <c r="B305" t="s">
        <v>323</v>
      </c>
      <c r="C305" t="s">
        <v>8</v>
      </c>
      <c r="E305" s="3">
        <f t="shared" si="12"/>
        <v>5</v>
      </c>
      <c r="F305" s="5">
        <v>44134.625</v>
      </c>
      <c r="G305" s="19" t="str">
        <f t="shared" si="13"/>
        <v/>
      </c>
      <c r="J305" s="28">
        <f t="shared" si="14"/>
        <v>0.13989637305699487</v>
      </c>
    </row>
    <row r="306" spans="1:10">
      <c r="A306" s="3">
        <v>121</v>
      </c>
      <c r="B306" t="s">
        <v>324</v>
      </c>
      <c r="C306" t="s">
        <v>8</v>
      </c>
      <c r="E306" s="3">
        <f t="shared" si="12"/>
        <v>6</v>
      </c>
      <c r="F306" s="5">
        <v>44135.625</v>
      </c>
      <c r="G306" s="19" t="str">
        <f t="shared" si="13"/>
        <v/>
      </c>
      <c r="J306" s="28">
        <f t="shared" si="14"/>
        <v>0.13084112149532712</v>
      </c>
    </row>
    <row r="307" spans="1:10">
      <c r="A307" s="3">
        <v>151</v>
      </c>
      <c r="B307" t="s">
        <v>325</v>
      </c>
      <c r="C307" t="s">
        <v>8</v>
      </c>
      <c r="E307" s="3">
        <f t="shared" si="12"/>
        <v>7</v>
      </c>
      <c r="F307" s="5">
        <v>44136.625</v>
      </c>
      <c r="G307" s="19" t="str">
        <f t="shared" si="13"/>
        <v/>
      </c>
      <c r="J307" s="28">
        <f t="shared" si="14"/>
        <v>0.217741935483871</v>
      </c>
    </row>
    <row r="308" spans="1:10" s="10" customFormat="1">
      <c r="A308" s="14">
        <v>288</v>
      </c>
      <c r="B308" s="10" t="s">
        <v>326</v>
      </c>
      <c r="C308" s="10" t="s">
        <v>8</v>
      </c>
      <c r="E308" s="14">
        <f t="shared" si="12"/>
        <v>1</v>
      </c>
      <c r="F308" s="18">
        <v>44137.625</v>
      </c>
      <c r="G308" s="19" t="str">
        <f t="shared" si="13"/>
        <v>2020-W45</v>
      </c>
      <c r="H308">
        <f>SUM(A308:A314)</f>
        <v>1417</v>
      </c>
      <c r="I308" s="28">
        <f>H308/H301-1</f>
        <v>-2.6116838487972527E-2</v>
      </c>
      <c r="J308" s="28">
        <f t="shared" si="14"/>
        <v>0.12941176470588234</v>
      </c>
    </row>
    <row r="309" spans="1:10">
      <c r="A309" s="3">
        <v>241</v>
      </c>
      <c r="B309" t="s">
        <v>327</v>
      </c>
      <c r="C309" t="s">
        <v>8</v>
      </c>
      <c r="E309" s="3">
        <f t="shared" si="12"/>
        <v>2</v>
      </c>
      <c r="F309" s="5">
        <v>44138.625</v>
      </c>
      <c r="G309" s="19" t="str">
        <f t="shared" si="13"/>
        <v/>
      </c>
      <c r="J309" s="28">
        <f t="shared" si="14"/>
        <v>4.3290043290043378E-2</v>
      </c>
    </row>
    <row r="310" spans="1:10">
      <c r="A310" s="3">
        <v>213</v>
      </c>
      <c r="B310" t="s">
        <v>328</v>
      </c>
      <c r="C310" t="s">
        <v>8</v>
      </c>
      <c r="E310" s="3">
        <f t="shared" si="12"/>
        <v>3</v>
      </c>
      <c r="F310" s="5">
        <v>44139.625</v>
      </c>
      <c r="G310" s="19" t="str">
        <f t="shared" si="13"/>
        <v/>
      </c>
      <c r="J310" s="28">
        <f t="shared" si="14"/>
        <v>-0.11250000000000004</v>
      </c>
    </row>
    <row r="311" spans="1:10">
      <c r="A311" s="3">
        <v>219</v>
      </c>
      <c r="B311" t="s">
        <v>329</v>
      </c>
      <c r="C311" t="s">
        <v>8</v>
      </c>
      <c r="E311" s="3">
        <f t="shared" si="12"/>
        <v>4</v>
      </c>
      <c r="F311" s="5">
        <v>44140.625</v>
      </c>
      <c r="G311" s="19" t="str">
        <f t="shared" si="13"/>
        <v/>
      </c>
      <c r="J311" s="28">
        <f t="shared" si="14"/>
        <v>-7.5949367088607556E-2</v>
      </c>
    </row>
    <row r="312" spans="1:10">
      <c r="A312" s="3">
        <v>196</v>
      </c>
      <c r="B312" t="s">
        <v>330</v>
      </c>
      <c r="C312" t="s">
        <v>8</v>
      </c>
      <c r="E312" s="3">
        <f t="shared" si="12"/>
        <v>5</v>
      </c>
      <c r="F312" s="5">
        <v>44141.625</v>
      </c>
      <c r="G312" s="19" t="str">
        <f t="shared" si="13"/>
        <v/>
      </c>
      <c r="J312" s="28">
        <f t="shared" si="14"/>
        <v>-0.10909090909090913</v>
      </c>
    </row>
    <row r="313" spans="1:10">
      <c r="A313" s="3">
        <v>128</v>
      </c>
      <c r="B313" t="s">
        <v>331</v>
      </c>
      <c r="C313" t="s">
        <v>8</v>
      </c>
      <c r="E313" s="3">
        <f t="shared" si="12"/>
        <v>6</v>
      </c>
      <c r="F313" s="5">
        <v>44142.625</v>
      </c>
      <c r="G313" s="19" t="str">
        <f t="shared" si="13"/>
        <v/>
      </c>
      <c r="J313" s="28">
        <f t="shared" si="14"/>
        <v>5.7851239669421517E-2</v>
      </c>
    </row>
    <row r="314" spans="1:10">
      <c r="A314" s="3">
        <v>132</v>
      </c>
      <c r="B314" t="s">
        <v>332</v>
      </c>
      <c r="C314" t="s">
        <v>8</v>
      </c>
      <c r="E314" s="3">
        <f t="shared" si="12"/>
        <v>7</v>
      </c>
      <c r="F314" s="5">
        <v>44143.625</v>
      </c>
      <c r="G314" s="19" t="str">
        <f t="shared" si="13"/>
        <v/>
      </c>
      <c r="J314" s="28">
        <f t="shared" si="14"/>
        <v>-0.1258278145695364</v>
      </c>
    </row>
    <row r="315" spans="1:10">
      <c r="A315" s="3">
        <v>273</v>
      </c>
      <c r="B315" t="s">
        <v>333</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334</v>
      </c>
      <c r="C316" t="s">
        <v>8</v>
      </c>
      <c r="E316" s="3">
        <f t="shared" si="12"/>
        <v>2</v>
      </c>
      <c r="F316" s="5">
        <v>44145.625</v>
      </c>
      <c r="G316" s="19" t="str">
        <f t="shared" si="13"/>
        <v/>
      </c>
      <c r="J316" s="28">
        <f t="shared" si="14"/>
        <v>-0.14522821576763489</v>
      </c>
    </row>
    <row r="317" spans="1:10">
      <c r="A317" s="3">
        <v>294</v>
      </c>
      <c r="B317" t="s">
        <v>335</v>
      </c>
      <c r="C317" t="s">
        <v>8</v>
      </c>
      <c r="E317" s="3">
        <f t="shared" si="12"/>
        <v>3</v>
      </c>
      <c r="F317" s="5">
        <v>44146.625</v>
      </c>
      <c r="G317" s="19" t="str">
        <f t="shared" si="13"/>
        <v/>
      </c>
      <c r="J317" s="28">
        <f t="shared" si="14"/>
        <v>0.38028169014084501</v>
      </c>
    </row>
    <row r="318" spans="1:10">
      <c r="A318" s="3">
        <v>282</v>
      </c>
      <c r="B318" t="s">
        <v>336</v>
      </c>
      <c r="C318" t="s">
        <v>8</v>
      </c>
      <c r="E318" s="3">
        <f t="shared" si="12"/>
        <v>4</v>
      </c>
      <c r="F318" s="5">
        <v>44147.625</v>
      </c>
      <c r="G318" s="19" t="str">
        <f t="shared" si="13"/>
        <v/>
      </c>
      <c r="J318" s="28">
        <f t="shared" si="14"/>
        <v>0.28767123287671237</v>
      </c>
    </row>
    <row r="319" spans="1:10">
      <c r="A319" s="3">
        <v>268</v>
      </c>
      <c r="B319" t="s">
        <v>337</v>
      </c>
      <c r="C319" t="s">
        <v>8</v>
      </c>
      <c r="E319" s="3">
        <f t="shared" si="12"/>
        <v>5</v>
      </c>
      <c r="F319" s="5">
        <v>44148.625</v>
      </c>
      <c r="G319" s="19" t="str">
        <f t="shared" si="13"/>
        <v/>
      </c>
      <c r="J319" s="28">
        <f t="shared" si="14"/>
        <v>0.36734693877551017</v>
      </c>
    </row>
    <row r="320" spans="1:10">
      <c r="A320" s="3">
        <v>145</v>
      </c>
      <c r="B320" t="s">
        <v>338</v>
      </c>
      <c r="C320" t="s">
        <v>8</v>
      </c>
      <c r="E320" s="3">
        <f t="shared" si="12"/>
        <v>6</v>
      </c>
      <c r="F320" s="5">
        <v>44149.625</v>
      </c>
      <c r="G320" s="19" t="str">
        <f t="shared" si="13"/>
        <v/>
      </c>
      <c r="J320" s="28">
        <f t="shared" si="14"/>
        <v>0.1328125</v>
      </c>
    </row>
    <row r="321" spans="1:10">
      <c r="A321" s="3">
        <v>181</v>
      </c>
      <c r="B321" t="s">
        <v>339</v>
      </c>
      <c r="C321" t="s">
        <v>8</v>
      </c>
      <c r="E321" s="3">
        <f t="shared" si="12"/>
        <v>7</v>
      </c>
      <c r="F321" s="5">
        <v>44150.625</v>
      </c>
      <c r="G321" s="19" t="str">
        <f t="shared" si="13"/>
        <v/>
      </c>
      <c r="J321" s="28">
        <f t="shared" si="14"/>
        <v>0.3712121212121211</v>
      </c>
    </row>
    <row r="322" spans="1:10">
      <c r="A322" s="3">
        <v>392</v>
      </c>
      <c r="B322" t="s">
        <v>340</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341</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342</v>
      </c>
      <c r="C324" t="s">
        <v>8</v>
      </c>
      <c r="E324" s="3">
        <f t="shared" si="12"/>
        <v>3</v>
      </c>
      <c r="F324" s="5">
        <v>44153.625</v>
      </c>
      <c r="G324" s="19" t="str">
        <f t="shared" si="16"/>
        <v/>
      </c>
      <c r="J324" s="28">
        <f t="shared" si="14"/>
        <v>0.27891156462585043</v>
      </c>
    </row>
    <row r="325" spans="1:10">
      <c r="A325" s="3">
        <v>478</v>
      </c>
      <c r="B325" t="s">
        <v>343</v>
      </c>
      <c r="C325" t="s">
        <v>8</v>
      </c>
      <c r="E325" s="3">
        <f t="shared" ref="E325:E382" si="17">WEEKDAY(F325,2)</f>
        <v>4</v>
      </c>
      <c r="F325" s="5">
        <v>44154.625</v>
      </c>
      <c r="G325" s="19" t="str">
        <f t="shared" si="16"/>
        <v/>
      </c>
      <c r="J325" s="28">
        <f t="shared" si="14"/>
        <v>0.69503546099290769</v>
      </c>
    </row>
    <row r="326" spans="1:10">
      <c r="A326" s="3">
        <v>428</v>
      </c>
      <c r="B326" t="s">
        <v>344</v>
      </c>
      <c r="C326" t="s">
        <v>8</v>
      </c>
      <c r="E326" s="3">
        <f t="shared" si="17"/>
        <v>5</v>
      </c>
      <c r="F326" s="5">
        <v>44155.625</v>
      </c>
      <c r="G326" s="19" t="str">
        <f t="shared" si="16"/>
        <v/>
      </c>
      <c r="J326" s="28">
        <f t="shared" si="14"/>
        <v>0.59701492537313428</v>
      </c>
    </row>
    <row r="327" spans="1:10">
      <c r="A327" s="3">
        <v>268</v>
      </c>
      <c r="B327" t="s">
        <v>347</v>
      </c>
      <c r="C327" t="s">
        <v>8</v>
      </c>
      <c r="E327" s="3">
        <f t="shared" si="17"/>
        <v>6</v>
      </c>
      <c r="F327" s="5">
        <v>44156.625</v>
      </c>
      <c r="G327" s="19" t="str">
        <f t="shared" si="16"/>
        <v/>
      </c>
      <c r="J327" s="28">
        <f t="shared" si="14"/>
        <v>0.84827586206896544</v>
      </c>
    </row>
    <row r="328" spans="1:10">
      <c r="A328" s="3">
        <v>266</v>
      </c>
      <c r="B328" t="s">
        <v>348</v>
      </c>
      <c r="C328" t="s">
        <v>8</v>
      </c>
      <c r="E328" s="3">
        <f t="shared" si="17"/>
        <v>7</v>
      </c>
      <c r="F328" s="5">
        <v>44157.625</v>
      </c>
      <c r="G328" s="19" t="str">
        <f t="shared" si="16"/>
        <v/>
      </c>
      <c r="J328" s="28">
        <f t="shared" si="14"/>
        <v>0.46961325966850831</v>
      </c>
    </row>
    <row r="329" spans="1:10">
      <c r="A329" s="3">
        <v>504</v>
      </c>
      <c r="B329" t="s">
        <v>349</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350</v>
      </c>
      <c r="C330" t="s">
        <v>8</v>
      </c>
      <c r="E330" s="3">
        <f t="shared" si="17"/>
        <v>2</v>
      </c>
      <c r="F330" s="5">
        <v>44159.625</v>
      </c>
      <c r="G330" s="19" t="str">
        <f t="shared" si="16"/>
        <v/>
      </c>
      <c r="J330" s="28">
        <f t="shared" si="18"/>
        <v>0.2107969151670952</v>
      </c>
    </row>
    <row r="331" spans="1:10">
      <c r="A331" s="3">
        <v>619</v>
      </c>
      <c r="B331" t="s">
        <v>351</v>
      </c>
      <c r="C331" t="s">
        <v>8</v>
      </c>
      <c r="E331" s="3">
        <f t="shared" si="17"/>
        <v>3</v>
      </c>
      <c r="F331" s="5">
        <v>44160.625</v>
      </c>
      <c r="G331" s="19" t="str">
        <f t="shared" si="16"/>
        <v/>
      </c>
      <c r="J331" s="28">
        <f t="shared" si="18"/>
        <v>0.64627659574468077</v>
      </c>
    </row>
    <row r="332" spans="1:10">
      <c r="A332" s="3">
        <v>510</v>
      </c>
      <c r="B332" t="s">
        <v>354</v>
      </c>
      <c r="C332" t="s">
        <v>8</v>
      </c>
      <c r="E332" s="3">
        <f t="shared" si="17"/>
        <v>4</v>
      </c>
      <c r="F332" s="5">
        <v>44161.625</v>
      </c>
      <c r="G332" s="19" t="str">
        <f t="shared" si="16"/>
        <v/>
      </c>
      <c r="J332" s="28">
        <f t="shared" si="18"/>
        <v>6.6945606694560622E-2</v>
      </c>
    </row>
    <row r="333" spans="1:10">
      <c r="A333" s="3">
        <v>455</v>
      </c>
      <c r="B333" t="s">
        <v>355</v>
      </c>
      <c r="C333" t="s">
        <v>8</v>
      </c>
      <c r="E333" s="3">
        <f t="shared" si="17"/>
        <v>5</v>
      </c>
      <c r="F333" s="5">
        <v>44162.625</v>
      </c>
      <c r="G333" s="19" t="str">
        <f t="shared" si="16"/>
        <v/>
      </c>
      <c r="J333" s="28">
        <f t="shared" si="18"/>
        <v>6.308411214953269E-2</v>
      </c>
    </row>
    <row r="334" spans="1:10">
      <c r="A334" s="3">
        <v>284</v>
      </c>
      <c r="B334" t="s">
        <v>356</v>
      </c>
      <c r="C334" t="s">
        <v>8</v>
      </c>
      <c r="E334" s="3">
        <f t="shared" si="17"/>
        <v>6</v>
      </c>
      <c r="F334" s="5">
        <v>44163.625</v>
      </c>
      <c r="G334" s="19" t="str">
        <f t="shared" si="16"/>
        <v/>
      </c>
      <c r="J334" s="28">
        <f t="shared" si="18"/>
        <v>5.9701492537313383E-2</v>
      </c>
    </row>
    <row r="335" spans="1:10">
      <c r="A335" s="3">
        <v>293</v>
      </c>
      <c r="B335" t="s">
        <v>357</v>
      </c>
      <c r="C335" t="s">
        <v>8</v>
      </c>
      <c r="E335" s="3">
        <f t="shared" si="17"/>
        <v>7</v>
      </c>
      <c r="F335" s="5">
        <v>44164.625</v>
      </c>
      <c r="G335" s="19" t="str">
        <f t="shared" si="16"/>
        <v/>
      </c>
      <c r="J335" s="28">
        <f t="shared" si="18"/>
        <v>0.10150375939849621</v>
      </c>
    </row>
    <row r="336" spans="1:10">
      <c r="A336" s="3">
        <v>595</v>
      </c>
      <c r="B336" t="s">
        <v>358</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360</v>
      </c>
      <c r="C337" t="s">
        <v>8</v>
      </c>
      <c r="E337" s="3">
        <f t="shared" si="17"/>
        <v>2</v>
      </c>
      <c r="F337" s="5">
        <v>44166.625</v>
      </c>
      <c r="G337" s="19" t="str">
        <f t="shared" si="16"/>
        <v/>
      </c>
      <c r="J337" s="28">
        <f t="shared" si="18"/>
        <v>-6.7940552016985123E-2</v>
      </c>
    </row>
    <row r="338" spans="1:10">
      <c r="A338" s="3">
        <v>495</v>
      </c>
      <c r="B338" t="s">
        <v>361</v>
      </c>
      <c r="C338" t="s">
        <v>8</v>
      </c>
      <c r="E338" s="3">
        <f t="shared" si="17"/>
        <v>3</v>
      </c>
      <c r="F338" s="5">
        <v>44167.625</v>
      </c>
      <c r="G338" s="19" t="str">
        <f t="shared" si="16"/>
        <v/>
      </c>
      <c r="J338" s="28">
        <f t="shared" si="18"/>
        <v>-0.20032310177705981</v>
      </c>
    </row>
    <row r="339" spans="1:10">
      <c r="A339" s="3">
        <v>477</v>
      </c>
      <c r="B339" t="s">
        <v>362</v>
      </c>
      <c r="C339" t="s">
        <v>8</v>
      </c>
      <c r="E339" s="3">
        <f t="shared" si="17"/>
        <v>4</v>
      </c>
      <c r="F339" s="5">
        <v>44168.625</v>
      </c>
      <c r="G339" s="19" t="str">
        <f t="shared" si="16"/>
        <v/>
      </c>
      <c r="J339" s="28">
        <f t="shared" si="18"/>
        <v>-6.4705882352941169E-2</v>
      </c>
    </row>
    <row r="340" spans="1:10">
      <c r="A340" s="3">
        <v>472</v>
      </c>
      <c r="B340" t="s">
        <v>363</v>
      </c>
      <c r="C340" t="s">
        <v>8</v>
      </c>
      <c r="E340" s="3">
        <f t="shared" si="17"/>
        <v>5</v>
      </c>
      <c r="F340" s="5">
        <v>44169.625</v>
      </c>
      <c r="G340" s="19" t="str">
        <f t="shared" si="16"/>
        <v/>
      </c>
      <c r="J340" s="28">
        <f t="shared" si="18"/>
        <v>3.7362637362637452E-2</v>
      </c>
    </row>
    <row r="341" spans="1:10">
      <c r="A341" s="3">
        <v>250</v>
      </c>
      <c r="B341" t="s">
        <v>364</v>
      </c>
      <c r="C341" t="s">
        <v>8</v>
      </c>
      <c r="E341" s="3">
        <f t="shared" si="17"/>
        <v>6</v>
      </c>
      <c r="F341" s="5">
        <v>44170.625</v>
      </c>
      <c r="G341" s="19" t="str">
        <f t="shared" si="16"/>
        <v/>
      </c>
      <c r="J341" s="28">
        <f t="shared" si="18"/>
        <v>-0.11971830985915488</v>
      </c>
    </row>
    <row r="342" spans="1:10">
      <c r="A342" s="3">
        <v>283</v>
      </c>
      <c r="B342" t="s">
        <v>365</v>
      </c>
      <c r="C342" t="s">
        <v>8</v>
      </c>
      <c r="E342" s="3">
        <f t="shared" si="17"/>
        <v>7</v>
      </c>
      <c r="F342" s="5">
        <v>44171.625</v>
      </c>
      <c r="G342" s="19" t="str">
        <f t="shared" si="16"/>
        <v/>
      </c>
      <c r="J342" s="28">
        <f t="shared" si="18"/>
        <v>-3.4129692832764458E-2</v>
      </c>
    </row>
    <row r="343" spans="1:10">
      <c r="A343" s="3">
        <v>587</v>
      </c>
      <c r="B343" t="s">
        <v>366</v>
      </c>
      <c r="C343" t="s">
        <v>8</v>
      </c>
      <c r="E343" s="3">
        <f t="shared" si="17"/>
        <v>1</v>
      </c>
      <c r="F343" s="5">
        <v>44172.625</v>
      </c>
      <c r="G343" s="19" t="str">
        <f t="shared" si="16"/>
        <v>2020-W50</v>
      </c>
      <c r="H343">
        <f>SUM(A343:A349)</f>
        <v>2904</v>
      </c>
      <c r="I343" s="28">
        <f>H343/H336-1</f>
        <v>-3.5536366655596119E-2</v>
      </c>
      <c r="J343" s="28">
        <f t="shared" si="18"/>
        <v>-1.3445378151260456E-2</v>
      </c>
    </row>
    <row r="344" spans="1:10">
      <c r="A344" s="3">
        <v>478</v>
      </c>
      <c r="B344" t="s">
        <v>367</v>
      </c>
      <c r="C344" t="s">
        <v>8</v>
      </c>
      <c r="E344" s="3">
        <f t="shared" si="17"/>
        <v>2</v>
      </c>
      <c r="F344" s="5">
        <v>44173.625</v>
      </c>
      <c r="G344" s="19" t="str">
        <f t="shared" si="16"/>
        <v/>
      </c>
      <c r="J344" s="28">
        <f t="shared" si="18"/>
        <v>8.8838268792710728E-2</v>
      </c>
    </row>
    <row r="345" spans="1:10">
      <c r="A345" s="3">
        <v>462</v>
      </c>
      <c r="B345" t="s">
        <v>368</v>
      </c>
      <c r="C345" t="s">
        <v>8</v>
      </c>
      <c r="E345" s="3">
        <f t="shared" si="17"/>
        <v>3</v>
      </c>
      <c r="F345" s="5">
        <v>44174.625</v>
      </c>
      <c r="G345" s="19" t="str">
        <f t="shared" si="16"/>
        <v/>
      </c>
      <c r="J345" s="28">
        <f t="shared" si="18"/>
        <v>-6.6666666666666652E-2</v>
      </c>
    </row>
    <row r="346" spans="1:10">
      <c r="A346" s="3">
        <v>407</v>
      </c>
      <c r="B346" t="s">
        <v>369</v>
      </c>
      <c r="C346" t="s">
        <v>8</v>
      </c>
      <c r="E346" s="3">
        <f t="shared" si="17"/>
        <v>4</v>
      </c>
      <c r="F346" s="5">
        <v>44175.625</v>
      </c>
      <c r="G346" s="19" t="str">
        <f t="shared" si="16"/>
        <v/>
      </c>
      <c r="J346" s="28">
        <f t="shared" si="18"/>
        <v>-0.14675052410901468</v>
      </c>
    </row>
    <row r="347" spans="1:10">
      <c r="A347" s="3">
        <v>445</v>
      </c>
      <c r="B347" t="s">
        <v>370</v>
      </c>
      <c r="C347" t="s">
        <v>8</v>
      </c>
      <c r="E347" s="3">
        <f t="shared" si="17"/>
        <v>5</v>
      </c>
      <c r="F347" s="5">
        <v>44176.625</v>
      </c>
      <c r="G347" s="19" t="str">
        <f t="shared" si="16"/>
        <v/>
      </c>
      <c r="J347" s="28">
        <f t="shared" si="18"/>
        <v>-5.7203389830508433E-2</v>
      </c>
    </row>
    <row r="348" spans="1:10">
      <c r="A348" s="3">
        <v>249</v>
      </c>
      <c r="B348" t="s">
        <v>371</v>
      </c>
      <c r="C348" t="s">
        <v>8</v>
      </c>
      <c r="E348" s="3">
        <f t="shared" si="17"/>
        <v>6</v>
      </c>
      <c r="F348" s="5">
        <v>44177.625</v>
      </c>
      <c r="G348" s="19" t="str">
        <f t="shared" si="16"/>
        <v/>
      </c>
      <c r="J348" s="28">
        <f t="shared" si="18"/>
        <v>-4.0000000000000036E-3</v>
      </c>
    </row>
    <row r="349" spans="1:10">
      <c r="A349" s="3">
        <v>276</v>
      </c>
      <c r="B349" t="s">
        <v>372</v>
      </c>
      <c r="C349" t="s">
        <v>8</v>
      </c>
      <c r="E349" s="3">
        <f t="shared" si="17"/>
        <v>7</v>
      </c>
      <c r="F349" s="5">
        <v>44178.625</v>
      </c>
      <c r="G349" s="19" t="str">
        <f t="shared" si="16"/>
        <v/>
      </c>
      <c r="J349" s="28">
        <f t="shared" si="18"/>
        <v>-2.4734982332155431E-2</v>
      </c>
    </row>
    <row r="350" spans="1:10">
      <c r="A350" s="3">
        <v>463</v>
      </c>
      <c r="B350" t="s">
        <v>373</v>
      </c>
      <c r="C350" t="s">
        <v>8</v>
      </c>
      <c r="E350" s="3">
        <f t="shared" si="17"/>
        <v>1</v>
      </c>
      <c r="F350" s="5">
        <v>44179.625</v>
      </c>
      <c r="G350" s="19" t="str">
        <f t="shared" si="16"/>
        <v>2020-W51</v>
      </c>
      <c r="H350">
        <f>SUM(A350:A356)</f>
        <v>2326</v>
      </c>
      <c r="I350" s="28">
        <f>H350/H343-1</f>
        <v>-0.19903581267217629</v>
      </c>
      <c r="J350" s="28">
        <f t="shared" si="18"/>
        <v>-0.21124361158432714</v>
      </c>
    </row>
    <row r="351" spans="1:10">
      <c r="A351" s="3">
        <v>359</v>
      </c>
      <c r="B351" t="s">
        <v>374</v>
      </c>
      <c r="C351" t="s">
        <v>8</v>
      </c>
      <c r="E351" s="3">
        <f t="shared" si="17"/>
        <v>2</v>
      </c>
      <c r="F351" s="5">
        <v>44180.625</v>
      </c>
      <c r="G351" s="19" t="str">
        <f t="shared" si="16"/>
        <v/>
      </c>
      <c r="J351" s="28">
        <f t="shared" si="18"/>
        <v>-0.2489539748953975</v>
      </c>
    </row>
    <row r="352" spans="1:10">
      <c r="A352" s="3">
        <v>353</v>
      </c>
      <c r="B352" t="s">
        <v>375</v>
      </c>
      <c r="C352" t="s">
        <v>8</v>
      </c>
      <c r="E352" s="3">
        <f t="shared" si="17"/>
        <v>3</v>
      </c>
      <c r="F352" s="5">
        <v>44181.625</v>
      </c>
      <c r="G352" s="19" t="str">
        <f t="shared" si="16"/>
        <v/>
      </c>
      <c r="J352" s="28">
        <f t="shared" si="18"/>
        <v>-0.23593073593073588</v>
      </c>
    </row>
    <row r="353" spans="1:10">
      <c r="A353" s="3">
        <v>323</v>
      </c>
      <c r="B353" t="s">
        <v>376</v>
      </c>
      <c r="C353" t="s">
        <v>8</v>
      </c>
      <c r="E353" s="3">
        <f t="shared" si="17"/>
        <v>4</v>
      </c>
      <c r="F353" s="5">
        <v>44182.625</v>
      </c>
      <c r="G353" s="19" t="str">
        <f t="shared" si="16"/>
        <v/>
      </c>
      <c r="J353" s="28">
        <f t="shared" si="18"/>
        <v>-0.20638820638820643</v>
      </c>
    </row>
    <row r="354" spans="1:10">
      <c r="A354" s="3">
        <v>393</v>
      </c>
      <c r="B354" t="s">
        <v>377</v>
      </c>
      <c r="C354" t="s">
        <v>8</v>
      </c>
      <c r="E354" s="3">
        <f t="shared" si="17"/>
        <v>5</v>
      </c>
      <c r="F354" s="5">
        <v>44183.625</v>
      </c>
      <c r="G354" s="19" t="str">
        <f t="shared" si="16"/>
        <v/>
      </c>
      <c r="J354" s="28">
        <f t="shared" si="18"/>
        <v>-0.11685393258426968</v>
      </c>
    </row>
    <row r="355" spans="1:10">
      <c r="A355" s="3">
        <v>191</v>
      </c>
      <c r="B355" t="s">
        <v>378</v>
      </c>
      <c r="C355" t="s">
        <v>8</v>
      </c>
      <c r="E355" s="3">
        <f t="shared" si="17"/>
        <v>6</v>
      </c>
      <c r="F355" s="5">
        <v>44184.625</v>
      </c>
      <c r="G355" s="19" t="str">
        <f t="shared" si="16"/>
        <v/>
      </c>
      <c r="J355" s="28">
        <f t="shared" si="18"/>
        <v>-0.23293172690763053</v>
      </c>
    </row>
    <row r="356" spans="1:10">
      <c r="A356" s="3">
        <v>244</v>
      </c>
      <c r="B356" t="s">
        <v>379</v>
      </c>
      <c r="C356" t="s">
        <v>8</v>
      </c>
      <c r="E356" s="3">
        <f t="shared" si="17"/>
        <v>7</v>
      </c>
      <c r="F356" s="5">
        <v>44185.625</v>
      </c>
      <c r="G356" s="19" t="str">
        <f t="shared" si="16"/>
        <v/>
      </c>
      <c r="J356" s="28">
        <f t="shared" si="18"/>
        <v>-0.11594202898550721</v>
      </c>
    </row>
    <row r="357" spans="1:10">
      <c r="A357" s="3">
        <v>375</v>
      </c>
      <c r="B357" t="s">
        <v>380</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381</v>
      </c>
      <c r="C358" t="s">
        <v>8</v>
      </c>
      <c r="E358" s="3">
        <f t="shared" si="17"/>
        <v>2</v>
      </c>
      <c r="F358" s="5">
        <v>44187.625</v>
      </c>
      <c r="G358" s="19" t="str">
        <f t="shared" si="16"/>
        <v/>
      </c>
      <c r="J358" s="28">
        <f t="shared" si="18"/>
        <v>-7.5208913649025044E-2</v>
      </c>
    </row>
    <row r="359" spans="1:10">
      <c r="A359" s="3">
        <v>277</v>
      </c>
      <c r="B359" t="s">
        <v>382</v>
      </c>
      <c r="C359" t="s">
        <v>8</v>
      </c>
      <c r="E359" s="3">
        <f t="shared" si="17"/>
        <v>3</v>
      </c>
      <c r="F359" s="5">
        <v>44188.625</v>
      </c>
      <c r="G359" s="19" t="str">
        <f t="shared" si="16"/>
        <v/>
      </c>
      <c r="J359" s="28">
        <f t="shared" si="18"/>
        <v>-0.2152974504249292</v>
      </c>
    </row>
    <row r="360" spans="1:10">
      <c r="A360" s="3">
        <v>138</v>
      </c>
      <c r="B360" t="s">
        <v>383</v>
      </c>
      <c r="C360" t="s">
        <v>8</v>
      </c>
      <c r="E360" s="3">
        <f t="shared" si="17"/>
        <v>4</v>
      </c>
      <c r="F360" s="5">
        <v>44189.625</v>
      </c>
      <c r="G360" s="19" t="str">
        <f t="shared" si="16"/>
        <v/>
      </c>
      <c r="J360" s="28">
        <f t="shared" si="18"/>
        <v>-0.5727554179566563</v>
      </c>
    </row>
    <row r="361" spans="1:10">
      <c r="A361" s="3">
        <v>157</v>
      </c>
      <c r="B361" t="s">
        <v>384</v>
      </c>
      <c r="C361" t="s">
        <v>8</v>
      </c>
      <c r="E361" s="3">
        <f t="shared" si="17"/>
        <v>5</v>
      </c>
      <c r="F361" s="5">
        <v>44190.625</v>
      </c>
      <c r="G361" s="19" t="str">
        <f t="shared" si="16"/>
        <v/>
      </c>
      <c r="J361" s="28">
        <f t="shared" si="18"/>
        <v>-0.60050890585241734</v>
      </c>
    </row>
    <row r="362" spans="1:10">
      <c r="A362" s="3">
        <v>183</v>
      </c>
      <c r="B362" t="s">
        <v>385</v>
      </c>
      <c r="C362" t="s">
        <v>8</v>
      </c>
      <c r="E362" s="3">
        <f t="shared" si="17"/>
        <v>6</v>
      </c>
      <c r="F362" s="5">
        <v>44191.625</v>
      </c>
      <c r="G362" s="19" t="str">
        <f t="shared" si="16"/>
        <v/>
      </c>
      <c r="J362" s="28">
        <f t="shared" si="18"/>
        <v>-4.1884816753926746E-2</v>
      </c>
    </row>
    <row r="363" spans="1:10">
      <c r="A363" s="3">
        <v>191</v>
      </c>
      <c r="B363" t="s">
        <v>386</v>
      </c>
      <c r="C363" t="s">
        <v>8</v>
      </c>
      <c r="E363" s="3">
        <f t="shared" si="17"/>
        <v>7</v>
      </c>
      <c r="F363" s="5">
        <v>44192.625</v>
      </c>
      <c r="G363" s="19" t="str">
        <f t="shared" si="16"/>
        <v/>
      </c>
      <c r="J363" s="28">
        <f t="shared" si="18"/>
        <v>-0.21721311475409832</v>
      </c>
    </row>
    <row r="364" spans="1:10">
      <c r="A364" s="3">
        <v>435</v>
      </c>
      <c r="B364" t="s">
        <v>387</v>
      </c>
      <c r="C364" t="s">
        <v>8</v>
      </c>
      <c r="E364" s="3">
        <f t="shared" si="17"/>
        <v>1</v>
      </c>
      <c r="F364" s="5">
        <v>44193.625</v>
      </c>
      <c r="G364" s="19" t="str">
        <f t="shared" si="16"/>
        <v>2020-W53</v>
      </c>
      <c r="H364">
        <f>SUM(A364:A370)</f>
        <v>1755</v>
      </c>
      <c r="I364" s="28">
        <f>H364/H357-1</f>
        <v>6.1705989110707904E-2</v>
      </c>
      <c r="J364" s="28">
        <f t="shared" si="18"/>
        <v>0.15999999999999992</v>
      </c>
    </row>
    <row r="365" spans="1:10">
      <c r="A365" s="3">
        <v>307</v>
      </c>
      <c r="B365" t="s">
        <v>388</v>
      </c>
      <c r="C365" t="s">
        <v>8</v>
      </c>
      <c r="E365" s="3">
        <f t="shared" si="17"/>
        <v>2</v>
      </c>
      <c r="F365" s="5">
        <v>44194.625</v>
      </c>
      <c r="G365" s="19" t="str">
        <f t="shared" si="16"/>
        <v/>
      </c>
      <c r="J365" s="28">
        <f t="shared" si="18"/>
        <v>-7.5301204819277157E-2</v>
      </c>
    </row>
    <row r="366" spans="1:10">
      <c r="A366" s="3">
        <v>256</v>
      </c>
      <c r="B366" t="s">
        <v>389</v>
      </c>
      <c r="C366" t="s">
        <v>8</v>
      </c>
      <c r="E366" s="3">
        <f t="shared" si="17"/>
        <v>3</v>
      </c>
      <c r="F366" s="5">
        <v>44195.625</v>
      </c>
      <c r="G366" s="19" t="str">
        <f t="shared" si="16"/>
        <v/>
      </c>
      <c r="J366" s="28">
        <f t="shared" si="18"/>
        <v>-7.5812274368231014E-2</v>
      </c>
    </row>
    <row r="367" spans="1:10">
      <c r="A367" s="3">
        <v>253</v>
      </c>
      <c r="B367" t="s">
        <v>390</v>
      </c>
      <c r="C367" t="s">
        <v>8</v>
      </c>
      <c r="E367" s="3">
        <f t="shared" si="17"/>
        <v>4</v>
      </c>
      <c r="F367" s="5">
        <v>44196.625</v>
      </c>
      <c r="G367" s="19" t="str">
        <f t="shared" si="16"/>
        <v/>
      </c>
      <c r="J367" s="28">
        <f t="shared" si="18"/>
        <v>0.83333333333333326</v>
      </c>
    </row>
    <row r="368" spans="1:10">
      <c r="A368" s="3">
        <v>129</v>
      </c>
      <c r="B368" t="s">
        <v>391</v>
      </c>
      <c r="C368" t="s">
        <v>8</v>
      </c>
      <c r="E368" s="3">
        <f t="shared" si="17"/>
        <v>5</v>
      </c>
      <c r="F368" s="5">
        <v>44197.625</v>
      </c>
      <c r="G368" s="19" t="str">
        <f t="shared" si="16"/>
        <v/>
      </c>
      <c r="J368" s="28">
        <f t="shared" si="18"/>
        <v>-0.17834394904458595</v>
      </c>
    </row>
    <row r="369" spans="1:10">
      <c r="A369" s="3">
        <v>206</v>
      </c>
      <c r="B369" t="s">
        <v>392</v>
      </c>
      <c r="C369" t="s">
        <v>8</v>
      </c>
      <c r="E369" s="3">
        <f t="shared" si="17"/>
        <v>6</v>
      </c>
      <c r="F369" s="5">
        <v>44198.625</v>
      </c>
      <c r="G369" s="19" t="str">
        <f t="shared" si="16"/>
        <v/>
      </c>
      <c r="J369" s="28">
        <f t="shared" si="18"/>
        <v>0.12568306010928953</v>
      </c>
    </row>
    <row r="370" spans="1:10">
      <c r="A370" s="3">
        <v>169</v>
      </c>
      <c r="B370" t="s">
        <v>393</v>
      </c>
      <c r="C370" t="s">
        <v>8</v>
      </c>
      <c r="E370" s="3">
        <f t="shared" si="17"/>
        <v>7</v>
      </c>
      <c r="F370" s="5">
        <v>44199.625</v>
      </c>
      <c r="G370" s="19" t="str">
        <f t="shared" si="16"/>
        <v/>
      </c>
      <c r="J370" s="28">
        <f t="shared" si="18"/>
        <v>-0.11518324607329844</v>
      </c>
    </row>
    <row r="371" spans="1:10">
      <c r="A371" s="3">
        <v>398</v>
      </c>
      <c r="B371" t="s">
        <v>394</v>
      </c>
      <c r="C371" t="s">
        <v>8</v>
      </c>
      <c r="E371" s="3">
        <f t="shared" si="17"/>
        <v>1</v>
      </c>
      <c r="F371" s="5">
        <v>44200.625</v>
      </c>
      <c r="G371" s="19" t="str">
        <f t="shared" si="16"/>
        <v>2021-W01</v>
      </c>
      <c r="H371">
        <f>SUM(A371:A377)</f>
        <v>1834</v>
      </c>
      <c r="I371" s="28">
        <f>H371/H364-1</f>
        <v>4.5014245014245002E-2</v>
      </c>
      <c r="J371" s="28">
        <f t="shared" si="18"/>
        <v>-8.5057471264367801E-2</v>
      </c>
    </row>
    <row r="372" spans="1:10">
      <c r="A372" s="3">
        <v>263</v>
      </c>
      <c r="B372" t="s">
        <v>395</v>
      </c>
      <c r="C372" t="s">
        <v>8</v>
      </c>
      <c r="E372" s="3">
        <f t="shared" si="17"/>
        <v>2</v>
      </c>
      <c r="F372" s="5">
        <v>44201.625</v>
      </c>
      <c r="G372" s="19" t="str">
        <f t="shared" si="16"/>
        <v/>
      </c>
      <c r="J372" s="28">
        <f t="shared" si="18"/>
        <v>-0.14332247557003253</v>
      </c>
    </row>
    <row r="373" spans="1:10">
      <c r="A373" s="3">
        <v>209</v>
      </c>
      <c r="B373" t="s">
        <v>396</v>
      </c>
      <c r="C373" t="s">
        <v>8</v>
      </c>
      <c r="E373" s="3">
        <f t="shared" si="17"/>
        <v>3</v>
      </c>
      <c r="F373" s="5">
        <v>44202.625</v>
      </c>
      <c r="G373" s="19" t="str">
        <f t="shared" si="16"/>
        <v/>
      </c>
      <c r="J373" s="28">
        <f t="shared" si="18"/>
        <v>-0.18359375</v>
      </c>
    </row>
    <row r="374" spans="1:10">
      <c r="A374" s="3">
        <v>332</v>
      </c>
      <c r="B374" t="s">
        <v>397</v>
      </c>
      <c r="C374" t="s">
        <v>8</v>
      </c>
      <c r="E374" s="3">
        <f t="shared" si="17"/>
        <v>4</v>
      </c>
      <c r="F374" s="5">
        <v>44203.625</v>
      </c>
      <c r="G374" s="19" t="str">
        <f t="shared" si="16"/>
        <v/>
      </c>
      <c r="J374" s="28">
        <f t="shared" si="18"/>
        <v>0.31225296442687744</v>
      </c>
    </row>
    <row r="375" spans="1:10">
      <c r="A375" s="3">
        <v>252</v>
      </c>
      <c r="B375" t="s">
        <v>398</v>
      </c>
      <c r="C375" t="s">
        <v>8</v>
      </c>
      <c r="E375" s="3">
        <f t="shared" si="17"/>
        <v>5</v>
      </c>
      <c r="F375" s="5">
        <v>44204.625</v>
      </c>
      <c r="G375" s="19" t="str">
        <f t="shared" si="16"/>
        <v/>
      </c>
      <c r="J375" s="28">
        <f t="shared" si="18"/>
        <v>0.95348837209302317</v>
      </c>
    </row>
    <row r="376" spans="1:10">
      <c r="A376" s="3">
        <v>194</v>
      </c>
      <c r="B376" t="s">
        <v>399</v>
      </c>
      <c r="C376" t="s">
        <v>8</v>
      </c>
      <c r="E376" s="3">
        <f t="shared" si="17"/>
        <v>6</v>
      </c>
      <c r="F376" s="5">
        <v>44205.625</v>
      </c>
      <c r="G376" s="19" t="str">
        <f t="shared" si="16"/>
        <v/>
      </c>
      <c r="J376" s="28">
        <f t="shared" si="18"/>
        <v>-5.8252427184465994E-2</v>
      </c>
    </row>
    <row r="377" spans="1:10">
      <c r="A377" s="3">
        <v>186</v>
      </c>
      <c r="B377" t="s">
        <v>400</v>
      </c>
      <c r="C377" t="s">
        <v>8</v>
      </c>
      <c r="E377" s="3">
        <f t="shared" si="17"/>
        <v>7</v>
      </c>
      <c r="F377" s="5">
        <v>44206.625</v>
      </c>
      <c r="G377" s="19" t="str">
        <f t="shared" si="16"/>
        <v/>
      </c>
      <c r="J377" s="28">
        <f t="shared" si="18"/>
        <v>0.10059171597633143</v>
      </c>
    </row>
    <row r="378" spans="1:10">
      <c r="A378" s="3">
        <v>386</v>
      </c>
      <c r="B378" t="s">
        <v>401</v>
      </c>
      <c r="C378" t="s">
        <v>8</v>
      </c>
      <c r="E378" s="3">
        <f t="shared" si="17"/>
        <v>1</v>
      </c>
      <c r="F378" s="5">
        <v>44207.625</v>
      </c>
      <c r="G378" s="19" t="str">
        <f t="shared" si="16"/>
        <v>2021-W02</v>
      </c>
      <c r="H378">
        <f>SUM(A378:A384)</f>
        <v>1756</v>
      </c>
      <c r="I378" s="28">
        <f>H378/H371-1</f>
        <v>-4.2529989094874598E-2</v>
      </c>
      <c r="J378" s="28">
        <f t="shared" si="18"/>
        <v>-3.0150753768844241E-2</v>
      </c>
    </row>
    <row r="379" spans="1:10">
      <c r="A379" s="3">
        <v>229</v>
      </c>
      <c r="B379" t="s">
        <v>402</v>
      </c>
      <c r="C379" t="s">
        <v>8</v>
      </c>
      <c r="E379" s="3">
        <f t="shared" si="17"/>
        <v>2</v>
      </c>
      <c r="F379" s="5">
        <v>44208.625</v>
      </c>
      <c r="G379" s="19" t="str">
        <f t="shared" si="16"/>
        <v/>
      </c>
      <c r="J379" s="28">
        <f t="shared" si="18"/>
        <v>-0.12927756653992395</v>
      </c>
    </row>
    <row r="380" spans="1:10">
      <c r="A380" s="3">
        <v>259</v>
      </c>
      <c r="B380" t="s">
        <v>403</v>
      </c>
      <c r="C380" t="s">
        <v>8</v>
      </c>
      <c r="E380" s="3">
        <f t="shared" si="17"/>
        <v>3</v>
      </c>
      <c r="F380" s="5">
        <v>44209.625</v>
      </c>
      <c r="G380" s="19" t="str">
        <f t="shared" si="16"/>
        <v/>
      </c>
      <c r="J380" s="28">
        <f t="shared" si="18"/>
        <v>0.23923444976076547</v>
      </c>
    </row>
    <row r="381" spans="1:10">
      <c r="A381" s="3">
        <v>249</v>
      </c>
      <c r="B381" t="s">
        <v>404</v>
      </c>
      <c r="C381" t="s">
        <v>8</v>
      </c>
      <c r="E381" s="3">
        <f t="shared" si="17"/>
        <v>4</v>
      </c>
      <c r="F381" s="5">
        <v>44210.625</v>
      </c>
      <c r="G381" s="19" t="str">
        <f t="shared" si="16"/>
        <v/>
      </c>
      <c r="J381" s="28">
        <f t="shared" si="18"/>
        <v>-0.25</v>
      </c>
    </row>
    <row r="382" spans="1:10">
      <c r="A382" s="3">
        <v>266</v>
      </c>
      <c r="B382" t="s">
        <v>405</v>
      </c>
      <c r="C382" t="s">
        <v>8</v>
      </c>
      <c r="E382" s="3">
        <f t="shared" si="17"/>
        <v>5</v>
      </c>
      <c r="F382" s="5">
        <v>44211.625</v>
      </c>
      <c r="G382" s="19" t="str">
        <f t="shared" si="16"/>
        <v/>
      </c>
      <c r="J382" s="28">
        <f t="shared" si="18"/>
        <v>5.555555555555558E-2</v>
      </c>
    </row>
    <row r="383" spans="1:10">
      <c r="A383" s="3">
        <v>171</v>
      </c>
      <c r="B383" t="s">
        <v>406</v>
      </c>
      <c r="C383" t="s">
        <v>8</v>
      </c>
      <c r="E383" s="3">
        <f t="shared" ref="E383:E446" si="19">WEEKDAY(F383,2)</f>
        <v>6</v>
      </c>
      <c r="F383" s="5">
        <v>44212.625</v>
      </c>
      <c r="G383" s="19" t="str">
        <f t="shared" si="16"/>
        <v/>
      </c>
      <c r="J383" s="28">
        <f t="shared" si="18"/>
        <v>-0.11855670103092786</v>
      </c>
    </row>
    <row r="384" spans="1:10">
      <c r="A384" s="3">
        <v>196</v>
      </c>
      <c r="B384" t="s">
        <v>407</v>
      </c>
      <c r="C384" t="s">
        <v>8</v>
      </c>
      <c r="E384" s="3">
        <f t="shared" si="19"/>
        <v>7</v>
      </c>
      <c r="F384" s="5">
        <v>44213.625</v>
      </c>
      <c r="G384" s="19" t="str">
        <f t="shared" si="16"/>
        <v/>
      </c>
      <c r="J384" s="28">
        <f t="shared" si="18"/>
        <v>5.3763440860215006E-2</v>
      </c>
    </row>
    <row r="385" spans="1:10">
      <c r="A385" s="3">
        <v>448</v>
      </c>
      <c r="B385" t="s">
        <v>408</v>
      </c>
      <c r="C385" t="s">
        <v>8</v>
      </c>
      <c r="E385" s="3">
        <f t="shared" si="19"/>
        <v>1</v>
      </c>
      <c r="F385" s="5">
        <v>44214.625</v>
      </c>
      <c r="G385" s="19" t="str">
        <f t="shared" si="16"/>
        <v>2021-W03</v>
      </c>
      <c r="H385">
        <f>SUM(A385:A391)</f>
        <v>2349</v>
      </c>
      <c r="I385" s="28">
        <f>H385/H378-1</f>
        <v>0.33769931662870167</v>
      </c>
      <c r="J385" s="28">
        <f t="shared" si="18"/>
        <v>0.16062176165803099</v>
      </c>
    </row>
    <row r="386" spans="1:10">
      <c r="A386" s="3">
        <v>342</v>
      </c>
      <c r="B386" t="s">
        <v>409</v>
      </c>
      <c r="C386" t="s">
        <v>8</v>
      </c>
      <c r="E386" s="3">
        <f t="shared" si="19"/>
        <v>2</v>
      </c>
      <c r="F386" s="5">
        <v>44215.625</v>
      </c>
      <c r="G386" s="19" t="str">
        <f t="shared" si="16"/>
        <v/>
      </c>
      <c r="J386" s="28">
        <f t="shared" si="18"/>
        <v>0.49344978165938858</v>
      </c>
    </row>
    <row r="387" spans="1:10">
      <c r="A387" s="3">
        <v>406</v>
      </c>
      <c r="B387" t="s">
        <v>410</v>
      </c>
      <c r="C387" t="s">
        <v>8</v>
      </c>
      <c r="E387" s="3">
        <f t="shared" si="19"/>
        <v>3</v>
      </c>
      <c r="F387" s="5">
        <v>44216.625</v>
      </c>
      <c r="G387" s="19" t="str">
        <f t="shared" ref="G387:G450" si="20">IF(WEEKDAY(F387,2)=1,YEAR(F387)&amp;"-W"&amp;TEXT(WEEKNUM(F387,14),"00"),"")</f>
        <v/>
      </c>
      <c r="J387" s="28">
        <f t="shared" si="18"/>
        <v>0.56756756756756754</v>
      </c>
    </row>
    <row r="388" spans="1:10">
      <c r="A388" s="3">
        <v>377</v>
      </c>
      <c r="B388" t="s">
        <v>411</v>
      </c>
      <c r="C388" t="s">
        <v>8</v>
      </c>
      <c r="E388" s="3">
        <f t="shared" si="19"/>
        <v>4</v>
      </c>
      <c r="F388" s="5">
        <v>44217.625</v>
      </c>
      <c r="G388" s="19" t="str">
        <f t="shared" si="20"/>
        <v/>
      </c>
      <c r="J388" s="28">
        <f t="shared" si="18"/>
        <v>0.51405622489959835</v>
      </c>
    </row>
    <row r="389" spans="1:10">
      <c r="A389" s="3">
        <v>361</v>
      </c>
      <c r="B389" t="s">
        <v>412</v>
      </c>
      <c r="C389" t="s">
        <v>8</v>
      </c>
      <c r="E389" s="3">
        <f t="shared" si="19"/>
        <v>5</v>
      </c>
      <c r="F389" s="5">
        <v>44218.625</v>
      </c>
      <c r="G389" s="19" t="str">
        <f t="shared" si="20"/>
        <v/>
      </c>
      <c r="J389" s="28">
        <f t="shared" si="18"/>
        <v>0.35714285714285721</v>
      </c>
    </row>
    <row r="390" spans="1:10">
      <c r="A390" s="3">
        <v>168</v>
      </c>
      <c r="B390" t="s">
        <v>413</v>
      </c>
      <c r="C390" t="s">
        <v>8</v>
      </c>
      <c r="E390" s="3">
        <f t="shared" si="19"/>
        <v>6</v>
      </c>
      <c r="F390" s="5">
        <v>44219.625</v>
      </c>
      <c r="G390" s="19" t="str">
        <f t="shared" si="20"/>
        <v/>
      </c>
      <c r="J390" s="28">
        <f t="shared" si="18"/>
        <v>-1.7543859649122862E-2</v>
      </c>
    </row>
    <row r="391" spans="1:10">
      <c r="A391" s="3">
        <v>247</v>
      </c>
      <c r="B391" t="s">
        <v>414</v>
      </c>
      <c r="C391" t="s">
        <v>8</v>
      </c>
      <c r="E391" s="3">
        <f t="shared" si="19"/>
        <v>7</v>
      </c>
      <c r="F391" s="5">
        <v>44220.625</v>
      </c>
      <c r="G391" s="19" t="str">
        <f t="shared" si="20"/>
        <v/>
      </c>
      <c r="J391" s="28">
        <f t="shared" si="18"/>
        <v>0.26020408163265296</v>
      </c>
    </row>
    <row r="392" spans="1:10">
      <c r="A392" s="3">
        <v>605</v>
      </c>
      <c r="B392" t="s">
        <v>415</v>
      </c>
      <c r="C392" t="s">
        <v>8</v>
      </c>
      <c r="E392" s="3">
        <f t="shared" si="19"/>
        <v>1</v>
      </c>
      <c r="F392" s="5">
        <v>44221.625</v>
      </c>
      <c r="G392" s="19" t="str">
        <f t="shared" si="20"/>
        <v>2021-W04</v>
      </c>
      <c r="H392">
        <f>SUM(A392:A398)</f>
        <v>2700</v>
      </c>
      <c r="I392" s="28">
        <f>H392/H385-1</f>
        <v>0.14942528735632177</v>
      </c>
      <c r="J392" s="28">
        <f t="shared" si="18"/>
        <v>0.3504464285714286</v>
      </c>
    </row>
    <row r="393" spans="1:10">
      <c r="A393" s="3">
        <v>397</v>
      </c>
      <c r="B393" t="s">
        <v>416</v>
      </c>
      <c r="C393" t="s">
        <v>8</v>
      </c>
      <c r="E393" s="3">
        <f t="shared" si="19"/>
        <v>2</v>
      </c>
      <c r="F393" s="5">
        <v>44222.625</v>
      </c>
      <c r="G393" s="19" t="str">
        <f t="shared" si="20"/>
        <v/>
      </c>
      <c r="J393" s="28">
        <f t="shared" ref="J393:J456" si="21">A393/A386-1</f>
        <v>0.16081871345029231</v>
      </c>
    </row>
    <row r="394" spans="1:10">
      <c r="A394" s="3">
        <v>382</v>
      </c>
      <c r="B394" t="s">
        <v>417</v>
      </c>
      <c r="C394" t="s">
        <v>8</v>
      </c>
      <c r="E394" s="3">
        <f t="shared" si="19"/>
        <v>3</v>
      </c>
      <c r="F394" s="5">
        <v>44223.625</v>
      </c>
      <c r="G394" s="19" t="str">
        <f t="shared" si="20"/>
        <v/>
      </c>
      <c r="J394" s="28">
        <f t="shared" si="21"/>
        <v>-5.9113300492610876E-2</v>
      </c>
    </row>
    <row r="395" spans="1:10">
      <c r="A395" s="3">
        <v>435</v>
      </c>
      <c r="B395" t="s">
        <v>418</v>
      </c>
      <c r="C395" t="s">
        <v>8</v>
      </c>
      <c r="E395" s="3">
        <f t="shared" si="19"/>
        <v>4</v>
      </c>
      <c r="F395" s="5">
        <v>44224.625</v>
      </c>
      <c r="G395" s="19" t="str">
        <f t="shared" si="20"/>
        <v/>
      </c>
      <c r="J395" s="28">
        <f t="shared" si="21"/>
        <v>0.15384615384615374</v>
      </c>
    </row>
    <row r="396" spans="1:10">
      <c r="A396" s="3">
        <v>376</v>
      </c>
      <c r="B396" t="s">
        <v>419</v>
      </c>
      <c r="C396" t="s">
        <v>8</v>
      </c>
      <c r="E396" s="3">
        <f t="shared" si="19"/>
        <v>5</v>
      </c>
      <c r="F396" s="5">
        <v>44225.625</v>
      </c>
      <c r="G396" s="19" t="str">
        <f t="shared" si="20"/>
        <v/>
      </c>
      <c r="J396" s="28">
        <f t="shared" si="21"/>
        <v>4.1551246537396169E-2</v>
      </c>
    </row>
    <row r="397" spans="1:10">
      <c r="A397" s="3">
        <v>232</v>
      </c>
      <c r="B397" t="s">
        <v>421</v>
      </c>
      <c r="C397" t="s">
        <v>8</v>
      </c>
      <c r="E397" s="3">
        <f t="shared" si="19"/>
        <v>6</v>
      </c>
      <c r="F397" s="5">
        <v>44226.625</v>
      </c>
      <c r="G397" s="19" t="str">
        <f t="shared" si="20"/>
        <v/>
      </c>
      <c r="J397" s="28">
        <f t="shared" si="21"/>
        <v>0.38095238095238093</v>
      </c>
    </row>
    <row r="398" spans="1:10">
      <c r="A398" s="3">
        <v>273</v>
      </c>
      <c r="B398" t="s">
        <v>422</v>
      </c>
      <c r="C398" t="s">
        <v>8</v>
      </c>
      <c r="E398" s="3">
        <f t="shared" si="19"/>
        <v>7</v>
      </c>
      <c r="F398" s="5">
        <v>44227.625</v>
      </c>
      <c r="G398" s="19" t="str">
        <f t="shared" si="20"/>
        <v/>
      </c>
      <c r="J398" s="28">
        <f t="shared" si="21"/>
        <v>0.10526315789473695</v>
      </c>
    </row>
    <row r="399" spans="1:10">
      <c r="A399" s="3">
        <v>534</v>
      </c>
      <c r="B399" t="s">
        <v>423</v>
      </c>
      <c r="C399" t="s">
        <v>8</v>
      </c>
      <c r="E399" s="3">
        <f t="shared" si="19"/>
        <v>1</v>
      </c>
      <c r="F399" s="5">
        <v>44228.625</v>
      </c>
      <c r="G399" s="19" t="str">
        <f t="shared" si="20"/>
        <v>2021-W05</v>
      </c>
      <c r="H399">
        <f>SUM(A399:A405)</f>
        <v>2614</v>
      </c>
      <c r="I399" s="28">
        <f>H399/H392-1</f>
        <v>-3.1851851851851798E-2</v>
      </c>
      <c r="J399" s="28">
        <f t="shared" si="21"/>
        <v>-0.11735537190082646</v>
      </c>
    </row>
    <row r="400" spans="1:10">
      <c r="A400" s="3">
        <v>396</v>
      </c>
      <c r="B400" t="s">
        <v>424</v>
      </c>
      <c r="C400" t="s">
        <v>8</v>
      </c>
      <c r="E400" s="3">
        <f t="shared" si="19"/>
        <v>2</v>
      </c>
      <c r="F400" s="5">
        <v>44229.625</v>
      </c>
      <c r="G400" s="19" t="str">
        <f t="shared" si="20"/>
        <v/>
      </c>
      <c r="J400" s="28">
        <f t="shared" si="21"/>
        <v>-2.5188916876573986E-3</v>
      </c>
    </row>
    <row r="401" spans="1:10">
      <c r="A401" s="3">
        <v>441</v>
      </c>
      <c r="B401" t="s">
        <v>425</v>
      </c>
      <c r="C401" t="s">
        <v>8</v>
      </c>
      <c r="E401" s="3">
        <f t="shared" si="19"/>
        <v>3</v>
      </c>
      <c r="F401" s="5">
        <v>44230.625</v>
      </c>
      <c r="G401" s="19" t="str">
        <f t="shared" si="20"/>
        <v/>
      </c>
      <c r="J401" s="28">
        <f t="shared" si="21"/>
        <v>0.15445026178010468</v>
      </c>
    </row>
    <row r="402" spans="1:10">
      <c r="A402" s="3">
        <v>372</v>
      </c>
      <c r="B402" t="s">
        <v>426</v>
      </c>
      <c r="C402" t="s">
        <v>8</v>
      </c>
      <c r="E402" s="3">
        <f t="shared" si="19"/>
        <v>4</v>
      </c>
      <c r="F402" s="5">
        <v>44231.625</v>
      </c>
      <c r="G402" s="19" t="str">
        <f t="shared" si="20"/>
        <v/>
      </c>
      <c r="J402" s="28">
        <f t="shared" si="21"/>
        <v>-0.14482758620689651</v>
      </c>
    </row>
    <row r="403" spans="1:10">
      <c r="A403" s="3">
        <v>368</v>
      </c>
      <c r="B403" t="s">
        <v>427</v>
      </c>
      <c r="C403" t="s">
        <v>8</v>
      </c>
      <c r="E403" s="3">
        <f t="shared" si="19"/>
        <v>5</v>
      </c>
      <c r="F403" s="5">
        <v>44232.625</v>
      </c>
      <c r="G403" s="19" t="str">
        <f t="shared" si="20"/>
        <v/>
      </c>
      <c r="J403" s="28">
        <f t="shared" si="21"/>
        <v>-2.1276595744680882E-2</v>
      </c>
    </row>
    <row r="404" spans="1:10">
      <c r="A404" s="3">
        <v>239</v>
      </c>
      <c r="B404" t="s">
        <v>428</v>
      </c>
      <c r="C404" t="s">
        <v>8</v>
      </c>
      <c r="E404" s="3">
        <f t="shared" si="19"/>
        <v>6</v>
      </c>
      <c r="F404" s="5">
        <v>44233.625</v>
      </c>
      <c r="G404" s="19" t="str">
        <f t="shared" si="20"/>
        <v/>
      </c>
      <c r="J404" s="28">
        <f t="shared" si="21"/>
        <v>3.0172413793103425E-2</v>
      </c>
    </row>
    <row r="405" spans="1:10">
      <c r="A405" s="3">
        <v>264</v>
      </c>
      <c r="B405" t="s">
        <v>429</v>
      </c>
      <c r="C405" t="s">
        <v>8</v>
      </c>
      <c r="E405" s="3">
        <f t="shared" si="19"/>
        <v>7</v>
      </c>
      <c r="F405" s="5">
        <v>44234.625</v>
      </c>
      <c r="G405" s="19" t="str">
        <f t="shared" si="20"/>
        <v/>
      </c>
      <c r="J405" s="28">
        <f t="shared" si="21"/>
        <v>-3.2967032967032961E-2</v>
      </c>
    </row>
    <row r="406" spans="1:10">
      <c r="A406" s="3">
        <v>462</v>
      </c>
      <c r="B406" t="s">
        <v>437</v>
      </c>
      <c r="C406" t="s">
        <v>8</v>
      </c>
      <c r="E406" s="3">
        <f t="shared" si="19"/>
        <v>1</v>
      </c>
      <c r="F406" s="5">
        <v>44235.625</v>
      </c>
      <c r="G406" s="19" t="str">
        <f t="shared" si="20"/>
        <v>2021-W06</v>
      </c>
      <c r="H406">
        <f>SUM(A406:A412)</f>
        <v>2557</v>
      </c>
      <c r="I406" s="28">
        <f>H406/H399-1</f>
        <v>-2.1805661820963995E-2</v>
      </c>
      <c r="J406" s="28">
        <f t="shared" si="21"/>
        <v>-0.1348314606741573</v>
      </c>
    </row>
    <row r="407" spans="1:10">
      <c r="A407" s="3">
        <v>372</v>
      </c>
      <c r="B407" t="s">
        <v>438</v>
      </c>
      <c r="C407" t="s">
        <v>8</v>
      </c>
      <c r="E407" s="3">
        <f t="shared" si="19"/>
        <v>2</v>
      </c>
      <c r="F407" s="5">
        <v>44236.625</v>
      </c>
      <c r="G407" s="19" t="str">
        <f t="shared" si="20"/>
        <v/>
      </c>
      <c r="J407" s="28">
        <f t="shared" si="21"/>
        <v>-6.0606060606060552E-2</v>
      </c>
    </row>
    <row r="408" spans="1:10">
      <c r="A408" s="3">
        <v>383</v>
      </c>
      <c r="B408" t="s">
        <v>439</v>
      </c>
      <c r="C408" t="s">
        <v>8</v>
      </c>
      <c r="E408" s="3">
        <f t="shared" si="19"/>
        <v>3</v>
      </c>
      <c r="F408" s="5">
        <v>44237.625</v>
      </c>
      <c r="G408" s="19" t="str">
        <f t="shared" si="20"/>
        <v/>
      </c>
      <c r="J408" s="28">
        <f t="shared" si="21"/>
        <v>-0.13151927437641719</v>
      </c>
    </row>
    <row r="409" spans="1:10">
      <c r="A409" s="3">
        <v>361</v>
      </c>
      <c r="B409" t="s">
        <v>440</v>
      </c>
      <c r="C409" t="s">
        <v>8</v>
      </c>
      <c r="E409" s="3">
        <f t="shared" si="19"/>
        <v>4</v>
      </c>
      <c r="F409" s="5">
        <v>44238.625</v>
      </c>
      <c r="G409" s="19" t="str">
        <f t="shared" si="20"/>
        <v/>
      </c>
      <c r="J409" s="28">
        <f t="shared" si="21"/>
        <v>-2.9569892473118253E-2</v>
      </c>
    </row>
    <row r="410" spans="1:10">
      <c r="A410" s="3">
        <v>419</v>
      </c>
      <c r="B410" t="s">
        <v>441</v>
      </c>
      <c r="C410" t="s">
        <v>8</v>
      </c>
      <c r="E410" s="3">
        <f t="shared" si="19"/>
        <v>5</v>
      </c>
      <c r="F410" s="5">
        <v>44239.625</v>
      </c>
      <c r="G410" s="19" t="str">
        <f t="shared" si="20"/>
        <v/>
      </c>
      <c r="J410" s="28">
        <f t="shared" si="21"/>
        <v>0.13858695652173902</v>
      </c>
    </row>
    <row r="411" spans="1:10">
      <c r="A411" s="3">
        <v>278</v>
      </c>
      <c r="B411" t="s">
        <v>442</v>
      </c>
      <c r="C411" t="s">
        <v>8</v>
      </c>
      <c r="E411" s="3">
        <f t="shared" si="19"/>
        <v>6</v>
      </c>
      <c r="F411" s="5">
        <v>44240.625</v>
      </c>
      <c r="G411" s="19" t="str">
        <f t="shared" si="20"/>
        <v/>
      </c>
      <c r="J411" s="28">
        <f t="shared" si="21"/>
        <v>0.16317991631799167</v>
      </c>
    </row>
    <row r="412" spans="1:10">
      <c r="A412" s="3">
        <v>282</v>
      </c>
      <c r="B412" t="s">
        <v>443</v>
      </c>
      <c r="C412" t="s">
        <v>8</v>
      </c>
      <c r="E412" s="3">
        <f t="shared" si="19"/>
        <v>7</v>
      </c>
      <c r="F412" s="5">
        <v>44241.625</v>
      </c>
      <c r="G412" s="19" t="str">
        <f t="shared" si="20"/>
        <v/>
      </c>
      <c r="J412" s="28">
        <f t="shared" si="21"/>
        <v>6.8181818181818121E-2</v>
      </c>
    </row>
    <row r="413" spans="1:10" s="10" customFormat="1">
      <c r="A413" s="14">
        <v>616</v>
      </c>
      <c r="B413" s="10" t="s">
        <v>444</v>
      </c>
      <c r="C413" s="10" t="s">
        <v>8</v>
      </c>
      <c r="E413" s="14">
        <f t="shared" si="19"/>
        <v>1</v>
      </c>
      <c r="F413" s="18">
        <v>44242.625</v>
      </c>
      <c r="G413" s="19" t="str">
        <f t="shared" si="20"/>
        <v>2021-W07</v>
      </c>
      <c r="H413" s="10">
        <f>SUM(A413:A419)</f>
        <v>3540</v>
      </c>
      <c r="I413" s="34">
        <f>H413/H406-1</f>
        <v>0.38443488463042619</v>
      </c>
      <c r="J413" s="28">
        <f t="shared" si="21"/>
        <v>0.33333333333333326</v>
      </c>
    </row>
    <row r="414" spans="1:10">
      <c r="A414" s="3">
        <v>515</v>
      </c>
      <c r="B414" t="s">
        <v>445</v>
      </c>
      <c r="C414" t="s">
        <v>8</v>
      </c>
      <c r="E414" s="3">
        <f t="shared" si="19"/>
        <v>2</v>
      </c>
      <c r="F414" s="5">
        <v>44243.625</v>
      </c>
      <c r="G414" s="19" t="str">
        <f t="shared" si="20"/>
        <v/>
      </c>
      <c r="J414" s="28">
        <f t="shared" si="21"/>
        <v>0.38440860215053774</v>
      </c>
    </row>
    <row r="415" spans="1:10">
      <c r="A415" s="3">
        <v>553</v>
      </c>
      <c r="B415" t="s">
        <v>446</v>
      </c>
      <c r="C415" t="s">
        <v>8</v>
      </c>
      <c r="E415" s="3">
        <f t="shared" si="19"/>
        <v>3</v>
      </c>
      <c r="F415" s="5">
        <v>44244.625</v>
      </c>
      <c r="G415" s="19" t="str">
        <f t="shared" si="20"/>
        <v/>
      </c>
      <c r="J415" s="28">
        <f t="shared" si="21"/>
        <v>0.44386422976501305</v>
      </c>
    </row>
    <row r="416" spans="1:10">
      <c r="A416" s="3">
        <v>611</v>
      </c>
      <c r="B416" t="s">
        <v>447</v>
      </c>
      <c r="C416" t="s">
        <v>8</v>
      </c>
      <c r="E416" s="3">
        <f t="shared" si="19"/>
        <v>4</v>
      </c>
      <c r="F416" s="5">
        <v>44245.625</v>
      </c>
      <c r="G416" s="19" t="str">
        <f t="shared" si="20"/>
        <v/>
      </c>
      <c r="J416" s="28">
        <f t="shared" si="21"/>
        <v>0.69252077562326875</v>
      </c>
    </row>
    <row r="417" spans="1:10">
      <c r="A417" s="3">
        <v>571</v>
      </c>
      <c r="B417" t="s">
        <v>448</v>
      </c>
      <c r="C417" t="s">
        <v>8</v>
      </c>
      <c r="E417" s="3">
        <f t="shared" si="19"/>
        <v>5</v>
      </c>
      <c r="F417" s="5">
        <v>44246.625</v>
      </c>
      <c r="G417" s="19" t="str">
        <f t="shared" si="20"/>
        <v/>
      </c>
      <c r="J417" s="28">
        <f t="shared" si="21"/>
        <v>0.36276849642004771</v>
      </c>
    </row>
    <row r="418" spans="1:10">
      <c r="A418" s="3">
        <v>318</v>
      </c>
      <c r="B418" t="s">
        <v>450</v>
      </c>
      <c r="C418" t="s">
        <v>8</v>
      </c>
      <c r="E418" s="3">
        <f t="shared" si="19"/>
        <v>6</v>
      </c>
      <c r="F418" s="5">
        <v>44247.625</v>
      </c>
      <c r="G418" s="19" t="str">
        <f t="shared" si="20"/>
        <v/>
      </c>
      <c r="J418" s="28">
        <f t="shared" si="21"/>
        <v>0.14388489208633093</v>
      </c>
    </row>
    <row r="419" spans="1:10">
      <c r="A419" s="3">
        <v>356</v>
      </c>
      <c r="B419" t="s">
        <v>451</v>
      </c>
      <c r="C419" t="s">
        <v>8</v>
      </c>
      <c r="E419" s="3">
        <f t="shared" si="19"/>
        <v>7</v>
      </c>
      <c r="F419" s="5">
        <v>44248.625</v>
      </c>
      <c r="G419" s="19" t="str">
        <f t="shared" si="20"/>
        <v/>
      </c>
      <c r="J419" s="28">
        <f t="shared" si="21"/>
        <v>0.26241134751773054</v>
      </c>
    </row>
    <row r="420" spans="1:10">
      <c r="A420" s="3">
        <v>623</v>
      </c>
      <c r="B420" t="s">
        <v>452</v>
      </c>
      <c r="C420" t="s">
        <v>8</v>
      </c>
      <c r="E420" s="3">
        <f t="shared" si="19"/>
        <v>1</v>
      </c>
      <c r="F420" s="5">
        <v>44249.625</v>
      </c>
      <c r="G420" s="19" t="str">
        <f t="shared" si="20"/>
        <v>2021-W08</v>
      </c>
      <c r="H420">
        <f>SUM(A420:A426)</f>
        <v>3976</v>
      </c>
      <c r="I420" s="28">
        <f>H420/H413-1</f>
        <v>0.12316384180790951</v>
      </c>
      <c r="J420" s="28">
        <f t="shared" si="21"/>
        <v>1.1363636363636465E-2</v>
      </c>
    </row>
    <row r="421" spans="1:10">
      <c r="A421" s="3">
        <v>626</v>
      </c>
      <c r="B421" t="s">
        <v>455</v>
      </c>
      <c r="C421" t="s">
        <v>8</v>
      </c>
      <c r="E421" s="3">
        <f t="shared" si="19"/>
        <v>2</v>
      </c>
      <c r="F421" s="5">
        <v>44250.625</v>
      </c>
      <c r="G421" s="19" t="str">
        <f t="shared" si="20"/>
        <v/>
      </c>
      <c r="J421" s="28">
        <f t="shared" si="21"/>
        <v>0.21553398058252426</v>
      </c>
    </row>
    <row r="422" spans="1:10">
      <c r="A422" s="3">
        <v>598</v>
      </c>
      <c r="B422" t="s">
        <v>461</v>
      </c>
      <c r="C422" t="s">
        <v>8</v>
      </c>
      <c r="E422" s="3">
        <f t="shared" si="19"/>
        <v>3</v>
      </c>
      <c r="F422" s="5">
        <v>44251.625</v>
      </c>
      <c r="G422" s="19" t="str">
        <f t="shared" si="20"/>
        <v/>
      </c>
      <c r="J422" s="28">
        <f t="shared" si="21"/>
        <v>8.1374321880651079E-2</v>
      </c>
    </row>
    <row r="423" spans="1:10">
      <c r="A423" s="3">
        <v>619</v>
      </c>
      <c r="B423" t="s">
        <v>463</v>
      </c>
      <c r="C423" t="s">
        <v>8</v>
      </c>
      <c r="E423" s="3">
        <f t="shared" si="19"/>
        <v>4</v>
      </c>
      <c r="F423" s="5">
        <v>44252.625</v>
      </c>
      <c r="G423" s="19" t="str">
        <f t="shared" si="20"/>
        <v/>
      </c>
      <c r="J423" s="28">
        <f t="shared" si="21"/>
        <v>1.3093289689034338E-2</v>
      </c>
    </row>
    <row r="424" spans="1:10">
      <c r="A424" s="3">
        <v>689</v>
      </c>
      <c r="B424" t="s">
        <v>464</v>
      </c>
      <c r="C424" t="s">
        <v>8</v>
      </c>
      <c r="E424" s="3">
        <f t="shared" si="19"/>
        <v>5</v>
      </c>
      <c r="F424" s="5">
        <v>44253.625</v>
      </c>
      <c r="G424" s="19" t="str">
        <f t="shared" si="20"/>
        <v/>
      </c>
      <c r="J424" s="28">
        <f t="shared" si="21"/>
        <v>0.20665499124343256</v>
      </c>
    </row>
    <row r="425" spans="1:10">
      <c r="A425" s="3">
        <v>401</v>
      </c>
      <c r="B425" t="s">
        <v>469</v>
      </c>
      <c r="C425" t="s">
        <v>8</v>
      </c>
      <c r="E425" s="3">
        <f t="shared" si="19"/>
        <v>6</v>
      </c>
      <c r="F425" s="5">
        <v>44254.625</v>
      </c>
      <c r="G425" s="19" t="str">
        <f t="shared" si="20"/>
        <v/>
      </c>
      <c r="J425" s="28">
        <f t="shared" si="21"/>
        <v>0.26100628930817615</v>
      </c>
    </row>
    <row r="426" spans="1:10">
      <c r="A426" s="3">
        <v>420</v>
      </c>
      <c r="B426" t="s">
        <v>470</v>
      </c>
      <c r="C426" t="s">
        <v>8</v>
      </c>
      <c r="E426" s="3">
        <f t="shared" si="19"/>
        <v>7</v>
      </c>
      <c r="F426" s="5">
        <v>44255.625</v>
      </c>
      <c r="G426" s="19" t="str">
        <f t="shared" si="20"/>
        <v/>
      </c>
      <c r="J426" s="28">
        <f t="shared" si="21"/>
        <v>0.1797752808988764</v>
      </c>
    </row>
    <row r="427" spans="1:10">
      <c r="A427" s="3">
        <v>871</v>
      </c>
      <c r="B427" t="s">
        <v>471</v>
      </c>
      <c r="C427" t="s">
        <v>8</v>
      </c>
      <c r="E427" s="3">
        <f t="shared" si="19"/>
        <v>1</v>
      </c>
      <c r="F427" s="5">
        <v>44256.625</v>
      </c>
      <c r="G427" s="19" t="str">
        <f t="shared" si="20"/>
        <v>2021-W09</v>
      </c>
      <c r="H427">
        <f>SUM(A427:A433)</f>
        <v>4459</v>
      </c>
      <c r="I427" s="28">
        <f>H427/H420-1</f>
        <v>0.12147887323943651</v>
      </c>
      <c r="J427" s="28">
        <f t="shared" si="21"/>
        <v>0.39807383627608339</v>
      </c>
    </row>
    <row r="428" spans="1:10">
      <c r="A428" s="3">
        <v>759</v>
      </c>
      <c r="B428" t="s">
        <v>472</v>
      </c>
      <c r="C428" t="s">
        <v>8</v>
      </c>
      <c r="E428" s="3">
        <f t="shared" si="19"/>
        <v>2</v>
      </c>
      <c r="F428" s="5">
        <v>44257.625</v>
      </c>
      <c r="G428" s="19" t="str">
        <f t="shared" si="20"/>
        <v/>
      </c>
      <c r="J428" s="28">
        <f t="shared" si="21"/>
        <v>0.21246006389776362</v>
      </c>
    </row>
    <row r="429" spans="1:10">
      <c r="A429" s="3">
        <v>732</v>
      </c>
      <c r="B429" t="s">
        <v>473</v>
      </c>
      <c r="C429" t="s">
        <v>8</v>
      </c>
      <c r="E429" s="3">
        <f t="shared" si="19"/>
        <v>3</v>
      </c>
      <c r="F429" s="5">
        <v>44258.625</v>
      </c>
      <c r="G429" s="19" t="str">
        <f t="shared" si="20"/>
        <v/>
      </c>
      <c r="J429" s="28">
        <f t="shared" si="21"/>
        <v>0.2240802675585285</v>
      </c>
    </row>
    <row r="430" spans="1:10">
      <c r="A430" s="3">
        <v>640</v>
      </c>
      <c r="B430" t="s">
        <v>474</v>
      </c>
      <c r="C430" t="s">
        <v>8</v>
      </c>
      <c r="E430" s="3">
        <f t="shared" si="19"/>
        <v>4</v>
      </c>
      <c r="F430" s="5">
        <v>44259.625</v>
      </c>
      <c r="G430" s="19" t="str">
        <f t="shared" si="20"/>
        <v/>
      </c>
      <c r="J430" s="28">
        <f t="shared" si="21"/>
        <v>3.3925686591276261E-2</v>
      </c>
    </row>
    <row r="431" spans="1:10">
      <c r="A431" s="3">
        <v>630</v>
      </c>
      <c r="B431" t="s">
        <v>475</v>
      </c>
      <c r="C431" t="s">
        <v>8</v>
      </c>
      <c r="E431" s="3">
        <f t="shared" si="19"/>
        <v>5</v>
      </c>
      <c r="F431" s="5">
        <v>44260.625</v>
      </c>
      <c r="G431" s="19" t="str">
        <f t="shared" si="20"/>
        <v/>
      </c>
      <c r="J431" s="28">
        <f t="shared" si="21"/>
        <v>-8.5631349782293142E-2</v>
      </c>
    </row>
    <row r="432" spans="1:10">
      <c r="A432" s="3">
        <v>431</v>
      </c>
      <c r="B432" t="s">
        <v>476</v>
      </c>
      <c r="C432" t="s">
        <v>8</v>
      </c>
      <c r="E432" s="3">
        <f t="shared" si="19"/>
        <v>6</v>
      </c>
      <c r="F432" s="5">
        <v>44261.625</v>
      </c>
      <c r="G432" s="19" t="str">
        <f t="shared" si="20"/>
        <v/>
      </c>
      <c r="J432" s="28">
        <f t="shared" si="21"/>
        <v>7.4812967581047385E-2</v>
      </c>
    </row>
    <row r="433" spans="1:10">
      <c r="A433" s="3">
        <v>396</v>
      </c>
      <c r="B433" t="s">
        <v>477</v>
      </c>
      <c r="C433" t="s">
        <v>8</v>
      </c>
      <c r="E433" s="3">
        <f t="shared" si="19"/>
        <v>7</v>
      </c>
      <c r="F433" s="5">
        <v>44262.625</v>
      </c>
      <c r="G433" s="19" t="str">
        <f t="shared" si="20"/>
        <v/>
      </c>
      <c r="J433" s="28">
        <f t="shared" si="21"/>
        <v>-5.7142857142857162E-2</v>
      </c>
    </row>
    <row r="434" spans="1:10">
      <c r="A434" s="3">
        <v>834</v>
      </c>
      <c r="B434" t="s">
        <v>478</v>
      </c>
      <c r="C434" t="s">
        <v>8</v>
      </c>
      <c r="E434" s="3">
        <f t="shared" si="19"/>
        <v>1</v>
      </c>
      <c r="F434" s="5">
        <v>44263.625</v>
      </c>
      <c r="G434" s="19" t="str">
        <f t="shared" si="20"/>
        <v>2021-W10</v>
      </c>
      <c r="H434">
        <f>SUM(A434:A440)</f>
        <v>4941</v>
      </c>
      <c r="I434" s="28">
        <f>H434/H427-1</f>
        <v>0.10809598564700607</v>
      </c>
      <c r="J434" s="28">
        <f t="shared" si="21"/>
        <v>-4.2479908151549894E-2</v>
      </c>
    </row>
    <row r="435" spans="1:10">
      <c r="A435" s="3">
        <v>774</v>
      </c>
      <c r="B435" t="s">
        <v>479</v>
      </c>
      <c r="C435" t="s">
        <v>8</v>
      </c>
      <c r="E435" s="3">
        <f t="shared" si="19"/>
        <v>2</v>
      </c>
      <c r="F435" s="5">
        <v>44264.625</v>
      </c>
      <c r="G435" s="19" t="str">
        <f t="shared" si="20"/>
        <v/>
      </c>
      <c r="J435" s="28">
        <f t="shared" si="21"/>
        <v>1.9762845849802479E-2</v>
      </c>
    </row>
    <row r="436" spans="1:10">
      <c r="A436" s="3">
        <v>822</v>
      </c>
      <c r="B436" t="s">
        <v>480</v>
      </c>
      <c r="C436" t="s">
        <v>8</v>
      </c>
      <c r="E436" s="3">
        <f t="shared" si="19"/>
        <v>3</v>
      </c>
      <c r="F436" s="5">
        <v>44265.625</v>
      </c>
      <c r="G436" s="19" t="str">
        <f t="shared" si="20"/>
        <v/>
      </c>
      <c r="J436" s="28">
        <f t="shared" si="21"/>
        <v>0.12295081967213117</v>
      </c>
    </row>
    <row r="437" spans="1:10">
      <c r="A437" s="3">
        <v>779</v>
      </c>
      <c r="B437" t="s">
        <v>481</v>
      </c>
      <c r="C437" t="s">
        <v>8</v>
      </c>
      <c r="E437" s="3">
        <f t="shared" si="19"/>
        <v>4</v>
      </c>
      <c r="F437" s="5">
        <v>44266.625</v>
      </c>
      <c r="G437" s="19" t="str">
        <f t="shared" si="20"/>
        <v/>
      </c>
      <c r="J437" s="28">
        <f t="shared" si="21"/>
        <v>0.21718750000000009</v>
      </c>
    </row>
    <row r="438" spans="1:10">
      <c r="A438" s="3">
        <v>808</v>
      </c>
      <c r="B438" t="s">
        <v>482</v>
      </c>
      <c r="C438" t="s">
        <v>8</v>
      </c>
      <c r="E438" s="3">
        <f t="shared" si="19"/>
        <v>5</v>
      </c>
      <c r="F438" s="5">
        <v>44267.625</v>
      </c>
      <c r="G438" s="19" t="str">
        <f t="shared" si="20"/>
        <v/>
      </c>
      <c r="J438" s="28">
        <f t="shared" si="21"/>
        <v>0.28253968253968265</v>
      </c>
    </row>
    <row r="439" spans="1:10">
      <c r="A439" s="3">
        <v>491</v>
      </c>
      <c r="B439" t="s">
        <v>483</v>
      </c>
      <c r="C439" t="s">
        <v>8</v>
      </c>
      <c r="E439" s="3">
        <f t="shared" si="19"/>
        <v>6</v>
      </c>
      <c r="F439" s="5">
        <v>44268.625</v>
      </c>
      <c r="G439" s="19" t="str">
        <f t="shared" si="20"/>
        <v/>
      </c>
      <c r="J439" s="28">
        <f t="shared" si="21"/>
        <v>0.13921113689095121</v>
      </c>
    </row>
    <row r="440" spans="1:10">
      <c r="A440" s="3">
        <v>433</v>
      </c>
      <c r="B440" t="s">
        <v>484</v>
      </c>
      <c r="C440" t="s">
        <v>8</v>
      </c>
      <c r="E440" s="3">
        <f t="shared" si="19"/>
        <v>7</v>
      </c>
      <c r="F440" s="5">
        <v>44269.625</v>
      </c>
      <c r="G440" s="19" t="str">
        <f t="shared" si="20"/>
        <v/>
      </c>
      <c r="J440" s="28">
        <f t="shared" si="21"/>
        <v>9.3434343434343425E-2</v>
      </c>
    </row>
    <row r="441" spans="1:10">
      <c r="A441" s="3">
        <v>892</v>
      </c>
      <c r="B441" t="s">
        <v>485</v>
      </c>
      <c r="C441" t="s">
        <v>8</v>
      </c>
      <c r="E441" s="3">
        <f t="shared" si="19"/>
        <v>1</v>
      </c>
      <c r="F441" s="5">
        <v>44270.625</v>
      </c>
      <c r="G441" s="19" t="str">
        <f t="shared" si="20"/>
        <v>2021-W11</v>
      </c>
      <c r="H441">
        <f>SUM(A441:A447)</f>
        <v>4699</v>
      </c>
      <c r="I441" s="28">
        <f>H441/H434-1</f>
        <v>-4.8977939688322203E-2</v>
      </c>
      <c r="J441" s="28">
        <f t="shared" si="21"/>
        <v>6.9544364508393297E-2</v>
      </c>
    </row>
    <row r="442" spans="1:10">
      <c r="A442" s="3">
        <v>763</v>
      </c>
      <c r="B442" t="s">
        <v>486</v>
      </c>
      <c r="C442" t="s">
        <v>8</v>
      </c>
      <c r="E442" s="3">
        <f t="shared" si="19"/>
        <v>2</v>
      </c>
      <c r="F442" s="5">
        <v>44271.625</v>
      </c>
      <c r="G442" s="19" t="str">
        <f t="shared" si="20"/>
        <v/>
      </c>
      <c r="J442" s="28">
        <f t="shared" si="21"/>
        <v>-1.4211886304909549E-2</v>
      </c>
    </row>
    <row r="443" spans="1:10">
      <c r="A443" s="3">
        <v>743</v>
      </c>
      <c r="B443" t="s">
        <v>487</v>
      </c>
      <c r="C443" t="s">
        <v>8</v>
      </c>
      <c r="E443" s="3">
        <f t="shared" si="19"/>
        <v>3</v>
      </c>
      <c r="F443" s="5">
        <v>44272.625</v>
      </c>
      <c r="G443" s="19" t="str">
        <f t="shared" si="20"/>
        <v/>
      </c>
      <c r="J443" s="28">
        <f t="shared" si="21"/>
        <v>-9.6107055961070609E-2</v>
      </c>
    </row>
    <row r="444" spans="1:10">
      <c r="A444" s="3">
        <v>736</v>
      </c>
      <c r="B444" t="s">
        <v>488</v>
      </c>
      <c r="C444" t="s">
        <v>8</v>
      </c>
      <c r="E444" s="3">
        <f t="shared" si="19"/>
        <v>4</v>
      </c>
      <c r="F444" s="5">
        <v>44273.625</v>
      </c>
      <c r="G444" s="19" t="str">
        <f t="shared" si="20"/>
        <v/>
      </c>
      <c r="J444" s="28">
        <f t="shared" si="21"/>
        <v>-5.5198973042361987E-2</v>
      </c>
    </row>
    <row r="445" spans="1:10">
      <c r="A445" s="3">
        <v>744</v>
      </c>
      <c r="B445" t="s">
        <v>489</v>
      </c>
      <c r="C445" t="s">
        <v>8</v>
      </c>
      <c r="E445" s="3">
        <f t="shared" si="19"/>
        <v>5</v>
      </c>
      <c r="F445" s="5">
        <v>44274.625</v>
      </c>
      <c r="G445" s="19" t="str">
        <f t="shared" si="20"/>
        <v/>
      </c>
      <c r="J445" s="28">
        <f t="shared" si="21"/>
        <v>-7.9207920792079167E-2</v>
      </c>
    </row>
    <row r="446" spans="1:10">
      <c r="A446" s="3">
        <v>404</v>
      </c>
      <c r="B446" t="s">
        <v>490</v>
      </c>
      <c r="C446" t="s">
        <v>8</v>
      </c>
      <c r="E446" s="3">
        <f t="shared" si="19"/>
        <v>6</v>
      </c>
      <c r="F446" s="5">
        <v>44275.625</v>
      </c>
      <c r="G446" s="19" t="str">
        <f t="shared" si="20"/>
        <v/>
      </c>
      <c r="J446" s="28">
        <f t="shared" si="21"/>
        <v>-0.17718940936863548</v>
      </c>
    </row>
    <row r="447" spans="1:10">
      <c r="A447" s="3">
        <v>417</v>
      </c>
      <c r="B447" t="s">
        <v>491</v>
      </c>
      <c r="C447" t="s">
        <v>8</v>
      </c>
      <c r="E447" s="3">
        <f t="shared" ref="E447:E510" si="22">WEEKDAY(F447,2)</f>
        <v>7</v>
      </c>
      <c r="F447" s="5">
        <v>44276.625</v>
      </c>
      <c r="G447" s="19" t="str">
        <f t="shared" si="20"/>
        <v/>
      </c>
      <c r="J447" s="28">
        <f t="shared" si="21"/>
        <v>-3.6951501154734445E-2</v>
      </c>
    </row>
    <row r="448" spans="1:10">
      <c r="A448" s="3">
        <v>768</v>
      </c>
      <c r="B448" t="s">
        <v>492</v>
      </c>
      <c r="C448" t="s">
        <v>8</v>
      </c>
      <c r="E448" s="3">
        <f t="shared" si="22"/>
        <v>1</v>
      </c>
      <c r="F448" s="5">
        <v>44277.625</v>
      </c>
      <c r="G448" s="19" t="str">
        <f t="shared" si="20"/>
        <v>2021-W12</v>
      </c>
      <c r="H448">
        <f>SUM(A448:A454)</f>
        <v>4181</v>
      </c>
      <c r="I448" s="28">
        <f>H448/H441-1</f>
        <v>-0.11023622047244097</v>
      </c>
      <c r="J448" s="28">
        <f t="shared" si="21"/>
        <v>-0.13901345291479816</v>
      </c>
    </row>
    <row r="449" spans="1:10">
      <c r="A449" s="3">
        <v>703</v>
      </c>
      <c r="B449" t="s">
        <v>493</v>
      </c>
      <c r="C449" t="s">
        <v>8</v>
      </c>
      <c r="E449" s="3">
        <f t="shared" si="22"/>
        <v>2</v>
      </c>
      <c r="F449" s="5">
        <v>44278.625</v>
      </c>
      <c r="G449" s="19" t="str">
        <f t="shared" si="20"/>
        <v/>
      </c>
      <c r="J449" s="28">
        <f t="shared" si="21"/>
        <v>-7.8636959370904314E-2</v>
      </c>
    </row>
    <row r="450" spans="1:10">
      <c r="A450" s="3">
        <v>694</v>
      </c>
      <c r="B450" t="s">
        <v>494</v>
      </c>
      <c r="C450" t="s">
        <v>8</v>
      </c>
      <c r="E450" s="3">
        <f t="shared" si="22"/>
        <v>3</v>
      </c>
      <c r="F450" s="5">
        <v>44279.625</v>
      </c>
      <c r="G450" s="19" t="str">
        <f t="shared" si="20"/>
        <v/>
      </c>
      <c r="J450" s="28">
        <f t="shared" si="21"/>
        <v>-6.5948855989232835E-2</v>
      </c>
    </row>
    <row r="451" spans="1:10">
      <c r="A451" s="3">
        <v>607</v>
      </c>
      <c r="B451" t="s">
        <v>495</v>
      </c>
      <c r="C451" t="s">
        <v>8</v>
      </c>
      <c r="E451" s="3">
        <f t="shared" si="22"/>
        <v>4</v>
      </c>
      <c r="F451" s="5">
        <v>44280.625</v>
      </c>
      <c r="G451" s="19" t="str">
        <f t="shared" ref="G451:G514" si="23">IF(WEEKDAY(F451,2)=1,YEAR(F451)&amp;"-W"&amp;TEXT(WEEKNUM(F451,14),"00"),"")</f>
        <v/>
      </c>
      <c r="J451" s="28">
        <f t="shared" si="21"/>
        <v>-0.17527173913043481</v>
      </c>
    </row>
    <row r="452" spans="1:10">
      <c r="A452" s="3">
        <v>688</v>
      </c>
      <c r="B452" t="s">
        <v>496</v>
      </c>
      <c r="C452" t="s">
        <v>8</v>
      </c>
      <c r="E452" s="3">
        <f t="shared" si="22"/>
        <v>5</v>
      </c>
      <c r="F452" s="5">
        <v>44281.625</v>
      </c>
      <c r="G452" s="19" t="str">
        <f t="shared" si="23"/>
        <v/>
      </c>
      <c r="J452" s="28">
        <f t="shared" si="21"/>
        <v>-7.5268817204301119E-2</v>
      </c>
    </row>
    <row r="453" spans="1:10">
      <c r="A453" s="3">
        <v>351</v>
      </c>
      <c r="B453" t="s">
        <v>497</v>
      </c>
      <c r="C453" t="s">
        <v>8</v>
      </c>
      <c r="E453" s="3">
        <f t="shared" si="22"/>
        <v>6</v>
      </c>
      <c r="F453" s="5">
        <v>44282.625</v>
      </c>
      <c r="G453" s="19" t="str">
        <f t="shared" si="23"/>
        <v/>
      </c>
      <c r="J453" s="28">
        <f t="shared" si="21"/>
        <v>-0.13118811881188119</v>
      </c>
    </row>
    <row r="454" spans="1:10">
      <c r="A454" s="3">
        <v>370</v>
      </c>
      <c r="B454" t="s">
        <v>498</v>
      </c>
      <c r="C454" t="s">
        <v>8</v>
      </c>
      <c r="E454" s="3">
        <f t="shared" si="22"/>
        <v>7</v>
      </c>
      <c r="F454" s="5">
        <v>44283.625</v>
      </c>
      <c r="G454" s="19" t="str">
        <f t="shared" si="23"/>
        <v/>
      </c>
      <c r="J454" s="28">
        <f t="shared" si="21"/>
        <v>-0.11270983213429253</v>
      </c>
    </row>
    <row r="455" spans="1:10">
      <c r="A455" s="3">
        <v>653</v>
      </c>
      <c r="B455" t="s">
        <v>499</v>
      </c>
      <c r="C455" t="s">
        <v>8</v>
      </c>
      <c r="E455" s="3">
        <f t="shared" si="22"/>
        <v>1</v>
      </c>
      <c r="F455" s="5">
        <v>44284.625</v>
      </c>
      <c r="G455" s="19" t="str">
        <f t="shared" si="23"/>
        <v>2021-W13</v>
      </c>
      <c r="H455">
        <f>SUM(A455:A461)</f>
        <v>3260</v>
      </c>
      <c r="I455" s="28">
        <f>H455/H448-1</f>
        <v>-0.22028222913178663</v>
      </c>
      <c r="J455" s="28">
        <f t="shared" si="21"/>
        <v>-0.14973958333333337</v>
      </c>
    </row>
    <row r="456" spans="1:10">
      <c r="A456" s="3">
        <v>570</v>
      </c>
      <c r="B456" t="s">
        <v>500</v>
      </c>
      <c r="C456" t="s">
        <v>8</v>
      </c>
      <c r="E456" s="3">
        <f t="shared" si="22"/>
        <v>2</v>
      </c>
      <c r="F456" s="5">
        <v>44285.625</v>
      </c>
      <c r="G456" s="19" t="str">
        <f t="shared" si="23"/>
        <v/>
      </c>
      <c r="J456" s="28">
        <f t="shared" si="21"/>
        <v>-0.18918918918918914</v>
      </c>
    </row>
    <row r="457" spans="1:10">
      <c r="A457" s="3">
        <v>550</v>
      </c>
      <c r="B457" t="s">
        <v>501</v>
      </c>
      <c r="C457" t="s">
        <v>8</v>
      </c>
      <c r="E457" s="3">
        <f t="shared" si="22"/>
        <v>3</v>
      </c>
      <c r="F457" s="5">
        <v>44286.625</v>
      </c>
      <c r="G457" s="19" t="str">
        <f t="shared" si="23"/>
        <v/>
      </c>
      <c r="J457" s="28">
        <f t="shared" ref="J457:J520" si="24">A457/A450-1</f>
        <v>-0.20749279538904897</v>
      </c>
    </row>
    <row r="458" spans="1:10">
      <c r="A458" s="3">
        <v>487</v>
      </c>
      <c r="B458" t="s">
        <v>502</v>
      </c>
      <c r="C458" t="s">
        <v>8</v>
      </c>
      <c r="E458" s="3">
        <f t="shared" si="22"/>
        <v>4</v>
      </c>
      <c r="F458" s="5">
        <v>44287.625</v>
      </c>
      <c r="G458" s="19" t="str">
        <f t="shared" si="23"/>
        <v/>
      </c>
      <c r="J458" s="28">
        <f t="shared" si="24"/>
        <v>-0.19769357495881379</v>
      </c>
    </row>
    <row r="459" spans="1:10">
      <c r="A459" s="3">
        <v>361</v>
      </c>
      <c r="B459" t="s">
        <v>503</v>
      </c>
      <c r="C459" t="s">
        <v>8</v>
      </c>
      <c r="E459" s="3">
        <f t="shared" si="22"/>
        <v>5</v>
      </c>
      <c r="F459" s="5">
        <v>44288.625</v>
      </c>
      <c r="G459" s="19" t="str">
        <f t="shared" si="23"/>
        <v/>
      </c>
      <c r="J459" s="28">
        <f t="shared" si="24"/>
        <v>-0.47529069767441856</v>
      </c>
    </row>
    <row r="460" spans="1:10">
      <c r="A460" s="3">
        <v>319</v>
      </c>
      <c r="B460" t="s">
        <v>504</v>
      </c>
      <c r="C460" t="s">
        <v>8</v>
      </c>
      <c r="E460" s="3">
        <f t="shared" si="22"/>
        <v>6</v>
      </c>
      <c r="F460" s="5">
        <v>44289.625</v>
      </c>
      <c r="G460" s="19" t="str">
        <f t="shared" si="23"/>
        <v/>
      </c>
      <c r="J460" s="28">
        <f t="shared" si="24"/>
        <v>-9.1168091168091214E-2</v>
      </c>
    </row>
    <row r="461" spans="1:10">
      <c r="A461" s="3">
        <v>320</v>
      </c>
      <c r="B461" t="s">
        <v>505</v>
      </c>
      <c r="C461" t="s">
        <v>8</v>
      </c>
      <c r="E461" s="3">
        <f t="shared" si="22"/>
        <v>7</v>
      </c>
      <c r="F461" s="5">
        <v>44290.625</v>
      </c>
      <c r="G461" s="19" t="str">
        <f t="shared" si="23"/>
        <v/>
      </c>
      <c r="J461" s="28">
        <f t="shared" si="24"/>
        <v>-0.13513513513513509</v>
      </c>
    </row>
    <row r="462" spans="1:10">
      <c r="A462" s="3">
        <v>359</v>
      </c>
      <c r="B462" t="s">
        <v>506</v>
      </c>
      <c r="C462" t="s">
        <v>8</v>
      </c>
      <c r="E462" s="3">
        <f t="shared" si="22"/>
        <v>1</v>
      </c>
      <c r="F462" s="5">
        <v>44291.625</v>
      </c>
      <c r="G462" s="19" t="str">
        <f t="shared" si="23"/>
        <v>2021-W14</v>
      </c>
      <c r="H462">
        <f>SUM(A462:A468)</f>
        <v>2542</v>
      </c>
      <c r="I462" s="28">
        <f>H462/H455-1</f>
        <v>-0.22024539877300608</v>
      </c>
      <c r="J462" s="28">
        <f t="shared" si="24"/>
        <v>-0.45022970903522208</v>
      </c>
    </row>
    <row r="463" spans="1:10">
      <c r="A463" s="3">
        <v>544</v>
      </c>
      <c r="B463" t="s">
        <v>507</v>
      </c>
      <c r="C463" t="s">
        <v>8</v>
      </c>
      <c r="E463" s="3">
        <f t="shared" si="22"/>
        <v>2</v>
      </c>
      <c r="F463" s="5">
        <v>44292.625</v>
      </c>
      <c r="G463" s="19" t="str">
        <f t="shared" si="23"/>
        <v/>
      </c>
      <c r="J463" s="28">
        <f t="shared" si="24"/>
        <v>-4.5614035087719329E-2</v>
      </c>
    </row>
    <row r="464" spans="1:10">
      <c r="A464" s="3">
        <v>425</v>
      </c>
      <c r="B464" t="s">
        <v>508</v>
      </c>
      <c r="C464" t="s">
        <v>8</v>
      </c>
      <c r="E464" s="3">
        <f t="shared" si="22"/>
        <v>3</v>
      </c>
      <c r="F464" s="5">
        <v>44293.625</v>
      </c>
      <c r="G464" s="19" t="str">
        <f t="shared" si="23"/>
        <v/>
      </c>
      <c r="J464" s="28">
        <f t="shared" si="24"/>
        <v>-0.22727272727272729</v>
      </c>
    </row>
    <row r="465" spans="1:10">
      <c r="A465" s="3">
        <v>403</v>
      </c>
      <c r="B465" t="s">
        <v>509</v>
      </c>
      <c r="C465" t="s">
        <v>8</v>
      </c>
      <c r="E465" s="3">
        <f t="shared" si="22"/>
        <v>4</v>
      </c>
      <c r="F465" s="5">
        <v>44294.625</v>
      </c>
      <c r="G465" s="19" t="str">
        <f t="shared" si="23"/>
        <v/>
      </c>
      <c r="J465" s="28">
        <f t="shared" si="24"/>
        <v>-0.17248459958932238</v>
      </c>
    </row>
    <row r="466" spans="1:10">
      <c r="A466" s="3">
        <v>348</v>
      </c>
      <c r="B466" t="s">
        <v>510</v>
      </c>
      <c r="C466" t="s">
        <v>8</v>
      </c>
      <c r="E466" s="3">
        <f t="shared" si="22"/>
        <v>5</v>
      </c>
      <c r="F466" s="5">
        <v>44295.625</v>
      </c>
      <c r="G466" s="19" t="str">
        <f t="shared" si="23"/>
        <v/>
      </c>
      <c r="J466" s="28">
        <f t="shared" si="24"/>
        <v>-3.6011080332409962E-2</v>
      </c>
    </row>
    <row r="467" spans="1:10">
      <c r="A467" s="3">
        <v>225</v>
      </c>
      <c r="B467" t="s">
        <v>511</v>
      </c>
      <c r="C467" t="s">
        <v>8</v>
      </c>
      <c r="E467" s="3">
        <f t="shared" si="22"/>
        <v>6</v>
      </c>
      <c r="F467" s="5">
        <v>44296.625</v>
      </c>
      <c r="G467" s="19" t="str">
        <f t="shared" si="23"/>
        <v/>
      </c>
      <c r="J467" s="28">
        <f t="shared" si="24"/>
        <v>-0.29467084639498431</v>
      </c>
    </row>
    <row r="468" spans="1:10">
      <c r="A468" s="3">
        <v>238</v>
      </c>
      <c r="B468" t="s">
        <v>512</v>
      </c>
      <c r="C468" t="s">
        <v>8</v>
      </c>
      <c r="E468" s="3">
        <f t="shared" si="22"/>
        <v>7</v>
      </c>
      <c r="F468" s="5">
        <v>44297.625</v>
      </c>
      <c r="G468" s="19" t="str">
        <f t="shared" si="23"/>
        <v/>
      </c>
      <c r="J468" s="28">
        <f t="shared" si="24"/>
        <v>-0.25624999999999998</v>
      </c>
    </row>
    <row r="469" spans="1:10">
      <c r="A469" s="3">
        <v>396</v>
      </c>
      <c r="B469" t="s">
        <v>513</v>
      </c>
      <c r="C469" t="s">
        <v>8</v>
      </c>
      <c r="E469" s="3">
        <f t="shared" si="22"/>
        <v>1</v>
      </c>
      <c r="F469" s="5">
        <v>44298.625</v>
      </c>
      <c r="G469" s="19" t="str">
        <f t="shared" si="23"/>
        <v>2021-W15</v>
      </c>
      <c r="H469">
        <f>SUM(A469:A475)</f>
        <v>1930</v>
      </c>
      <c r="I469" s="28">
        <f>H469/H462-1</f>
        <v>-0.24075531077891421</v>
      </c>
      <c r="J469" s="28">
        <f t="shared" si="24"/>
        <v>0.10306406685236769</v>
      </c>
    </row>
    <row r="470" spans="1:10">
      <c r="A470" s="3">
        <v>325</v>
      </c>
      <c r="B470" t="s">
        <v>514</v>
      </c>
      <c r="C470" t="s">
        <v>8</v>
      </c>
      <c r="E470" s="3">
        <f t="shared" si="22"/>
        <v>2</v>
      </c>
      <c r="F470" s="5">
        <v>44299.625</v>
      </c>
      <c r="G470" s="19" t="str">
        <f t="shared" si="23"/>
        <v/>
      </c>
      <c r="J470" s="28">
        <f t="shared" si="24"/>
        <v>-0.40257352941176472</v>
      </c>
    </row>
    <row r="471" spans="1:10">
      <c r="A471" s="3">
        <v>345</v>
      </c>
      <c r="B471" t="s">
        <v>515</v>
      </c>
      <c r="C471" t="s">
        <v>8</v>
      </c>
      <c r="E471" s="3">
        <f t="shared" si="22"/>
        <v>3</v>
      </c>
      <c r="F471" s="5">
        <v>44300.625</v>
      </c>
      <c r="G471" s="19" t="str">
        <f t="shared" si="23"/>
        <v/>
      </c>
      <c r="J471" s="28">
        <f t="shared" si="24"/>
        <v>-0.18823529411764706</v>
      </c>
    </row>
    <row r="472" spans="1:10">
      <c r="A472" s="3">
        <v>275</v>
      </c>
      <c r="B472" t="s">
        <v>516</v>
      </c>
      <c r="C472" t="s">
        <v>8</v>
      </c>
      <c r="E472" s="3">
        <f t="shared" si="22"/>
        <v>4</v>
      </c>
      <c r="F472" s="5">
        <v>44301.625</v>
      </c>
      <c r="G472" s="19" t="str">
        <f t="shared" si="23"/>
        <v/>
      </c>
      <c r="J472" s="28">
        <f t="shared" si="24"/>
        <v>-0.31761786600496278</v>
      </c>
    </row>
    <row r="473" spans="1:10">
      <c r="A473" s="3">
        <v>264</v>
      </c>
      <c r="B473" t="s">
        <v>517</v>
      </c>
      <c r="C473" t="s">
        <v>8</v>
      </c>
      <c r="E473" s="3">
        <f t="shared" si="22"/>
        <v>5</v>
      </c>
      <c r="F473" s="5">
        <v>44302.625</v>
      </c>
      <c r="G473" s="19" t="str">
        <f t="shared" si="23"/>
        <v/>
      </c>
      <c r="J473" s="28">
        <f t="shared" si="24"/>
        <v>-0.24137931034482762</v>
      </c>
    </row>
    <row r="474" spans="1:10">
      <c r="A474" s="3">
        <v>170</v>
      </c>
      <c r="B474" t="s">
        <v>518</v>
      </c>
      <c r="C474" t="s">
        <v>8</v>
      </c>
      <c r="E474" s="3">
        <f t="shared" si="22"/>
        <v>6</v>
      </c>
      <c r="F474" s="5">
        <v>44303.625</v>
      </c>
      <c r="G474" s="19" t="str">
        <f t="shared" si="23"/>
        <v/>
      </c>
      <c r="J474" s="28">
        <f t="shared" si="24"/>
        <v>-0.24444444444444446</v>
      </c>
    </row>
    <row r="475" spans="1:10">
      <c r="A475" s="3">
        <v>155</v>
      </c>
      <c r="B475" t="s">
        <v>519</v>
      </c>
      <c r="C475" t="s">
        <v>8</v>
      </c>
      <c r="E475" s="3">
        <f t="shared" si="22"/>
        <v>7</v>
      </c>
      <c r="F475" s="5">
        <v>44304.625</v>
      </c>
      <c r="G475" s="19" t="str">
        <f t="shared" si="23"/>
        <v/>
      </c>
      <c r="J475" s="28">
        <f t="shared" si="24"/>
        <v>-0.34873949579831931</v>
      </c>
    </row>
    <row r="476" spans="1:10">
      <c r="A476" s="3">
        <v>284</v>
      </c>
      <c r="B476" t="s">
        <v>520</v>
      </c>
      <c r="C476" t="s">
        <v>8</v>
      </c>
      <c r="E476" s="3">
        <f t="shared" si="22"/>
        <v>1</v>
      </c>
      <c r="F476" s="5">
        <v>44305.625</v>
      </c>
      <c r="G476" s="19" t="str">
        <f t="shared" si="23"/>
        <v>2021-W16</v>
      </c>
      <c r="H476">
        <f>SUM(A476:A482)</f>
        <v>1621</v>
      </c>
      <c r="I476" s="28">
        <f>H476/H469-1</f>
        <v>-0.16010362694300517</v>
      </c>
      <c r="J476" s="28">
        <f t="shared" si="24"/>
        <v>-0.28282828282828287</v>
      </c>
    </row>
    <row r="477" spans="1:10">
      <c r="A477" s="3">
        <v>285</v>
      </c>
      <c r="B477" t="s">
        <v>521</v>
      </c>
      <c r="C477" t="s">
        <v>8</v>
      </c>
      <c r="E477" s="3">
        <f t="shared" si="22"/>
        <v>2</v>
      </c>
      <c r="F477" s="5">
        <v>44306.625</v>
      </c>
      <c r="G477" s="19" t="str">
        <f t="shared" si="23"/>
        <v/>
      </c>
      <c r="J477" s="28">
        <f t="shared" si="24"/>
        <v>-0.12307692307692308</v>
      </c>
    </row>
    <row r="478" spans="1:10">
      <c r="A478" s="3">
        <v>240</v>
      </c>
      <c r="B478" t="s">
        <v>522</v>
      </c>
      <c r="C478" t="s">
        <v>8</v>
      </c>
      <c r="E478" s="3">
        <f t="shared" si="22"/>
        <v>3</v>
      </c>
      <c r="F478" s="5">
        <v>44307.625</v>
      </c>
      <c r="G478" s="19" t="str">
        <f t="shared" si="23"/>
        <v/>
      </c>
      <c r="J478" s="28">
        <f t="shared" si="24"/>
        <v>-0.30434782608695654</v>
      </c>
    </row>
    <row r="479" spans="1:10">
      <c r="A479" s="3">
        <v>260</v>
      </c>
      <c r="B479" t="s">
        <v>525</v>
      </c>
      <c r="C479" t="s">
        <v>8</v>
      </c>
      <c r="E479" s="3">
        <f t="shared" si="22"/>
        <v>4</v>
      </c>
      <c r="F479" s="5">
        <v>44308.625</v>
      </c>
      <c r="G479" s="19" t="str">
        <f t="shared" si="23"/>
        <v/>
      </c>
      <c r="J479" s="28">
        <f t="shared" si="24"/>
        <v>-5.4545454545454564E-2</v>
      </c>
    </row>
    <row r="480" spans="1:10">
      <c r="A480" s="3">
        <v>257</v>
      </c>
      <c r="B480" t="s">
        <v>526</v>
      </c>
      <c r="C480" t="s">
        <v>8</v>
      </c>
      <c r="E480" s="3">
        <f t="shared" si="22"/>
        <v>5</v>
      </c>
      <c r="F480" s="5">
        <v>44309.625</v>
      </c>
      <c r="G480" s="19" t="str">
        <f t="shared" si="23"/>
        <v/>
      </c>
      <c r="J480" s="28">
        <f t="shared" si="24"/>
        <v>-2.6515151515151492E-2</v>
      </c>
    </row>
    <row r="481" spans="1:10">
      <c r="A481" s="3">
        <v>153</v>
      </c>
      <c r="B481" t="s">
        <v>527</v>
      </c>
      <c r="C481" t="s">
        <v>8</v>
      </c>
      <c r="E481" s="3">
        <f t="shared" si="22"/>
        <v>6</v>
      </c>
      <c r="F481" s="5">
        <v>44310.625</v>
      </c>
      <c r="G481" s="19" t="str">
        <f t="shared" si="23"/>
        <v/>
      </c>
      <c r="J481" s="28">
        <f t="shared" si="24"/>
        <v>-9.9999999999999978E-2</v>
      </c>
    </row>
    <row r="482" spans="1:10">
      <c r="A482" s="3">
        <v>142</v>
      </c>
      <c r="B482" t="s">
        <v>528</v>
      </c>
      <c r="C482" t="s">
        <v>8</v>
      </c>
      <c r="E482" s="3">
        <f t="shared" si="22"/>
        <v>7</v>
      </c>
      <c r="F482" s="5">
        <v>44311.625</v>
      </c>
      <c r="G482" s="19" t="str">
        <f t="shared" si="23"/>
        <v/>
      </c>
      <c r="J482" s="28">
        <f t="shared" si="24"/>
        <v>-8.3870967741935476E-2</v>
      </c>
    </row>
    <row r="483" spans="1:10">
      <c r="A483" s="3">
        <v>241</v>
      </c>
      <c r="B483" t="s">
        <v>529</v>
      </c>
      <c r="C483" t="s">
        <v>8</v>
      </c>
      <c r="E483" s="3">
        <f t="shared" si="22"/>
        <v>1</v>
      </c>
      <c r="F483" s="5">
        <v>44312.625</v>
      </c>
      <c r="G483" s="19" t="str">
        <f t="shared" si="23"/>
        <v>2021-W17</v>
      </c>
      <c r="H483">
        <f>SUM(A483:A489)</f>
        <v>1310</v>
      </c>
      <c r="I483" s="28">
        <f>H483/H476-1</f>
        <v>-0.19185687847008015</v>
      </c>
      <c r="J483" s="28">
        <f t="shared" si="24"/>
        <v>-0.15140845070422537</v>
      </c>
    </row>
    <row r="484" spans="1:10">
      <c r="A484" s="3">
        <v>229</v>
      </c>
      <c r="B484" t="s">
        <v>530</v>
      </c>
      <c r="C484" t="s">
        <v>8</v>
      </c>
      <c r="E484" s="3">
        <f t="shared" si="22"/>
        <v>2</v>
      </c>
      <c r="F484" s="5">
        <v>44313.625</v>
      </c>
      <c r="G484" s="19" t="str">
        <f t="shared" si="23"/>
        <v/>
      </c>
      <c r="J484" s="28">
        <f t="shared" si="24"/>
        <v>-0.19649122807017538</v>
      </c>
    </row>
    <row r="485" spans="1:10">
      <c r="A485" s="3">
        <v>275</v>
      </c>
      <c r="B485" t="s">
        <v>531</v>
      </c>
      <c r="C485" t="s">
        <v>8</v>
      </c>
      <c r="E485" s="3">
        <f t="shared" si="22"/>
        <v>3</v>
      </c>
      <c r="F485" s="5">
        <v>44314.625</v>
      </c>
      <c r="G485" s="19" t="str">
        <f t="shared" si="23"/>
        <v/>
      </c>
      <c r="J485" s="28">
        <f t="shared" si="24"/>
        <v>0.14583333333333326</v>
      </c>
    </row>
    <row r="486" spans="1:10">
      <c r="A486" s="3">
        <v>184</v>
      </c>
      <c r="B486" t="s">
        <v>532</v>
      </c>
      <c r="C486" t="s">
        <v>8</v>
      </c>
      <c r="E486" s="3">
        <f t="shared" si="22"/>
        <v>4</v>
      </c>
      <c r="F486" s="5">
        <v>44315.625</v>
      </c>
      <c r="G486" s="19" t="str">
        <f t="shared" si="23"/>
        <v/>
      </c>
      <c r="J486" s="28">
        <f t="shared" si="24"/>
        <v>-0.29230769230769227</v>
      </c>
    </row>
    <row r="487" spans="1:10">
      <c r="A487" s="3">
        <v>183</v>
      </c>
      <c r="B487" t="s">
        <v>533</v>
      </c>
      <c r="C487" t="s">
        <v>8</v>
      </c>
      <c r="E487" s="3">
        <f t="shared" si="22"/>
        <v>5</v>
      </c>
      <c r="F487" s="5">
        <v>44316.625</v>
      </c>
      <c r="G487" s="19" t="str">
        <f t="shared" si="23"/>
        <v/>
      </c>
      <c r="J487" s="28">
        <f t="shared" si="24"/>
        <v>-0.28793774319066145</v>
      </c>
    </row>
    <row r="488" spans="1:10">
      <c r="A488" s="3">
        <v>96</v>
      </c>
      <c r="B488" t="s">
        <v>534</v>
      </c>
      <c r="C488" t="s">
        <v>8</v>
      </c>
      <c r="E488" s="3">
        <f t="shared" si="22"/>
        <v>6</v>
      </c>
      <c r="F488" s="5">
        <v>44317.625</v>
      </c>
      <c r="G488" s="19" t="str">
        <f t="shared" si="23"/>
        <v/>
      </c>
      <c r="J488" s="28">
        <f t="shared" si="24"/>
        <v>-0.37254901960784315</v>
      </c>
    </row>
    <row r="489" spans="1:10">
      <c r="A489" s="3">
        <v>102</v>
      </c>
      <c r="B489" t="s">
        <v>535</v>
      </c>
      <c r="C489" t="s">
        <v>8</v>
      </c>
      <c r="E489" s="3">
        <f t="shared" si="22"/>
        <v>7</v>
      </c>
      <c r="F489" s="5">
        <v>44318.625</v>
      </c>
      <c r="G489" s="19" t="str">
        <f t="shared" si="23"/>
        <v/>
      </c>
      <c r="J489" s="28">
        <f t="shared" si="24"/>
        <v>-0.28169014084507038</v>
      </c>
    </row>
    <row r="490" spans="1:10">
      <c r="A490" s="3">
        <v>108</v>
      </c>
      <c r="B490" t="s">
        <v>536</v>
      </c>
      <c r="C490" t="s">
        <v>8</v>
      </c>
      <c r="E490" s="3">
        <f t="shared" si="22"/>
        <v>1</v>
      </c>
      <c r="F490" s="5">
        <v>44319.625</v>
      </c>
      <c r="G490" s="19" t="str">
        <f t="shared" si="23"/>
        <v>2021-W18</v>
      </c>
      <c r="H490">
        <f>SUM(A490:A496)</f>
        <v>108</v>
      </c>
      <c r="I490" s="28">
        <f>H490/H483-1</f>
        <v>-0.91755725190839699</v>
      </c>
      <c r="J490" s="28">
        <f t="shared" si="24"/>
        <v>-0.55186721991701249</v>
      </c>
    </row>
    <row r="491" spans="1:10">
      <c r="A491" s="3">
        <v>0</v>
      </c>
      <c r="B491" t="s">
        <v>537</v>
      </c>
      <c r="C491" t="s">
        <v>8</v>
      </c>
      <c r="E491" s="3">
        <f t="shared" si="22"/>
        <v>2</v>
      </c>
      <c r="F491" s="5">
        <v>44320.362951388888</v>
      </c>
      <c r="G491" s="19" t="str">
        <f t="shared" si="23"/>
        <v/>
      </c>
      <c r="J491" s="28">
        <f t="shared" si="24"/>
        <v>-1</v>
      </c>
    </row>
    <row r="492" spans="1:10">
      <c r="E492" s="3">
        <f t="shared" si="22"/>
        <v>6</v>
      </c>
      <c r="G492" s="19" t="str">
        <f t="shared" si="23"/>
        <v/>
      </c>
      <c r="J492" s="28">
        <f t="shared" si="24"/>
        <v>-1</v>
      </c>
    </row>
    <row r="493" spans="1:10">
      <c r="E493" s="3">
        <f t="shared" si="22"/>
        <v>6</v>
      </c>
      <c r="G493" s="19" t="str">
        <f t="shared" si="23"/>
        <v/>
      </c>
      <c r="J493" s="28">
        <f t="shared" si="24"/>
        <v>-1</v>
      </c>
    </row>
    <row r="494" spans="1:10">
      <c r="E494" s="3">
        <f t="shared" si="22"/>
        <v>6</v>
      </c>
      <c r="G494" s="19" t="str">
        <f t="shared" si="23"/>
        <v/>
      </c>
      <c r="J494" s="28">
        <f t="shared" si="24"/>
        <v>-1</v>
      </c>
    </row>
    <row r="495" spans="1:10">
      <c r="E495" s="3">
        <f t="shared" si="22"/>
        <v>6</v>
      </c>
      <c r="G495" s="19" t="str">
        <f t="shared" si="23"/>
        <v/>
      </c>
      <c r="J495" s="28">
        <f t="shared" si="24"/>
        <v>-1</v>
      </c>
    </row>
    <row r="496" spans="1:10">
      <c r="E496" s="3">
        <f t="shared" si="22"/>
        <v>6</v>
      </c>
      <c r="G496" s="19" t="str">
        <f t="shared" si="23"/>
        <v/>
      </c>
      <c r="J496" s="28">
        <f t="shared" si="24"/>
        <v>-1</v>
      </c>
    </row>
    <row r="497" spans="5:10">
      <c r="E497" s="3">
        <f t="shared" si="22"/>
        <v>6</v>
      </c>
      <c r="G497" s="19" t="str">
        <f t="shared" si="23"/>
        <v/>
      </c>
      <c r="H497">
        <f>SUM(A497:A503)</f>
        <v>0</v>
      </c>
      <c r="I497" s="28">
        <f>H497/H490-1</f>
        <v>-1</v>
      </c>
      <c r="J497" s="28">
        <f t="shared" si="24"/>
        <v>-1</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66675</xdr:rowOff>
                  </from>
                  <to>
                    <xdr:col>1</xdr:col>
                    <xdr:colOff>1362075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109" activePane="bottomLeft" state="frozen"/>
      <selection pane="bottomLeft" activeCell="A123" sqref="A123"/>
    </sheetView>
  </sheetViews>
  <sheetFormatPr defaultRowHeight="15"/>
  <cols>
    <col min="1" max="1" width="8.8554687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2.140625" customWidth="1"/>
    <col min="11" max="11" width="14" bestFit="1" customWidth="1"/>
    <col min="13" max="13" width="14.140625" bestFit="1" customWidth="1"/>
  </cols>
  <sheetData>
    <row r="1" spans="1:14" s="7" customFormat="1" ht="39.950000000000003" customHeight="1">
      <c r="A1" s="31" t="s">
        <v>290</v>
      </c>
      <c r="B1" s="1" t="s">
        <v>1</v>
      </c>
      <c r="C1" s="1" t="s">
        <v>9</v>
      </c>
      <c r="D1" s="1" t="s">
        <v>291</v>
      </c>
      <c r="E1" s="1" t="s">
        <v>299</v>
      </c>
      <c r="F1" s="6" t="s">
        <v>7</v>
      </c>
      <c r="G1" s="7" t="s">
        <v>465</v>
      </c>
      <c r="H1" s="7" t="s">
        <v>467</v>
      </c>
      <c r="I1" s="7">
        <f>SUM(A:A)</f>
        <v>51117</v>
      </c>
      <c r="J1" s="7">
        <f>MAX(A:A)</f>
        <v>517</v>
      </c>
      <c r="K1" s="15">
        <f>VLOOKUP(J1,A:F,6,FALSE)</f>
        <v>44267.625</v>
      </c>
      <c r="L1" s="7">
        <f>COUNT(DataN)-5</f>
        <v>485</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30.4.2021 saakka. Suurin arvo 517,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612</v>
      </c>
      <c r="I91" s="28">
        <f>H91/H84-1</f>
        <v>0.72881355932203395</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132</v>
      </c>
      <c r="B95" t="s">
        <v>49</v>
      </c>
      <c r="C95" t="s">
        <v>456</v>
      </c>
      <c r="E95" s="3">
        <f t="shared" si="3"/>
        <v>5</v>
      </c>
      <c r="F95" s="5">
        <v>43924.625</v>
      </c>
      <c r="G95" s="19" t="str">
        <f t="shared" si="4"/>
        <v/>
      </c>
      <c r="J95" s="28">
        <f t="shared" si="5"/>
        <v>1.693877551020408</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3.5947712418300748E-2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-0.56060606060606055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6</v>
      </c>
      <c r="B237" t="s">
        <v>189</v>
      </c>
      <c r="C237" t="s">
        <v>456</v>
      </c>
      <c r="E237" s="3">
        <f t="shared" si="9"/>
        <v>7</v>
      </c>
      <c r="F237" s="5">
        <v>44066.625</v>
      </c>
      <c r="G237" s="19" t="str">
        <f t="shared" si="10"/>
        <v/>
      </c>
      <c r="J237" s="28">
        <f t="shared" si="11"/>
        <v>-0.80645161290322576</v>
      </c>
    </row>
    <row r="238" spans="1:10">
      <c r="A238" s="3">
        <v>12</v>
      </c>
      <c r="B238" t="s">
        <v>190</v>
      </c>
      <c r="C238" t="s">
        <v>456</v>
      </c>
      <c r="E238" s="3">
        <f t="shared" si="9"/>
        <v>1</v>
      </c>
      <c r="F238" s="5">
        <v>44067.625</v>
      </c>
      <c r="G238" s="19" t="str">
        <f t="shared" si="10"/>
        <v>2020-W35</v>
      </c>
      <c r="H238">
        <f>SUM(A238:A244)</f>
        <v>87</v>
      </c>
      <c r="I238" s="28">
        <f>H238/H231-1</f>
        <v>-0.25641025641025639</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0.83333333333333326</v>
      </c>
    </row>
    <row r="245" spans="1:10">
      <c r="A245" s="3">
        <v>19</v>
      </c>
      <c r="B245" t="s">
        <v>197</v>
      </c>
      <c r="C245" t="s">
        <v>456</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15</v>
      </c>
      <c r="B248" t="s">
        <v>200</v>
      </c>
      <c r="C248" t="s">
        <v>456</v>
      </c>
      <c r="E248" s="3">
        <f t="shared" si="9"/>
        <v>4</v>
      </c>
      <c r="F248" s="5">
        <v>44077.625</v>
      </c>
      <c r="G248" s="19" t="str">
        <f t="shared" si="10"/>
        <v/>
      </c>
      <c r="J248" s="28">
        <f t="shared" si="11"/>
        <v>-0.2857142857142857</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0.1166666666666667</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0.1333333333333333</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85</v>
      </c>
      <c r="B273" t="s">
        <v>225</v>
      </c>
      <c r="C273" t="s">
        <v>456</v>
      </c>
      <c r="E273" s="3">
        <f t="shared" si="12"/>
        <v>1</v>
      </c>
      <c r="F273" s="5">
        <v>44102.625</v>
      </c>
      <c r="G273" s="19" t="str">
        <f t="shared" si="13"/>
        <v>2020-W40</v>
      </c>
      <c r="H273">
        <f>SUM(A273:A279)</f>
        <v>567</v>
      </c>
      <c r="I273" s="28">
        <f>H273/H266-1</f>
        <v>0.29452054794520555</v>
      </c>
      <c r="J273" s="28">
        <f t="shared" si="14"/>
        <v>0.28787878787878785</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0.33509700176366852</v>
      </c>
      <c r="J280" s="28">
        <f t="shared" si="14"/>
        <v>0.39999999999999991</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673</v>
      </c>
      <c r="I294" s="28">
        <f>H294/H287-1</f>
        <v>-5.3445850914205395E-2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103</v>
      </c>
      <c r="B298" t="s">
        <v>316</v>
      </c>
      <c r="C298" t="s">
        <v>456</v>
      </c>
      <c r="E298" s="3">
        <f t="shared" si="12"/>
        <v>5</v>
      </c>
      <c r="F298" s="5">
        <v>44127.625</v>
      </c>
      <c r="G298" s="19" t="str">
        <f t="shared" si="13"/>
        <v/>
      </c>
      <c r="J298" s="28">
        <f t="shared" si="14"/>
        <v>-0.13445378151260501</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320</v>
      </c>
      <c r="C302" t="s">
        <v>456</v>
      </c>
      <c r="E302" s="3">
        <f t="shared" si="12"/>
        <v>2</v>
      </c>
      <c r="F302" s="5">
        <v>44131.625</v>
      </c>
      <c r="G302" s="19" t="str">
        <f t="shared" si="13"/>
        <v/>
      </c>
      <c r="J302" s="28">
        <f t="shared" si="14"/>
        <v>0.33333333333333326</v>
      </c>
    </row>
    <row r="303" spans="1:10">
      <c r="A303" s="3">
        <v>121</v>
      </c>
      <c r="B303" t="s">
        <v>321</v>
      </c>
      <c r="C303" t="s">
        <v>456</v>
      </c>
      <c r="E303" s="3">
        <f t="shared" si="12"/>
        <v>3</v>
      </c>
      <c r="F303" s="5">
        <v>44132.625</v>
      </c>
      <c r="G303" s="19" t="str">
        <f t="shared" si="13"/>
        <v/>
      </c>
      <c r="J303" s="28">
        <f t="shared" si="14"/>
        <v>0.15238095238095228</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0.19417475728155331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156</v>
      </c>
      <c r="B308" s="10" t="s">
        <v>326</v>
      </c>
      <c r="C308" s="10" t="s">
        <v>456</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327</v>
      </c>
      <c r="C309" t="s">
        <v>456</v>
      </c>
      <c r="E309" s="3">
        <f t="shared" si="12"/>
        <v>2</v>
      </c>
      <c r="F309" s="5">
        <v>44138.625</v>
      </c>
      <c r="G309" s="19" t="str">
        <f t="shared" si="13"/>
        <v/>
      </c>
      <c r="J309" s="28">
        <f t="shared" si="14"/>
        <v>0.2416666666666667</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81</v>
      </c>
      <c r="B314" t="s">
        <v>332</v>
      </c>
      <c r="C314" t="s">
        <v>456</v>
      </c>
      <c r="E314" s="3">
        <f t="shared" si="12"/>
        <v>7</v>
      </c>
      <c r="F314" s="5">
        <v>44143.625</v>
      </c>
      <c r="G314" s="19" t="str">
        <f t="shared" si="13"/>
        <v/>
      </c>
      <c r="J314" s="28">
        <f t="shared" si="14"/>
        <v>-0.12903225806451613</v>
      </c>
    </row>
    <row r="315" spans="1:10">
      <c r="A315" s="3">
        <v>162</v>
      </c>
      <c r="B315" t="s">
        <v>333</v>
      </c>
      <c r="C315" t="s">
        <v>456</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0.35802469135802473</v>
      </c>
    </row>
    <row r="322" spans="1:10">
      <c r="A322" s="3">
        <v>241</v>
      </c>
      <c r="B322" t="s">
        <v>340</v>
      </c>
      <c r="C322" t="s">
        <v>456</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178</v>
      </c>
      <c r="B327" t="s">
        <v>347</v>
      </c>
      <c r="C327" t="s">
        <v>456</v>
      </c>
      <c r="E327" s="3">
        <f t="shared" si="16"/>
        <v>6</v>
      </c>
      <c r="F327" s="5">
        <v>44156.625</v>
      </c>
      <c r="G327" s="19" t="str">
        <f t="shared" si="15"/>
        <v/>
      </c>
      <c r="J327" s="28">
        <f t="shared" si="14"/>
        <v>0.95604395604395598</v>
      </c>
    </row>
    <row r="328" spans="1:10">
      <c r="A328" s="3">
        <v>160</v>
      </c>
      <c r="B328" t="s">
        <v>348</v>
      </c>
      <c r="C328" t="s">
        <v>456</v>
      </c>
      <c r="E328" s="3">
        <f t="shared" si="16"/>
        <v>7</v>
      </c>
      <c r="F328" s="5">
        <v>44157.625</v>
      </c>
      <c r="G328" s="19" t="str">
        <f t="shared" si="15"/>
        <v/>
      </c>
      <c r="J328" s="28">
        <f t="shared" si="14"/>
        <v>0.45454545454545459</v>
      </c>
    </row>
    <row r="329" spans="1:10">
      <c r="A329" s="3">
        <v>261</v>
      </c>
      <c r="B329" t="s">
        <v>349</v>
      </c>
      <c r="C329" t="s">
        <v>456</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262</v>
      </c>
      <c r="B332" t="s">
        <v>354</v>
      </c>
      <c r="C332" t="s">
        <v>456</v>
      </c>
      <c r="E332" s="3">
        <f t="shared" si="16"/>
        <v>4</v>
      </c>
      <c r="F332" s="5">
        <v>44161.625</v>
      </c>
      <c r="G332" s="19" t="str">
        <f t="shared" si="15"/>
        <v/>
      </c>
      <c r="J332" s="28">
        <f t="shared" si="17"/>
        <v>-0.18125000000000002</v>
      </c>
    </row>
    <row r="333" spans="1:10">
      <c r="A333" s="3">
        <v>241</v>
      </c>
      <c r="B333" t="s">
        <v>355</v>
      </c>
      <c r="C333" t="s">
        <v>456</v>
      </c>
      <c r="E333" s="3">
        <f t="shared" si="16"/>
        <v>5</v>
      </c>
      <c r="F333" s="5">
        <v>44162.625</v>
      </c>
      <c r="G333" s="19" t="str">
        <f t="shared" si="15"/>
        <v/>
      </c>
      <c r="J333" s="28">
        <f t="shared" si="17"/>
        <v>-8.7121212121212155E-2</v>
      </c>
    </row>
    <row r="334" spans="1:10">
      <c r="A334" s="3">
        <v>151</v>
      </c>
      <c r="B334" t="s">
        <v>356</v>
      </c>
      <c r="C334" t="s">
        <v>456</v>
      </c>
      <c r="E334" s="3">
        <f t="shared" si="16"/>
        <v>6</v>
      </c>
      <c r="F334" s="5">
        <v>44163.625</v>
      </c>
      <c r="G334" s="19" t="str">
        <f t="shared" si="15"/>
        <v/>
      </c>
      <c r="J334" s="28">
        <f t="shared" si="17"/>
        <v>-0.151685393258427</v>
      </c>
    </row>
    <row r="335" spans="1:10">
      <c r="A335" s="3">
        <v>158</v>
      </c>
      <c r="B335" t="s">
        <v>357</v>
      </c>
      <c r="C335" t="s">
        <v>456</v>
      </c>
      <c r="E335" s="3">
        <f t="shared" si="16"/>
        <v>7</v>
      </c>
      <c r="F335" s="5">
        <v>44164.625</v>
      </c>
      <c r="G335" s="19" t="str">
        <f t="shared" si="15"/>
        <v/>
      </c>
      <c r="J335" s="28">
        <f t="shared" si="17"/>
        <v>-1.2499999999999956E-2</v>
      </c>
    </row>
    <row r="336" spans="1:10">
      <c r="A336" s="3">
        <v>313</v>
      </c>
      <c r="B336" t="s">
        <v>358</v>
      </c>
      <c r="C336" t="s">
        <v>456</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360</v>
      </c>
      <c r="C337" t="s">
        <v>456</v>
      </c>
      <c r="E337" s="3">
        <f t="shared" si="16"/>
        <v>2</v>
      </c>
      <c r="F337" s="5">
        <v>44166.625</v>
      </c>
      <c r="G337" s="19" t="str">
        <f t="shared" si="15"/>
        <v/>
      </c>
      <c r="J337" s="28">
        <f t="shared" si="17"/>
        <v>-0.22261484098939932</v>
      </c>
    </row>
    <row r="338" spans="1:10">
      <c r="A338" s="3">
        <v>250</v>
      </c>
      <c r="B338" t="s">
        <v>361</v>
      </c>
      <c r="C338" t="s">
        <v>456</v>
      </c>
      <c r="E338" s="3">
        <f t="shared" si="16"/>
        <v>3</v>
      </c>
      <c r="F338" s="5">
        <v>44167.625</v>
      </c>
      <c r="G338" s="19" t="str">
        <f t="shared" si="15"/>
        <v/>
      </c>
      <c r="J338" s="28">
        <f t="shared" si="17"/>
        <v>-0.16387959866220736</v>
      </c>
    </row>
    <row r="339" spans="1:10">
      <c r="A339" s="3">
        <v>280</v>
      </c>
      <c r="B339" t="s">
        <v>362</v>
      </c>
      <c r="C339" t="s">
        <v>456</v>
      </c>
      <c r="E339" s="3">
        <f t="shared" si="16"/>
        <v>4</v>
      </c>
      <c r="F339" s="5">
        <v>44168.625</v>
      </c>
      <c r="G339" s="19" t="str">
        <f t="shared" si="15"/>
        <v/>
      </c>
      <c r="J339" s="28">
        <f t="shared" si="17"/>
        <v>6.8702290076335881E-2</v>
      </c>
    </row>
    <row r="340" spans="1:10">
      <c r="A340" s="3">
        <v>223</v>
      </c>
      <c r="B340" t="s">
        <v>363</v>
      </c>
      <c r="C340" t="s">
        <v>456</v>
      </c>
      <c r="E340" s="3">
        <f t="shared" si="16"/>
        <v>5</v>
      </c>
      <c r="F340" s="5">
        <v>44169.625</v>
      </c>
      <c r="G340" s="19" t="str">
        <f t="shared" si="15"/>
        <v/>
      </c>
      <c r="J340" s="28">
        <f t="shared" si="17"/>
        <v>-7.4688796680497882E-2</v>
      </c>
    </row>
    <row r="341" spans="1:10">
      <c r="A341" s="3">
        <v>153</v>
      </c>
      <c r="B341" t="s">
        <v>364</v>
      </c>
      <c r="C341" t="s">
        <v>456</v>
      </c>
      <c r="E341" s="3">
        <f t="shared" si="16"/>
        <v>6</v>
      </c>
      <c r="F341" s="5">
        <v>44170.625</v>
      </c>
      <c r="G341" s="19" t="str">
        <f t="shared" si="15"/>
        <v/>
      </c>
      <c r="J341" s="28">
        <f t="shared" si="17"/>
        <v>1.3245033112582849E-2</v>
      </c>
    </row>
    <row r="342" spans="1:10">
      <c r="A342" s="3">
        <v>156</v>
      </c>
      <c r="B342" t="s">
        <v>365</v>
      </c>
      <c r="C342" t="s">
        <v>456</v>
      </c>
      <c r="E342" s="3">
        <f t="shared" si="16"/>
        <v>7</v>
      </c>
      <c r="F342" s="5">
        <v>44171.625</v>
      </c>
      <c r="G342" s="19" t="str">
        <f t="shared" si="15"/>
        <v/>
      </c>
      <c r="J342" s="28">
        <f t="shared" si="17"/>
        <v>-1.2658227848101222E-2</v>
      </c>
    </row>
    <row r="343" spans="1:10">
      <c r="A343" s="3">
        <v>284</v>
      </c>
      <c r="B343" t="s">
        <v>366</v>
      </c>
      <c r="C343" t="s">
        <v>456</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367</v>
      </c>
      <c r="C344" t="s">
        <v>456</v>
      </c>
      <c r="E344" s="3">
        <f t="shared" si="16"/>
        <v>2</v>
      </c>
      <c r="F344" s="5">
        <v>44173.625</v>
      </c>
      <c r="G344" s="19" t="str">
        <f t="shared" si="15"/>
        <v/>
      </c>
      <c r="J344" s="28">
        <f t="shared" si="17"/>
        <v>0.15454545454545454</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-0.20714285714285718</v>
      </c>
    </row>
    <row r="347" spans="1:10">
      <c r="A347" s="3">
        <v>236</v>
      </c>
      <c r="B347" t="s">
        <v>370</v>
      </c>
      <c r="C347" t="s">
        <v>456</v>
      </c>
      <c r="E347" s="3">
        <f t="shared" si="16"/>
        <v>5</v>
      </c>
      <c r="F347" s="5">
        <v>44176.625</v>
      </c>
      <c r="G347" s="19" t="str">
        <f t="shared" si="15"/>
        <v/>
      </c>
      <c r="J347" s="28">
        <f t="shared" si="17"/>
        <v>5.8295964125560484E-2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8.3333333333333259E-2</v>
      </c>
    </row>
    <row r="350" spans="1:10">
      <c r="A350" s="3">
        <v>233</v>
      </c>
      <c r="B350" t="s">
        <v>373</v>
      </c>
      <c r="C350" t="s">
        <v>456</v>
      </c>
      <c r="E350" s="3">
        <f t="shared" si="16"/>
        <v>1</v>
      </c>
      <c r="F350" s="5">
        <v>44179.625</v>
      </c>
      <c r="G350" s="19" t="str">
        <f t="shared" si="15"/>
        <v>2020-W51</v>
      </c>
      <c r="H350">
        <f>SUM(A350:A356)</f>
        <v>1224</v>
      </c>
      <c r="I350" s="28">
        <f>H350/H343-1</f>
        <v>-0.22531645569620251</v>
      </c>
      <c r="J350" s="28">
        <f t="shared" si="17"/>
        <v>-0.17957746478873238</v>
      </c>
    </row>
    <row r="351" spans="1:10">
      <c r="A351" s="3">
        <v>195</v>
      </c>
      <c r="B351" t="s">
        <v>374</v>
      </c>
      <c r="C351" t="s">
        <v>456</v>
      </c>
      <c r="E351" s="3">
        <f t="shared" si="16"/>
        <v>2</v>
      </c>
      <c r="F351" s="5">
        <v>44180.625</v>
      </c>
      <c r="G351" s="19" t="str">
        <f t="shared" si="15"/>
        <v/>
      </c>
      <c r="J351" s="28">
        <f t="shared" si="17"/>
        <v>-0.23228346456692917</v>
      </c>
    </row>
    <row r="352" spans="1:10">
      <c r="A352" s="3">
        <v>192</v>
      </c>
      <c r="B352" t="s">
        <v>375</v>
      </c>
      <c r="C352" t="s">
        <v>456</v>
      </c>
      <c r="E352" s="3">
        <f t="shared" si="16"/>
        <v>3</v>
      </c>
      <c r="F352" s="5">
        <v>44181.625</v>
      </c>
      <c r="G352" s="19" t="str">
        <f t="shared" si="15"/>
        <v/>
      </c>
      <c r="J352" s="28">
        <f t="shared" si="17"/>
        <v>-0.28358208955223885</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-0.23305084745762716</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940</v>
      </c>
      <c r="I357" s="28">
        <f>H357/H350-1</f>
        <v>-0.23202614379084963</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-0.23958333333333337</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-3.2978723404255339E-2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135</v>
      </c>
      <c r="B367" t="s">
        <v>390</v>
      </c>
      <c r="C367" t="s">
        <v>456</v>
      </c>
      <c r="E367" s="3">
        <f t="shared" si="16"/>
        <v>4</v>
      </c>
      <c r="F367" s="5">
        <v>44196.625</v>
      </c>
      <c r="G367" s="19" t="str">
        <f t="shared" si="15"/>
        <v/>
      </c>
      <c r="J367" s="28">
        <f t="shared" si="17"/>
        <v>0.42105263157894735</v>
      </c>
    </row>
    <row r="368" spans="1:10">
      <c r="A368" s="3">
        <v>67</v>
      </c>
      <c r="B368" t="s">
        <v>391</v>
      </c>
      <c r="C368" t="s">
        <v>456</v>
      </c>
      <c r="E368" s="3">
        <f t="shared" si="16"/>
        <v>5</v>
      </c>
      <c r="F368" s="5">
        <v>44197.625</v>
      </c>
      <c r="G368" s="19" t="str">
        <f t="shared" si="15"/>
        <v/>
      </c>
      <c r="J368" s="28">
        <f t="shared" si="17"/>
        <v>-0.30208333333333337</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197</v>
      </c>
      <c r="B371" t="s">
        <v>394</v>
      </c>
      <c r="C371" t="s">
        <v>456</v>
      </c>
      <c r="E371" s="3">
        <f t="shared" si="16"/>
        <v>1</v>
      </c>
      <c r="F371" s="5">
        <v>44200.625</v>
      </c>
      <c r="G371" s="19" t="str">
        <f t="shared" si="15"/>
        <v>2021-W01</v>
      </c>
      <c r="H371">
        <f>SUM(A371:A377)</f>
        <v>974</v>
      </c>
      <c r="I371" s="28">
        <f>H371/H364-1</f>
        <v>7.1507150715071521E-2</v>
      </c>
      <c r="J371" s="28">
        <f t="shared" si="17"/>
        <v>-0.11659192825112108</v>
      </c>
    </row>
    <row r="372" spans="1:10">
      <c r="A372" s="3">
        <v>155</v>
      </c>
      <c r="B372" t="s">
        <v>395</v>
      </c>
      <c r="C372" t="s">
        <v>456</v>
      </c>
      <c r="E372" s="3">
        <f t="shared" si="16"/>
        <v>2</v>
      </c>
      <c r="F372" s="5">
        <v>44201.625</v>
      </c>
      <c r="G372" s="19" t="str">
        <f t="shared" si="15"/>
        <v/>
      </c>
      <c r="J372" s="28">
        <f t="shared" si="17"/>
        <v>-5.4878048780487854E-2</v>
      </c>
    </row>
    <row r="373" spans="1:10">
      <c r="A373" s="3">
        <v>95</v>
      </c>
      <c r="B373" t="s">
        <v>396</v>
      </c>
      <c r="C373" t="s">
        <v>456</v>
      </c>
      <c r="E373" s="3">
        <f t="shared" si="16"/>
        <v>3</v>
      </c>
      <c r="F373" s="5">
        <v>44202.625</v>
      </c>
      <c r="G373" s="19" t="str">
        <f t="shared" si="15"/>
        <v/>
      </c>
      <c r="J373" s="28">
        <f t="shared" si="17"/>
        <v>-0.13636363636363635</v>
      </c>
    </row>
    <row r="374" spans="1:10">
      <c r="A374" s="3">
        <v>162</v>
      </c>
      <c r="B374" t="s">
        <v>397</v>
      </c>
      <c r="C374" t="s">
        <v>456</v>
      </c>
      <c r="E374" s="3">
        <f t="shared" si="16"/>
        <v>4</v>
      </c>
      <c r="F374" s="5">
        <v>44203.625</v>
      </c>
      <c r="G374" s="19" t="str">
        <f t="shared" si="15"/>
        <v/>
      </c>
      <c r="J374" s="28">
        <f t="shared" si="17"/>
        <v>0.19999999999999996</v>
      </c>
    </row>
    <row r="375" spans="1:10">
      <c r="A375" s="3">
        <v>146</v>
      </c>
      <c r="B375" t="s">
        <v>398</v>
      </c>
      <c r="C375" t="s">
        <v>456</v>
      </c>
      <c r="E375" s="3">
        <f t="shared" si="16"/>
        <v>5</v>
      </c>
      <c r="F375" s="5">
        <v>44204.625</v>
      </c>
      <c r="G375" s="19" t="str">
        <f t="shared" si="15"/>
        <v/>
      </c>
      <c r="J375" s="28">
        <f t="shared" si="17"/>
        <v>1.1791044776119404</v>
      </c>
    </row>
    <row r="376" spans="1:10">
      <c r="A376" s="3">
        <v>101</v>
      </c>
      <c r="B376" t="s">
        <v>399</v>
      </c>
      <c r="C376" t="s">
        <v>456</v>
      </c>
      <c r="E376" s="3">
        <f t="shared" si="16"/>
        <v>6</v>
      </c>
      <c r="F376" s="5">
        <v>44205.625</v>
      </c>
      <c r="G376" s="19" t="str">
        <f t="shared" si="15"/>
        <v/>
      </c>
      <c r="J376" s="28">
        <f t="shared" si="17"/>
        <v>-0.13675213675213671</v>
      </c>
    </row>
    <row r="377" spans="1:10">
      <c r="A377" s="3">
        <v>118</v>
      </c>
      <c r="B377" t="s">
        <v>400</v>
      </c>
      <c r="C377" t="s">
        <v>456</v>
      </c>
      <c r="E377" s="3">
        <f t="shared" si="16"/>
        <v>7</v>
      </c>
      <c r="F377" s="5">
        <v>44206.625</v>
      </c>
      <c r="G377" s="19" t="str">
        <f t="shared" si="15"/>
        <v/>
      </c>
      <c r="J377" s="28">
        <f t="shared" si="17"/>
        <v>0.26881720430107525</v>
      </c>
    </row>
    <row r="378" spans="1:10">
      <c r="A378" s="3">
        <v>187</v>
      </c>
      <c r="B378" t="s">
        <v>401</v>
      </c>
      <c r="C378" t="s">
        <v>456</v>
      </c>
      <c r="E378" s="3">
        <f t="shared" si="16"/>
        <v>1</v>
      </c>
      <c r="F378" s="5">
        <v>44207.625</v>
      </c>
      <c r="G378" s="19" t="str">
        <f t="shared" si="15"/>
        <v>2021-W02</v>
      </c>
      <c r="H378">
        <f>SUM(A378:A384)</f>
        <v>859</v>
      </c>
      <c r="I378" s="28">
        <f>H378/H371-1</f>
        <v>-0.11806981519507187</v>
      </c>
      <c r="J378" s="28">
        <f t="shared" si="17"/>
        <v>-5.0761421319796995E-2</v>
      </c>
    </row>
    <row r="379" spans="1:10">
      <c r="A379" s="3">
        <v>127</v>
      </c>
      <c r="B379" t="s">
        <v>402</v>
      </c>
      <c r="C379" t="s">
        <v>456</v>
      </c>
      <c r="E379" s="3">
        <f t="shared" si="16"/>
        <v>2</v>
      </c>
      <c r="F379" s="5">
        <v>44208.625</v>
      </c>
      <c r="G379" s="19" t="str">
        <f t="shared" si="15"/>
        <v/>
      </c>
      <c r="J379" s="28">
        <f t="shared" si="17"/>
        <v>-0.1806451612903226</v>
      </c>
    </row>
    <row r="380" spans="1:10">
      <c r="A380" s="3">
        <v>121</v>
      </c>
      <c r="B380" t="s">
        <v>403</v>
      </c>
      <c r="C380" t="s">
        <v>456</v>
      </c>
      <c r="E380" s="3">
        <f t="shared" si="16"/>
        <v>3</v>
      </c>
      <c r="F380" s="5">
        <v>44209.625</v>
      </c>
      <c r="G380" s="19" t="str">
        <f t="shared" si="15"/>
        <v/>
      </c>
      <c r="J380" s="28">
        <f t="shared" si="17"/>
        <v>0.27368421052631575</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-3.9603960396039639E-2</v>
      </c>
    </row>
    <row r="384" spans="1:10">
      <c r="A384" s="3">
        <v>96</v>
      </c>
      <c r="B384" t="s">
        <v>407</v>
      </c>
      <c r="C384" t="s">
        <v>456</v>
      </c>
      <c r="E384" s="3">
        <f t="shared" si="16"/>
        <v>7</v>
      </c>
      <c r="F384" s="5">
        <v>44213.625</v>
      </c>
      <c r="G384" s="19" t="str">
        <f t="shared" si="15"/>
        <v/>
      </c>
      <c r="J384" s="28">
        <f t="shared" si="17"/>
        <v>-0.18644067796610164</v>
      </c>
    </row>
    <row r="385" spans="1:10">
      <c r="A385" s="3">
        <v>257</v>
      </c>
      <c r="B385" t="s">
        <v>408</v>
      </c>
      <c r="C385" t="s">
        <v>456</v>
      </c>
      <c r="E385" s="3">
        <f t="shared" si="16"/>
        <v>1</v>
      </c>
      <c r="F385" s="5">
        <v>44214.625</v>
      </c>
      <c r="G385" s="19" t="str">
        <f t="shared" si="15"/>
        <v>2021-W03</v>
      </c>
      <c r="H385">
        <f>SUM(A385:A391)</f>
        <v>1274</v>
      </c>
      <c r="I385" s="28">
        <f>H385/H378-1</f>
        <v>0.48311990686845174</v>
      </c>
      <c r="J385" s="28">
        <f t="shared" si="17"/>
        <v>0.37433155080213898</v>
      </c>
    </row>
    <row r="386" spans="1:10">
      <c r="A386" s="3">
        <v>188</v>
      </c>
      <c r="B386" t="s">
        <v>409</v>
      </c>
      <c r="C386" t="s">
        <v>456</v>
      </c>
      <c r="E386" s="3">
        <f t="shared" si="16"/>
        <v>2</v>
      </c>
      <c r="F386" s="5">
        <v>44215.625</v>
      </c>
      <c r="G386" s="19" t="str">
        <f t="shared" si="15"/>
        <v/>
      </c>
      <c r="J386" s="28">
        <f t="shared" si="17"/>
        <v>0.48031496062992129</v>
      </c>
    </row>
    <row r="387" spans="1:10">
      <c r="A387" s="3">
        <v>209</v>
      </c>
      <c r="B387" t="s">
        <v>410</v>
      </c>
      <c r="C387" t="s">
        <v>456</v>
      </c>
      <c r="E387" s="3">
        <f t="shared" si="16"/>
        <v>3</v>
      </c>
      <c r="F387" s="5">
        <v>44216.625</v>
      </c>
      <c r="G387" s="19" t="str">
        <f t="shared" ref="G387:G450" si="18">IF(WEEKDAY(F387,2)=1,YEAR(F387)&amp;"-W"&amp;TEXT(WEEKNUM(F387,14),"00"),"")</f>
        <v/>
      </c>
      <c r="J387" s="28">
        <f t="shared" si="17"/>
        <v>0.72727272727272729</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0.59375</v>
      </c>
    </row>
    <row r="392" spans="1:10">
      <c r="A392" s="3">
        <v>256</v>
      </c>
      <c r="B392" t="s">
        <v>415</v>
      </c>
      <c r="C392" t="s">
        <v>456</v>
      </c>
      <c r="E392" s="3">
        <f t="shared" si="19"/>
        <v>1</v>
      </c>
      <c r="F392" s="5">
        <v>44221.625</v>
      </c>
      <c r="G392" s="19" t="str">
        <f t="shared" si="18"/>
        <v>2021-W04</v>
      </c>
      <c r="H392">
        <f>SUM(A392:A398)</f>
        <v>1372</v>
      </c>
      <c r="I392" s="28">
        <f>H392/H385-1</f>
        <v>7.6923076923076872E-2</v>
      </c>
      <c r="J392" s="28">
        <f t="shared" si="17"/>
        <v>-3.8910505836575737E-3</v>
      </c>
    </row>
    <row r="393" spans="1:10">
      <c r="A393" s="3">
        <v>212</v>
      </c>
      <c r="B393" t="s">
        <v>416</v>
      </c>
      <c r="C393" t="s">
        <v>456</v>
      </c>
      <c r="E393" s="3">
        <f t="shared" si="19"/>
        <v>2</v>
      </c>
      <c r="F393" s="5">
        <v>44222.625</v>
      </c>
      <c r="G393" s="19" t="str">
        <f t="shared" si="18"/>
        <v/>
      </c>
      <c r="J393" s="28">
        <f t="shared" ref="J393:J456" si="20">A393/A386-1</f>
        <v>0.12765957446808507</v>
      </c>
    </row>
    <row r="394" spans="1:10">
      <c r="A394" s="3">
        <v>188</v>
      </c>
      <c r="B394" t="s">
        <v>417</v>
      </c>
      <c r="C394" t="s">
        <v>456</v>
      </c>
      <c r="E394" s="3">
        <f t="shared" si="19"/>
        <v>3</v>
      </c>
      <c r="F394" s="5">
        <v>44223.625</v>
      </c>
      <c r="G394" s="19" t="str">
        <f t="shared" si="18"/>
        <v/>
      </c>
      <c r="J394" s="28">
        <f t="shared" si="20"/>
        <v>-0.1004784688995215</v>
      </c>
    </row>
    <row r="395" spans="1:10">
      <c r="A395" s="3">
        <v>229</v>
      </c>
      <c r="B395" t="s">
        <v>418</v>
      </c>
      <c r="C395" t="s">
        <v>456</v>
      </c>
      <c r="E395" s="3">
        <f t="shared" si="19"/>
        <v>4</v>
      </c>
      <c r="F395" s="5">
        <v>44224.625</v>
      </c>
      <c r="G395" s="19" t="str">
        <f t="shared" si="18"/>
        <v/>
      </c>
      <c r="J395" s="28">
        <f t="shared" si="20"/>
        <v>0.28651685393258419</v>
      </c>
    </row>
    <row r="396" spans="1:10">
      <c r="A396" s="3">
        <v>189</v>
      </c>
      <c r="B396" t="s">
        <v>419</v>
      </c>
      <c r="C396" t="s">
        <v>456</v>
      </c>
      <c r="E396" s="3">
        <f t="shared" si="19"/>
        <v>5</v>
      </c>
      <c r="F396" s="5">
        <v>44225.625</v>
      </c>
      <c r="G396" s="19" t="str">
        <f t="shared" si="18"/>
        <v/>
      </c>
      <c r="J396" s="28">
        <f t="shared" si="20"/>
        <v>-3.5714285714285698E-2</v>
      </c>
    </row>
    <row r="397" spans="1:10">
      <c r="A397" s="3">
        <v>132</v>
      </c>
      <c r="B397" t="s">
        <v>421</v>
      </c>
      <c r="C397" t="s">
        <v>456</v>
      </c>
      <c r="E397" s="3">
        <f t="shared" si="19"/>
        <v>6</v>
      </c>
      <c r="F397" s="5">
        <v>44226.625</v>
      </c>
      <c r="G397" s="19" t="str">
        <f t="shared" si="18"/>
        <v/>
      </c>
      <c r="J397" s="28">
        <f t="shared" si="20"/>
        <v>0.41935483870967749</v>
      </c>
    </row>
    <row r="398" spans="1:10">
      <c r="A398" s="3">
        <v>166</v>
      </c>
      <c r="B398" t="s">
        <v>422</v>
      </c>
      <c r="C398" t="s">
        <v>456</v>
      </c>
      <c r="E398" s="3">
        <f t="shared" si="19"/>
        <v>7</v>
      </c>
      <c r="F398" s="5">
        <v>44227.625</v>
      </c>
      <c r="G398" s="19" t="str">
        <f t="shared" si="18"/>
        <v/>
      </c>
      <c r="J398" s="28">
        <f t="shared" si="20"/>
        <v>8.4967320261437829E-2</v>
      </c>
    </row>
    <row r="399" spans="1:10">
      <c r="A399" s="3">
        <v>297</v>
      </c>
      <c r="B399" t="s">
        <v>423</v>
      </c>
      <c r="C399" t="s">
        <v>456</v>
      </c>
      <c r="E399" s="3">
        <f t="shared" si="19"/>
        <v>1</v>
      </c>
      <c r="F399" s="5">
        <v>44228.625</v>
      </c>
      <c r="G399" s="19" t="str">
        <f t="shared" si="18"/>
        <v>2021-W05</v>
      </c>
      <c r="H399">
        <f>SUM(A399:A405)</f>
        <v>1577</v>
      </c>
      <c r="I399" s="28">
        <f>H399/H392-1</f>
        <v>0.14941690962099119</v>
      </c>
      <c r="J399" s="28">
        <f t="shared" si="20"/>
        <v>0.16015625</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224</v>
      </c>
      <c r="B402" t="s">
        <v>426</v>
      </c>
      <c r="C402" t="s">
        <v>456</v>
      </c>
      <c r="E402" s="3">
        <f t="shared" si="19"/>
        <v>4</v>
      </c>
      <c r="F402" s="5">
        <v>44231.625</v>
      </c>
      <c r="G402" s="19" t="str">
        <f t="shared" si="18"/>
        <v/>
      </c>
      <c r="J402" s="28">
        <f t="shared" si="20"/>
        <v>-2.183406113537123E-2</v>
      </c>
    </row>
    <row r="403" spans="1:10">
      <c r="A403" s="3">
        <v>217</v>
      </c>
      <c r="B403" t="s">
        <v>427</v>
      </c>
      <c r="C403" t="s">
        <v>456</v>
      </c>
      <c r="E403" s="3">
        <f t="shared" si="19"/>
        <v>5</v>
      </c>
      <c r="F403" s="5">
        <v>44232.625</v>
      </c>
      <c r="G403" s="19" t="str">
        <f t="shared" si="18"/>
        <v/>
      </c>
      <c r="J403" s="28">
        <f t="shared" si="20"/>
        <v>0.14814814814814814</v>
      </c>
    </row>
    <row r="404" spans="1:10">
      <c r="A404" s="3">
        <v>153</v>
      </c>
      <c r="B404" t="s">
        <v>428</v>
      </c>
      <c r="C404" t="s">
        <v>456</v>
      </c>
      <c r="E404" s="3">
        <f t="shared" si="19"/>
        <v>6</v>
      </c>
      <c r="F404" s="5">
        <v>44233.625</v>
      </c>
      <c r="G404" s="19" t="str">
        <f t="shared" si="18"/>
        <v/>
      </c>
      <c r="J404" s="28">
        <f t="shared" si="20"/>
        <v>0.15909090909090917</v>
      </c>
    </row>
    <row r="405" spans="1:10">
      <c r="A405" s="3">
        <v>173</v>
      </c>
      <c r="B405" t="s">
        <v>429</v>
      </c>
      <c r="C405" t="s">
        <v>456</v>
      </c>
      <c r="E405" s="3">
        <f t="shared" si="19"/>
        <v>7</v>
      </c>
      <c r="F405" s="5">
        <v>44234.625</v>
      </c>
      <c r="G405" s="19" t="str">
        <f t="shared" si="18"/>
        <v/>
      </c>
      <c r="J405" s="28">
        <f t="shared" si="20"/>
        <v>4.2168674698795261E-2</v>
      </c>
    </row>
    <row r="406" spans="1:10">
      <c r="A406" s="3">
        <v>296</v>
      </c>
      <c r="B406" t="s">
        <v>437</v>
      </c>
      <c r="C406" t="s">
        <v>456</v>
      </c>
      <c r="E406" s="3">
        <f t="shared" si="19"/>
        <v>1</v>
      </c>
      <c r="F406" s="5">
        <v>44235.625</v>
      </c>
      <c r="G406" s="19" t="str">
        <f t="shared" si="18"/>
        <v>2021-W06</v>
      </c>
      <c r="H406">
        <f>SUM(A406:A412)</f>
        <v>1634</v>
      </c>
      <c r="I406" s="28">
        <f>H406/H399-1</f>
        <v>3.6144578313253017E-2</v>
      </c>
      <c r="J406" s="28">
        <f t="shared" si="20"/>
        <v>-3.3670033670033517E-3</v>
      </c>
    </row>
    <row r="407" spans="1:10">
      <c r="A407" s="3">
        <v>240</v>
      </c>
      <c r="B407" t="s">
        <v>438</v>
      </c>
      <c r="C407" t="s">
        <v>456</v>
      </c>
      <c r="E407" s="3">
        <f t="shared" si="19"/>
        <v>2</v>
      </c>
      <c r="F407" s="5">
        <v>44236.625</v>
      </c>
      <c r="G407" s="19" t="str">
        <f t="shared" si="18"/>
        <v/>
      </c>
      <c r="J407" s="28">
        <f t="shared" si="20"/>
        <v>-4.0000000000000036E-2</v>
      </c>
    </row>
    <row r="408" spans="1:10">
      <c r="A408" s="3">
        <v>229</v>
      </c>
      <c r="B408" t="s">
        <v>439</v>
      </c>
      <c r="C408" t="s">
        <v>456</v>
      </c>
      <c r="E408" s="3">
        <f t="shared" si="19"/>
        <v>3</v>
      </c>
      <c r="F408" s="5">
        <v>44237.625</v>
      </c>
      <c r="G408" s="19" t="str">
        <f t="shared" si="18"/>
        <v/>
      </c>
      <c r="J408" s="28">
        <f t="shared" si="20"/>
        <v>-0.12927756653992395</v>
      </c>
    </row>
    <row r="409" spans="1:10">
      <c r="A409" s="3">
        <v>237</v>
      </c>
      <c r="B409" t="s">
        <v>440</v>
      </c>
      <c r="C409" t="s">
        <v>456</v>
      </c>
      <c r="E409" s="3">
        <f t="shared" si="19"/>
        <v>4</v>
      </c>
      <c r="F409" s="5">
        <v>44238.625</v>
      </c>
      <c r="G409" s="19" t="str">
        <f t="shared" si="18"/>
        <v/>
      </c>
      <c r="J409" s="28">
        <f t="shared" si="20"/>
        <v>5.8035714285714191E-2</v>
      </c>
    </row>
    <row r="410" spans="1:10">
      <c r="A410" s="3">
        <v>260</v>
      </c>
      <c r="B410" t="s">
        <v>441</v>
      </c>
      <c r="C410" t="s">
        <v>456</v>
      </c>
      <c r="E410" s="3">
        <f t="shared" si="19"/>
        <v>5</v>
      </c>
      <c r="F410" s="5">
        <v>44239.625</v>
      </c>
      <c r="G410" s="19" t="str">
        <f t="shared" si="18"/>
        <v/>
      </c>
      <c r="J410" s="28">
        <f t="shared" si="20"/>
        <v>0.19815668202764969</v>
      </c>
    </row>
    <row r="411" spans="1:10">
      <c r="A411" s="3">
        <v>190</v>
      </c>
      <c r="B411" t="s">
        <v>442</v>
      </c>
      <c r="C411" t="s">
        <v>456</v>
      </c>
      <c r="E411" s="3">
        <f t="shared" si="19"/>
        <v>6</v>
      </c>
      <c r="F411" s="5">
        <v>44240.625</v>
      </c>
      <c r="G411" s="19" t="str">
        <f t="shared" si="18"/>
        <v/>
      </c>
      <c r="J411" s="28">
        <f t="shared" si="20"/>
        <v>0.24183006535947715</v>
      </c>
    </row>
    <row r="412" spans="1:10">
      <c r="A412" s="3">
        <v>182</v>
      </c>
      <c r="B412" t="s">
        <v>443</v>
      </c>
      <c r="C412" t="s">
        <v>456</v>
      </c>
      <c r="E412" s="3">
        <f t="shared" si="19"/>
        <v>7</v>
      </c>
      <c r="F412" s="5">
        <v>44241.625</v>
      </c>
      <c r="G412" s="19" t="str">
        <f t="shared" si="18"/>
        <v/>
      </c>
      <c r="J412" s="28">
        <f t="shared" si="20"/>
        <v>5.2023121387283267E-2</v>
      </c>
    </row>
    <row r="413" spans="1:10" s="10" customFormat="1">
      <c r="A413" s="14">
        <v>360</v>
      </c>
      <c r="B413" s="10" t="s">
        <v>444</v>
      </c>
      <c r="C413" s="10" t="s">
        <v>456</v>
      </c>
      <c r="E413" s="14">
        <f t="shared" si="19"/>
        <v>1</v>
      </c>
      <c r="F413" s="18">
        <v>44242.625</v>
      </c>
      <c r="G413" s="19" t="str">
        <f t="shared" si="18"/>
        <v>2021-W07</v>
      </c>
      <c r="H413" s="10">
        <f>SUM(A413:A419)</f>
        <v>2052</v>
      </c>
      <c r="I413" s="34">
        <f>H413/H406-1</f>
        <v>0.2558139534883721</v>
      </c>
      <c r="J413" s="28">
        <f t="shared" si="20"/>
        <v>0.21621621621621623</v>
      </c>
    </row>
    <row r="414" spans="1:10">
      <c r="A414" s="3">
        <v>329</v>
      </c>
      <c r="B414" t="s">
        <v>445</v>
      </c>
      <c r="C414" t="s">
        <v>456</v>
      </c>
      <c r="E414" s="3">
        <f t="shared" si="19"/>
        <v>2</v>
      </c>
      <c r="F414" s="5">
        <v>44243.625</v>
      </c>
      <c r="G414" s="19" t="str">
        <f t="shared" si="18"/>
        <v/>
      </c>
      <c r="J414" s="28">
        <f t="shared" si="20"/>
        <v>0.37083333333333335</v>
      </c>
    </row>
    <row r="415" spans="1:10">
      <c r="A415" s="3">
        <v>329</v>
      </c>
      <c r="B415" t="s">
        <v>446</v>
      </c>
      <c r="C415" t="s">
        <v>456</v>
      </c>
      <c r="E415" s="3">
        <f t="shared" si="19"/>
        <v>3</v>
      </c>
      <c r="F415" s="5">
        <v>44244.625</v>
      </c>
      <c r="G415" s="19" t="str">
        <f t="shared" si="18"/>
        <v/>
      </c>
      <c r="J415" s="28">
        <f t="shared" si="20"/>
        <v>0.43668122270742349</v>
      </c>
    </row>
    <row r="416" spans="1:10">
      <c r="A416" s="3">
        <v>325</v>
      </c>
      <c r="B416" t="s">
        <v>447</v>
      </c>
      <c r="C416" t="s">
        <v>456</v>
      </c>
      <c r="E416" s="3">
        <f t="shared" si="19"/>
        <v>4</v>
      </c>
      <c r="F416" s="5">
        <v>44245.625</v>
      </c>
      <c r="G416" s="19" t="str">
        <f t="shared" si="18"/>
        <v/>
      </c>
      <c r="J416" s="28">
        <f t="shared" si="20"/>
        <v>0.37130801687763704</v>
      </c>
    </row>
    <row r="417" spans="1:10">
      <c r="A417" s="3">
        <v>304</v>
      </c>
      <c r="B417" t="s">
        <v>448</v>
      </c>
      <c r="C417" t="s">
        <v>456</v>
      </c>
      <c r="E417" s="3">
        <f t="shared" si="19"/>
        <v>5</v>
      </c>
      <c r="F417" s="5">
        <v>44246.625</v>
      </c>
      <c r="G417" s="19" t="str">
        <f t="shared" si="18"/>
        <v/>
      </c>
      <c r="J417" s="28">
        <f t="shared" si="20"/>
        <v>0.1692307692307693</v>
      </c>
    </row>
    <row r="418" spans="1:10">
      <c r="A418" s="3">
        <v>185</v>
      </c>
      <c r="B418" t="s">
        <v>450</v>
      </c>
      <c r="C418" t="s">
        <v>456</v>
      </c>
      <c r="E418" s="3">
        <f t="shared" si="19"/>
        <v>6</v>
      </c>
      <c r="F418" s="5">
        <v>44247.625</v>
      </c>
      <c r="G418" s="19" t="str">
        <f t="shared" si="18"/>
        <v/>
      </c>
      <c r="J418" s="28">
        <f t="shared" si="20"/>
        <v>-2.6315789473684181E-2</v>
      </c>
    </row>
    <row r="419" spans="1:10">
      <c r="A419" s="3">
        <v>220</v>
      </c>
      <c r="B419" t="s">
        <v>451</v>
      </c>
      <c r="C419" t="s">
        <v>456</v>
      </c>
      <c r="E419" s="3">
        <f t="shared" si="19"/>
        <v>7</v>
      </c>
      <c r="F419" s="5">
        <v>44248.625</v>
      </c>
      <c r="G419" s="19" t="str">
        <f t="shared" si="18"/>
        <v/>
      </c>
      <c r="J419" s="28">
        <f t="shared" si="20"/>
        <v>0.20879120879120872</v>
      </c>
    </row>
    <row r="420" spans="1:10">
      <c r="A420" s="3">
        <v>386</v>
      </c>
      <c r="B420" t="s">
        <v>452</v>
      </c>
      <c r="C420" t="s">
        <v>456</v>
      </c>
      <c r="E420" s="3">
        <f t="shared" si="19"/>
        <v>1</v>
      </c>
      <c r="F420" s="5">
        <v>44249.625</v>
      </c>
      <c r="G420" s="19" t="str">
        <f t="shared" si="18"/>
        <v>2021-W08</v>
      </c>
      <c r="H420">
        <f>SUM(A420:A426)</f>
        <v>2501</v>
      </c>
      <c r="I420" s="28">
        <f>H420/H413-1</f>
        <v>0.21881091617933723</v>
      </c>
      <c r="J420" s="28">
        <f t="shared" si="20"/>
        <v>7.2222222222222188E-2</v>
      </c>
    </row>
    <row r="421" spans="1:10">
      <c r="A421" s="3">
        <v>383</v>
      </c>
      <c r="B421" t="s">
        <v>455</v>
      </c>
      <c r="C421" t="s">
        <v>456</v>
      </c>
      <c r="E421" s="3">
        <f t="shared" si="19"/>
        <v>2</v>
      </c>
      <c r="F421" s="5">
        <v>44250.625</v>
      </c>
      <c r="G421" s="19" t="str">
        <f t="shared" si="18"/>
        <v/>
      </c>
      <c r="J421" s="28">
        <f t="shared" si="20"/>
        <v>0.16413373860182379</v>
      </c>
    </row>
    <row r="422" spans="1:10">
      <c r="A422" s="3">
        <v>417</v>
      </c>
      <c r="B422" t="s">
        <v>461</v>
      </c>
      <c r="C422" t="s">
        <v>456</v>
      </c>
      <c r="E422" s="3">
        <f t="shared" si="19"/>
        <v>3</v>
      </c>
      <c r="F422" s="5">
        <v>44251.625</v>
      </c>
      <c r="G422" s="19" t="str">
        <f t="shared" si="18"/>
        <v/>
      </c>
      <c r="J422" s="28">
        <f t="shared" si="20"/>
        <v>0.26747720364741645</v>
      </c>
    </row>
    <row r="423" spans="1:10">
      <c r="A423" s="3">
        <v>354</v>
      </c>
      <c r="B423" t="s">
        <v>463</v>
      </c>
      <c r="C423" t="s">
        <v>456</v>
      </c>
      <c r="E423" s="3">
        <f t="shared" si="19"/>
        <v>4</v>
      </c>
      <c r="F423" s="5">
        <v>44252.625</v>
      </c>
      <c r="G423" s="19" t="str">
        <f t="shared" si="18"/>
        <v/>
      </c>
      <c r="J423" s="28">
        <f t="shared" si="20"/>
        <v>8.9230769230769225E-2</v>
      </c>
    </row>
    <row r="424" spans="1:10">
      <c r="A424" s="3">
        <v>430</v>
      </c>
      <c r="B424" t="s">
        <v>464</v>
      </c>
      <c r="C424" t="s">
        <v>456</v>
      </c>
      <c r="E424" s="3">
        <f t="shared" si="19"/>
        <v>5</v>
      </c>
      <c r="F424" s="5">
        <v>44253.625</v>
      </c>
      <c r="G424" s="19" t="str">
        <f t="shared" si="18"/>
        <v/>
      </c>
      <c r="J424" s="28">
        <f t="shared" si="20"/>
        <v>0.41447368421052633</v>
      </c>
    </row>
    <row r="425" spans="1:10">
      <c r="A425" s="3">
        <v>266</v>
      </c>
      <c r="B425" t="s">
        <v>469</v>
      </c>
      <c r="C425" t="s">
        <v>456</v>
      </c>
      <c r="E425" s="3">
        <f t="shared" si="19"/>
        <v>6</v>
      </c>
      <c r="F425" s="5">
        <v>44254.625</v>
      </c>
      <c r="G425" s="19" t="str">
        <f t="shared" si="18"/>
        <v/>
      </c>
      <c r="J425" s="28">
        <f t="shared" si="20"/>
        <v>0.43783783783783781</v>
      </c>
    </row>
    <row r="426" spans="1:10">
      <c r="A426" s="3">
        <v>265</v>
      </c>
      <c r="B426" t="s">
        <v>470</v>
      </c>
      <c r="C426" t="s">
        <v>456</v>
      </c>
      <c r="E426" s="3">
        <f t="shared" si="19"/>
        <v>7</v>
      </c>
      <c r="F426" s="5">
        <v>44255.625</v>
      </c>
      <c r="G426" s="19" t="str">
        <f t="shared" si="18"/>
        <v/>
      </c>
      <c r="J426" s="28">
        <f t="shared" si="20"/>
        <v>0.20454545454545459</v>
      </c>
    </row>
    <row r="427" spans="1:10">
      <c r="A427" s="3">
        <v>481</v>
      </c>
      <c r="B427" t="s">
        <v>471</v>
      </c>
      <c r="C427" t="s">
        <v>456</v>
      </c>
      <c r="E427" s="3">
        <f t="shared" si="19"/>
        <v>1</v>
      </c>
      <c r="F427" s="5">
        <v>44256.625</v>
      </c>
      <c r="G427" s="19" t="str">
        <f t="shared" si="18"/>
        <v>2021-W09</v>
      </c>
      <c r="H427">
        <f>SUM(A427:A433)</f>
        <v>2787</v>
      </c>
      <c r="I427" s="28">
        <f>H427/H420-1</f>
        <v>0.11435425829668122</v>
      </c>
      <c r="J427" s="28">
        <f t="shared" si="20"/>
        <v>0.24611398963730569</v>
      </c>
    </row>
    <row r="428" spans="1:10">
      <c r="A428" s="3">
        <v>492</v>
      </c>
      <c r="B428" t="s">
        <v>472</v>
      </c>
      <c r="C428" t="s">
        <v>456</v>
      </c>
      <c r="E428" s="3">
        <f t="shared" si="19"/>
        <v>2</v>
      </c>
      <c r="F428" s="5">
        <v>44257.625</v>
      </c>
      <c r="G428" s="19" t="str">
        <f t="shared" si="18"/>
        <v/>
      </c>
      <c r="J428" s="28">
        <f t="shared" si="20"/>
        <v>0.28459530026109658</v>
      </c>
    </row>
    <row r="429" spans="1:10">
      <c r="A429" s="3">
        <v>475</v>
      </c>
      <c r="B429" t="s">
        <v>473</v>
      </c>
      <c r="C429" t="s">
        <v>456</v>
      </c>
      <c r="E429" s="3">
        <f t="shared" si="19"/>
        <v>3</v>
      </c>
      <c r="F429" s="5">
        <v>44258.625</v>
      </c>
      <c r="G429" s="19" t="str">
        <f t="shared" si="18"/>
        <v/>
      </c>
      <c r="J429" s="28">
        <f t="shared" si="20"/>
        <v>0.13908872901678659</v>
      </c>
    </row>
    <row r="430" spans="1:10">
      <c r="A430" s="3">
        <v>389</v>
      </c>
      <c r="B430" t="s">
        <v>474</v>
      </c>
      <c r="C430" t="s">
        <v>456</v>
      </c>
      <c r="E430" s="3">
        <f t="shared" si="19"/>
        <v>4</v>
      </c>
      <c r="F430" s="5">
        <v>44259.625</v>
      </c>
      <c r="G430" s="19" t="str">
        <f t="shared" si="18"/>
        <v/>
      </c>
      <c r="J430" s="28">
        <f t="shared" si="20"/>
        <v>9.8870056497175174E-2</v>
      </c>
    </row>
    <row r="431" spans="1:10">
      <c r="A431" s="3">
        <v>420</v>
      </c>
      <c r="B431" t="s">
        <v>475</v>
      </c>
      <c r="C431" t="s">
        <v>456</v>
      </c>
      <c r="E431" s="3">
        <f t="shared" si="19"/>
        <v>5</v>
      </c>
      <c r="F431" s="5">
        <v>44260.625</v>
      </c>
      <c r="G431" s="19" t="str">
        <f t="shared" si="18"/>
        <v/>
      </c>
      <c r="J431" s="28">
        <f t="shared" si="20"/>
        <v>-2.3255813953488413E-2</v>
      </c>
    </row>
    <row r="432" spans="1:10">
      <c r="A432" s="3">
        <v>275</v>
      </c>
      <c r="B432" t="s">
        <v>476</v>
      </c>
      <c r="C432" t="s">
        <v>456</v>
      </c>
      <c r="E432" s="3">
        <f t="shared" si="19"/>
        <v>6</v>
      </c>
      <c r="F432" s="5">
        <v>44261.625</v>
      </c>
      <c r="G432" s="19" t="str">
        <f t="shared" si="18"/>
        <v/>
      </c>
      <c r="J432" s="28">
        <f t="shared" si="20"/>
        <v>3.3834586466165328E-2</v>
      </c>
    </row>
    <row r="433" spans="1:10">
      <c r="A433" s="3">
        <v>255</v>
      </c>
      <c r="B433" t="s">
        <v>477</v>
      </c>
      <c r="C433" t="s">
        <v>456</v>
      </c>
      <c r="E433" s="3">
        <f t="shared" si="19"/>
        <v>7</v>
      </c>
      <c r="F433" s="5">
        <v>44262.625</v>
      </c>
      <c r="G433" s="19" t="str">
        <f t="shared" si="18"/>
        <v/>
      </c>
      <c r="J433" s="28">
        <f t="shared" si="20"/>
        <v>-3.7735849056603765E-2</v>
      </c>
    </row>
    <row r="434" spans="1:10">
      <c r="A434" s="3">
        <v>502</v>
      </c>
      <c r="B434" t="s">
        <v>478</v>
      </c>
      <c r="C434" t="s">
        <v>456</v>
      </c>
      <c r="E434" s="3">
        <f t="shared" si="19"/>
        <v>1</v>
      </c>
      <c r="F434" s="5">
        <v>44263.625</v>
      </c>
      <c r="G434" s="19" t="str">
        <f t="shared" si="18"/>
        <v>2021-W10</v>
      </c>
      <c r="H434">
        <f>SUM(A434:A440)</f>
        <v>3095</v>
      </c>
      <c r="I434" s="28">
        <f>H434/H427-1</f>
        <v>0.1105130965195551</v>
      </c>
      <c r="J434" s="28">
        <f t="shared" si="20"/>
        <v>4.3659043659043606E-2</v>
      </c>
    </row>
    <row r="435" spans="1:10">
      <c r="A435" s="3">
        <v>507</v>
      </c>
      <c r="B435" t="s">
        <v>479</v>
      </c>
      <c r="C435" t="s">
        <v>456</v>
      </c>
      <c r="E435" s="3">
        <f t="shared" si="19"/>
        <v>2</v>
      </c>
      <c r="F435" s="5">
        <v>44264.625</v>
      </c>
      <c r="G435" s="19" t="str">
        <f t="shared" si="18"/>
        <v/>
      </c>
      <c r="J435" s="28">
        <f t="shared" si="20"/>
        <v>3.0487804878048808E-2</v>
      </c>
    </row>
    <row r="436" spans="1:10">
      <c r="A436" s="3">
        <v>504</v>
      </c>
      <c r="B436" t="s">
        <v>480</v>
      </c>
      <c r="C436" t="s">
        <v>456</v>
      </c>
      <c r="E436" s="3">
        <f t="shared" si="19"/>
        <v>3</v>
      </c>
      <c r="F436" s="5">
        <v>44265.625</v>
      </c>
      <c r="G436" s="19" t="str">
        <f t="shared" si="18"/>
        <v/>
      </c>
      <c r="J436" s="28">
        <f t="shared" si="20"/>
        <v>6.1052631578947469E-2</v>
      </c>
    </row>
    <row r="437" spans="1:10">
      <c r="A437" s="3">
        <v>477</v>
      </c>
      <c r="B437" t="s">
        <v>481</v>
      </c>
      <c r="C437" t="s">
        <v>456</v>
      </c>
      <c r="E437" s="3">
        <f t="shared" si="19"/>
        <v>4</v>
      </c>
      <c r="F437" s="5">
        <v>44266.625</v>
      </c>
      <c r="G437" s="19" t="str">
        <f t="shared" si="18"/>
        <v/>
      </c>
      <c r="J437" s="28">
        <f t="shared" si="20"/>
        <v>0.22622107969151672</v>
      </c>
    </row>
    <row r="438" spans="1:10">
      <c r="A438" s="3">
        <v>517</v>
      </c>
      <c r="B438" t="s">
        <v>482</v>
      </c>
      <c r="C438" t="s">
        <v>456</v>
      </c>
      <c r="E438" s="3">
        <f t="shared" si="19"/>
        <v>5</v>
      </c>
      <c r="F438" s="5">
        <v>44267.625</v>
      </c>
      <c r="G438" s="19" t="str">
        <f t="shared" si="18"/>
        <v/>
      </c>
      <c r="J438" s="28">
        <f t="shared" si="20"/>
        <v>0.23095238095238102</v>
      </c>
    </row>
    <row r="439" spans="1:10">
      <c r="A439" s="3">
        <v>327</v>
      </c>
      <c r="B439" t="s">
        <v>483</v>
      </c>
      <c r="C439" t="s">
        <v>456</v>
      </c>
      <c r="E439" s="3">
        <f t="shared" si="19"/>
        <v>6</v>
      </c>
      <c r="F439" s="5">
        <v>44268.625</v>
      </c>
      <c r="G439" s="19" t="str">
        <f t="shared" si="18"/>
        <v/>
      </c>
      <c r="J439" s="28">
        <f t="shared" si="20"/>
        <v>0.1890909090909092</v>
      </c>
    </row>
    <row r="440" spans="1:10">
      <c r="A440" s="3">
        <v>261</v>
      </c>
      <c r="B440" t="s">
        <v>484</v>
      </c>
      <c r="C440" t="s">
        <v>456</v>
      </c>
      <c r="E440" s="3">
        <f t="shared" si="19"/>
        <v>7</v>
      </c>
      <c r="F440" s="5">
        <v>44269.625</v>
      </c>
      <c r="G440" s="19" t="str">
        <f t="shared" si="18"/>
        <v/>
      </c>
      <c r="J440" s="28">
        <f t="shared" si="20"/>
        <v>2.3529411764705799E-2</v>
      </c>
    </row>
    <row r="441" spans="1:10">
      <c r="A441" s="3">
        <v>508</v>
      </c>
      <c r="B441" t="s">
        <v>485</v>
      </c>
      <c r="C441" t="s">
        <v>456</v>
      </c>
      <c r="E441" s="3">
        <f t="shared" si="19"/>
        <v>1</v>
      </c>
      <c r="F441" s="5">
        <v>44270.625</v>
      </c>
      <c r="G441" s="19" t="str">
        <f t="shared" si="18"/>
        <v>2021-W11</v>
      </c>
      <c r="H441">
        <f>SUM(A441:A447)</f>
        <v>2850</v>
      </c>
      <c r="I441" s="28">
        <f>H441/H434-1</f>
        <v>-7.9159935379644608E-2</v>
      </c>
      <c r="J441" s="28">
        <f t="shared" si="20"/>
        <v>1.195219123505975E-2</v>
      </c>
    </row>
    <row r="442" spans="1:10">
      <c r="A442" s="3">
        <v>452</v>
      </c>
      <c r="B442" t="s">
        <v>486</v>
      </c>
      <c r="C442" t="s">
        <v>456</v>
      </c>
      <c r="E442" s="3">
        <f t="shared" si="19"/>
        <v>2</v>
      </c>
      <c r="F442" s="5">
        <v>44271.625</v>
      </c>
      <c r="G442" s="19" t="str">
        <f t="shared" si="18"/>
        <v/>
      </c>
      <c r="J442" s="28">
        <f t="shared" si="20"/>
        <v>-0.10848126232741617</v>
      </c>
    </row>
    <row r="443" spans="1:10">
      <c r="A443" s="3">
        <v>417</v>
      </c>
      <c r="B443" t="s">
        <v>487</v>
      </c>
      <c r="C443" t="s">
        <v>456</v>
      </c>
      <c r="E443" s="3">
        <f t="shared" si="19"/>
        <v>3</v>
      </c>
      <c r="F443" s="5">
        <v>44272.625</v>
      </c>
      <c r="G443" s="19" t="str">
        <f t="shared" si="18"/>
        <v/>
      </c>
      <c r="J443" s="28">
        <f t="shared" si="20"/>
        <v>-0.17261904761904767</v>
      </c>
    </row>
    <row r="444" spans="1:10">
      <c r="A444" s="3">
        <v>456</v>
      </c>
      <c r="B444" t="s">
        <v>488</v>
      </c>
      <c r="C444" t="s">
        <v>456</v>
      </c>
      <c r="E444" s="3">
        <f t="shared" si="19"/>
        <v>4</v>
      </c>
      <c r="F444" s="5">
        <v>44273.625</v>
      </c>
      <c r="G444" s="19" t="str">
        <f t="shared" si="18"/>
        <v/>
      </c>
      <c r="J444" s="28">
        <f t="shared" si="20"/>
        <v>-4.4025157232704393E-2</v>
      </c>
    </row>
    <row r="445" spans="1:10">
      <c r="A445" s="3">
        <v>444</v>
      </c>
      <c r="B445" t="s">
        <v>489</v>
      </c>
      <c r="C445" t="s">
        <v>456</v>
      </c>
      <c r="E445" s="3">
        <f t="shared" si="19"/>
        <v>5</v>
      </c>
      <c r="F445" s="5">
        <v>44274.625</v>
      </c>
      <c r="G445" s="19" t="str">
        <f t="shared" si="18"/>
        <v/>
      </c>
      <c r="J445" s="28">
        <f t="shared" si="20"/>
        <v>-0.14119922630560933</v>
      </c>
    </row>
    <row r="446" spans="1:10">
      <c r="A446" s="3">
        <v>287</v>
      </c>
      <c r="B446" t="s">
        <v>490</v>
      </c>
      <c r="C446" t="s">
        <v>456</v>
      </c>
      <c r="E446" s="3">
        <f t="shared" si="19"/>
        <v>6</v>
      </c>
      <c r="F446" s="5">
        <v>44275.625</v>
      </c>
      <c r="G446" s="19" t="str">
        <f t="shared" si="18"/>
        <v/>
      </c>
      <c r="J446" s="28">
        <f t="shared" si="20"/>
        <v>-0.1223241590214067</v>
      </c>
    </row>
    <row r="447" spans="1:10">
      <c r="A447" s="3">
        <v>286</v>
      </c>
      <c r="B447" t="s">
        <v>491</v>
      </c>
      <c r="C447" t="s">
        <v>456</v>
      </c>
      <c r="E447" s="3">
        <f t="shared" si="19"/>
        <v>7</v>
      </c>
      <c r="F447" s="5">
        <v>44276.625</v>
      </c>
      <c r="G447" s="19" t="str">
        <f t="shared" si="18"/>
        <v/>
      </c>
      <c r="J447" s="28">
        <f t="shared" si="20"/>
        <v>9.578544061302674E-2</v>
      </c>
    </row>
    <row r="448" spans="1:10">
      <c r="A448" s="3">
        <v>451</v>
      </c>
      <c r="B448" t="s">
        <v>492</v>
      </c>
      <c r="C448" t="s">
        <v>456</v>
      </c>
      <c r="E448" s="3">
        <f t="shared" si="19"/>
        <v>1</v>
      </c>
      <c r="F448" s="5">
        <v>44277.625</v>
      </c>
      <c r="G448" s="19" t="str">
        <f t="shared" si="18"/>
        <v>2021-W12</v>
      </c>
      <c r="H448">
        <f>SUM(A448:A454)</f>
        <v>2503</v>
      </c>
      <c r="I448" s="28">
        <f>H448/H441-1</f>
        <v>-0.12175438596491228</v>
      </c>
      <c r="J448" s="28">
        <f t="shared" si="20"/>
        <v>-0.11220472440944884</v>
      </c>
    </row>
    <row r="449" spans="1:10">
      <c r="A449" s="3">
        <v>452</v>
      </c>
      <c r="B449" t="s">
        <v>493</v>
      </c>
      <c r="C449" t="s">
        <v>456</v>
      </c>
      <c r="E449" s="3">
        <f t="shared" si="19"/>
        <v>2</v>
      </c>
      <c r="F449" s="5">
        <v>44278.625</v>
      </c>
      <c r="G449" s="19" t="str">
        <f t="shared" si="18"/>
        <v/>
      </c>
      <c r="J449" s="28">
        <f t="shared" si="20"/>
        <v>0</v>
      </c>
    </row>
    <row r="450" spans="1:10">
      <c r="A450" s="3">
        <v>393</v>
      </c>
      <c r="B450" t="s">
        <v>494</v>
      </c>
      <c r="C450" t="s">
        <v>456</v>
      </c>
      <c r="E450" s="3">
        <f t="shared" si="19"/>
        <v>3</v>
      </c>
      <c r="F450" s="5">
        <v>44279.625</v>
      </c>
      <c r="G450" s="19" t="str">
        <f t="shared" si="18"/>
        <v/>
      </c>
      <c r="J450" s="28">
        <f t="shared" si="20"/>
        <v>-5.7553956834532349E-2</v>
      </c>
    </row>
    <row r="451" spans="1:10">
      <c r="A451" s="3">
        <v>356</v>
      </c>
      <c r="B451" t="s">
        <v>495</v>
      </c>
      <c r="C451" t="s">
        <v>456</v>
      </c>
      <c r="E451" s="3">
        <f t="shared" si="19"/>
        <v>4</v>
      </c>
      <c r="F451" s="5">
        <v>44280.625</v>
      </c>
      <c r="G451" s="19" t="str">
        <f t="shared" ref="G451:G514" si="21">IF(WEEKDAY(F451,2)=1,YEAR(F451)&amp;"-W"&amp;TEXT(WEEKNUM(F451,14),"00"),"")</f>
        <v/>
      </c>
      <c r="J451" s="28">
        <f t="shared" si="20"/>
        <v>-0.2192982456140351</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245</v>
      </c>
      <c r="B454" t="s">
        <v>498</v>
      </c>
      <c r="C454" t="s">
        <v>456</v>
      </c>
      <c r="E454" s="3">
        <f t="shared" si="22"/>
        <v>7</v>
      </c>
      <c r="F454" s="5">
        <v>44283.625</v>
      </c>
      <c r="G454" s="19" t="str">
        <f t="shared" si="21"/>
        <v/>
      </c>
      <c r="J454" s="28">
        <f t="shared" si="20"/>
        <v>-0.14335664335664333</v>
      </c>
    </row>
    <row r="455" spans="1:10">
      <c r="A455" s="3">
        <v>377</v>
      </c>
      <c r="B455" t="s">
        <v>499</v>
      </c>
      <c r="C455" t="s">
        <v>456</v>
      </c>
      <c r="E455" s="3">
        <f t="shared" si="22"/>
        <v>1</v>
      </c>
      <c r="F455" s="5">
        <v>44284.625</v>
      </c>
      <c r="G455" s="19" t="str">
        <f t="shared" si="21"/>
        <v>2021-W13</v>
      </c>
      <c r="H455">
        <f>SUM(A455:A461)</f>
        <v>1899</v>
      </c>
      <c r="I455" s="28">
        <f>H455/H448-1</f>
        <v>-0.24131042748701559</v>
      </c>
      <c r="J455" s="28">
        <f t="shared" si="20"/>
        <v>-0.16407982261640797</v>
      </c>
    </row>
    <row r="456" spans="1:10">
      <c r="A456" s="3">
        <v>323</v>
      </c>
      <c r="B456" t="s">
        <v>500</v>
      </c>
      <c r="C456" t="s">
        <v>456</v>
      </c>
      <c r="E456" s="3">
        <f t="shared" si="22"/>
        <v>2</v>
      </c>
      <c r="F456" s="5">
        <v>44285.625</v>
      </c>
      <c r="G456" s="19" t="str">
        <f t="shared" si="21"/>
        <v/>
      </c>
      <c r="J456" s="28">
        <f t="shared" si="20"/>
        <v>-0.28539823008849563</v>
      </c>
    </row>
    <row r="457" spans="1:10">
      <c r="A457" s="3">
        <v>331</v>
      </c>
      <c r="B457" t="s">
        <v>501</v>
      </c>
      <c r="C457" t="s">
        <v>456</v>
      </c>
      <c r="E457" s="3">
        <f t="shared" si="22"/>
        <v>3</v>
      </c>
      <c r="F457" s="5">
        <v>44286.625</v>
      </c>
      <c r="G457" s="19" t="str">
        <f t="shared" si="21"/>
        <v/>
      </c>
      <c r="J457" s="28">
        <f t="shared" ref="J457:J520" si="23">A457/A450-1</f>
        <v>-0.15776081424936383</v>
      </c>
    </row>
    <row r="458" spans="1:10">
      <c r="A458" s="3">
        <v>253</v>
      </c>
      <c r="B458" t="s">
        <v>502</v>
      </c>
      <c r="C458" t="s">
        <v>456</v>
      </c>
      <c r="E458" s="3">
        <f t="shared" si="22"/>
        <v>4</v>
      </c>
      <c r="F458" s="5">
        <v>44287.625</v>
      </c>
      <c r="G458" s="19" t="str">
        <f t="shared" si="21"/>
        <v/>
      </c>
      <c r="J458" s="28">
        <f t="shared" si="23"/>
        <v>-0.2893258426966292</v>
      </c>
    </row>
    <row r="459" spans="1:10">
      <c r="A459" s="3">
        <v>222</v>
      </c>
      <c r="B459" t="s">
        <v>503</v>
      </c>
      <c r="C459" t="s">
        <v>456</v>
      </c>
      <c r="E459" s="3">
        <f t="shared" si="22"/>
        <v>5</v>
      </c>
      <c r="F459" s="5">
        <v>44288.625</v>
      </c>
      <c r="G459" s="19" t="str">
        <f t="shared" si="21"/>
        <v/>
      </c>
      <c r="J459" s="28">
        <f t="shared" si="23"/>
        <v>-0.45454545454545459</v>
      </c>
    </row>
    <row r="460" spans="1:10">
      <c r="A460" s="3">
        <v>187</v>
      </c>
      <c r="B460" t="s">
        <v>504</v>
      </c>
      <c r="C460" t="s">
        <v>456</v>
      </c>
      <c r="E460" s="3">
        <f t="shared" si="22"/>
        <v>6</v>
      </c>
      <c r="F460" s="5">
        <v>44289.625</v>
      </c>
      <c r="G460" s="19" t="str">
        <f t="shared" si="21"/>
        <v/>
      </c>
      <c r="J460" s="28">
        <f t="shared" si="23"/>
        <v>-6.0301507537688481E-2</v>
      </c>
    </row>
    <row r="461" spans="1:10">
      <c r="A461" s="3">
        <v>206</v>
      </c>
      <c r="B461" t="s">
        <v>505</v>
      </c>
      <c r="C461" t="s">
        <v>456</v>
      </c>
      <c r="E461" s="3">
        <f t="shared" si="22"/>
        <v>7</v>
      </c>
      <c r="F461" s="5">
        <v>44290.625</v>
      </c>
      <c r="G461" s="19" t="str">
        <f t="shared" si="21"/>
        <v/>
      </c>
      <c r="J461" s="28">
        <f t="shared" si="23"/>
        <v>-0.15918367346938778</v>
      </c>
    </row>
    <row r="462" spans="1:10">
      <c r="A462" s="3">
        <v>232</v>
      </c>
      <c r="B462" t="s">
        <v>506</v>
      </c>
      <c r="C462" t="s">
        <v>456</v>
      </c>
      <c r="E462" s="3">
        <f t="shared" si="22"/>
        <v>1</v>
      </c>
      <c r="F462" s="5">
        <v>44291.625</v>
      </c>
      <c r="G462" s="19" t="str">
        <f t="shared" si="21"/>
        <v>2021-W14</v>
      </c>
      <c r="H462">
        <f>SUM(A462:A468)</f>
        <v>1446</v>
      </c>
      <c r="I462" s="28">
        <f>H462/H455-1</f>
        <v>-0.23854660347551337</v>
      </c>
      <c r="J462" s="28">
        <f t="shared" si="23"/>
        <v>-0.38461538461538458</v>
      </c>
    </row>
    <row r="463" spans="1:10">
      <c r="A463" s="3">
        <v>304</v>
      </c>
      <c r="B463" t="s">
        <v>507</v>
      </c>
      <c r="C463" t="s">
        <v>456</v>
      </c>
      <c r="E463" s="3">
        <f t="shared" si="22"/>
        <v>2</v>
      </c>
      <c r="F463" s="5">
        <v>44292.625</v>
      </c>
      <c r="G463" s="19" t="str">
        <f t="shared" si="21"/>
        <v/>
      </c>
      <c r="J463" s="28">
        <f t="shared" si="23"/>
        <v>-5.8823529411764719E-2</v>
      </c>
    </row>
    <row r="464" spans="1:10">
      <c r="A464" s="3">
        <v>246</v>
      </c>
      <c r="B464" t="s">
        <v>508</v>
      </c>
      <c r="C464" t="s">
        <v>456</v>
      </c>
      <c r="E464" s="3">
        <f t="shared" si="22"/>
        <v>3</v>
      </c>
      <c r="F464" s="5">
        <v>44293.625</v>
      </c>
      <c r="G464" s="19" t="str">
        <f t="shared" si="21"/>
        <v/>
      </c>
      <c r="J464" s="28">
        <f t="shared" si="23"/>
        <v>-0.25679758308157097</v>
      </c>
    </row>
    <row r="465" spans="1:10">
      <c r="A465" s="3">
        <v>211</v>
      </c>
      <c r="B465" t="s">
        <v>509</v>
      </c>
      <c r="C465" t="s">
        <v>456</v>
      </c>
      <c r="E465" s="3">
        <f t="shared" si="22"/>
        <v>4</v>
      </c>
      <c r="F465" s="5">
        <v>44294.625</v>
      </c>
      <c r="G465" s="19" t="str">
        <f t="shared" si="21"/>
        <v/>
      </c>
      <c r="J465" s="28">
        <f t="shared" si="23"/>
        <v>-0.16600790513833996</v>
      </c>
    </row>
    <row r="466" spans="1:10">
      <c r="A466" s="3">
        <v>175</v>
      </c>
      <c r="B466" t="s">
        <v>510</v>
      </c>
      <c r="C466" t="s">
        <v>456</v>
      </c>
      <c r="E466" s="3">
        <f t="shared" si="22"/>
        <v>5</v>
      </c>
      <c r="F466" s="5">
        <v>44295.625</v>
      </c>
      <c r="G466" s="19" t="str">
        <f t="shared" si="21"/>
        <v/>
      </c>
      <c r="J466" s="28">
        <f t="shared" si="23"/>
        <v>-0.21171171171171166</v>
      </c>
    </row>
    <row r="467" spans="1:10">
      <c r="A467" s="3">
        <v>136</v>
      </c>
      <c r="B467" t="s">
        <v>511</v>
      </c>
      <c r="C467" t="s">
        <v>456</v>
      </c>
      <c r="E467" s="3">
        <f t="shared" si="22"/>
        <v>6</v>
      </c>
      <c r="F467" s="5">
        <v>44296.625</v>
      </c>
      <c r="G467" s="19" t="str">
        <f t="shared" si="21"/>
        <v/>
      </c>
      <c r="J467" s="28">
        <f t="shared" si="23"/>
        <v>-0.27272727272727271</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1007</v>
      </c>
      <c r="I469" s="28">
        <f>H469/H462-1</f>
        <v>-0.30359612724757956</v>
      </c>
      <c r="J469" s="28">
        <f t="shared" si="23"/>
        <v>-7.3275862068965525E-2</v>
      </c>
    </row>
    <row r="470" spans="1:10">
      <c r="A470" s="3">
        <v>155</v>
      </c>
      <c r="B470" t="s">
        <v>514</v>
      </c>
      <c r="C470" t="s">
        <v>456</v>
      </c>
      <c r="E470" s="3">
        <f t="shared" si="22"/>
        <v>2</v>
      </c>
      <c r="F470" s="5">
        <v>44299.625</v>
      </c>
      <c r="G470" s="19" t="str">
        <f t="shared" si="21"/>
        <v/>
      </c>
      <c r="J470" s="28">
        <f t="shared" si="23"/>
        <v>-0.49013157894736847</v>
      </c>
    </row>
    <row r="471" spans="1:10">
      <c r="A471" s="3">
        <v>169</v>
      </c>
      <c r="B471" t="s">
        <v>515</v>
      </c>
      <c r="C471" t="s">
        <v>456</v>
      </c>
      <c r="E471" s="3">
        <f t="shared" si="22"/>
        <v>3</v>
      </c>
      <c r="F471" s="5">
        <v>44300.625</v>
      </c>
      <c r="G471" s="19" t="str">
        <f t="shared" si="21"/>
        <v/>
      </c>
      <c r="J471" s="28">
        <f t="shared" si="23"/>
        <v>-0.31300813008130079</v>
      </c>
    </row>
    <row r="472" spans="1:10">
      <c r="A472" s="3">
        <v>128</v>
      </c>
      <c r="B472" t="s">
        <v>516</v>
      </c>
      <c r="C472" t="s">
        <v>456</v>
      </c>
      <c r="E472" s="3">
        <f t="shared" si="22"/>
        <v>4</v>
      </c>
      <c r="F472" s="5">
        <v>44301.625</v>
      </c>
      <c r="G472" s="19" t="str">
        <f t="shared" si="21"/>
        <v/>
      </c>
      <c r="J472" s="28">
        <f t="shared" si="23"/>
        <v>-0.39336492890995256</v>
      </c>
    </row>
    <row r="473" spans="1:10">
      <c r="A473" s="3">
        <v>129</v>
      </c>
      <c r="B473" t="s">
        <v>517</v>
      </c>
      <c r="C473" t="s">
        <v>456</v>
      </c>
      <c r="E473" s="3">
        <f t="shared" si="22"/>
        <v>5</v>
      </c>
      <c r="F473" s="5">
        <v>44302.625</v>
      </c>
      <c r="G473" s="19" t="str">
        <f t="shared" si="21"/>
        <v/>
      </c>
      <c r="J473" s="28">
        <f t="shared" si="23"/>
        <v>-0.2628571428571429</v>
      </c>
    </row>
    <row r="474" spans="1:10">
      <c r="A474" s="3">
        <v>124</v>
      </c>
      <c r="B474" t="s">
        <v>518</v>
      </c>
      <c r="C474" t="s">
        <v>456</v>
      </c>
      <c r="E474" s="3">
        <f t="shared" si="22"/>
        <v>6</v>
      </c>
      <c r="F474" s="5">
        <v>44303.625</v>
      </c>
      <c r="G474" s="19" t="str">
        <f t="shared" si="21"/>
        <v/>
      </c>
      <c r="J474" s="28">
        <f t="shared" si="23"/>
        <v>-8.8235294117647078E-2</v>
      </c>
    </row>
    <row r="475" spans="1:10">
      <c r="A475" s="3">
        <v>87</v>
      </c>
      <c r="B475" t="s">
        <v>519</v>
      </c>
      <c r="C475" t="s">
        <v>456</v>
      </c>
      <c r="E475" s="3">
        <f t="shared" si="22"/>
        <v>7</v>
      </c>
      <c r="F475" s="5">
        <v>44304.625</v>
      </c>
      <c r="G475" s="19" t="str">
        <f t="shared" si="21"/>
        <v/>
      </c>
      <c r="J475" s="28">
        <f t="shared" si="23"/>
        <v>-0.38732394366197187</v>
      </c>
    </row>
    <row r="476" spans="1:10">
      <c r="A476" s="3">
        <v>136</v>
      </c>
      <c r="B476" t="s">
        <v>520</v>
      </c>
      <c r="C476" t="s">
        <v>456</v>
      </c>
      <c r="E476" s="3">
        <f t="shared" si="22"/>
        <v>1</v>
      </c>
      <c r="F476" s="5">
        <v>44305.625</v>
      </c>
      <c r="G476" s="19" t="str">
        <f t="shared" si="21"/>
        <v>2021-W16</v>
      </c>
      <c r="H476">
        <f>SUM(A476:A482)</f>
        <v>814</v>
      </c>
      <c r="I476" s="28">
        <f>H476/H469-1</f>
        <v>-0.19165839126117179</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525</v>
      </c>
      <c r="C479" t="s">
        <v>456</v>
      </c>
      <c r="E479" s="3">
        <f t="shared" si="22"/>
        <v>4</v>
      </c>
      <c r="F479" s="5">
        <v>44308.625</v>
      </c>
      <c r="G479" s="19" t="str">
        <f t="shared" si="21"/>
        <v/>
      </c>
      <c r="J479" s="28">
        <f t="shared" si="23"/>
        <v>8.59375E-2</v>
      </c>
    </row>
    <row r="480" spans="1:10">
      <c r="A480" s="3">
        <v>110</v>
      </c>
      <c r="B480" t="s">
        <v>526</v>
      </c>
      <c r="C480" t="s">
        <v>456</v>
      </c>
      <c r="E480" s="3">
        <f t="shared" si="22"/>
        <v>5</v>
      </c>
      <c r="F480" s="5">
        <v>44309.625</v>
      </c>
      <c r="G480" s="19" t="str">
        <f t="shared" si="21"/>
        <v/>
      </c>
      <c r="J480" s="28">
        <f t="shared" si="23"/>
        <v>-0.1472868217054264</v>
      </c>
    </row>
    <row r="481" spans="1:10">
      <c r="A481" s="3">
        <v>85</v>
      </c>
      <c r="B481" t="s">
        <v>527</v>
      </c>
      <c r="C481" t="s">
        <v>456</v>
      </c>
      <c r="E481" s="3">
        <f t="shared" si="22"/>
        <v>6</v>
      </c>
      <c r="F481" s="5">
        <v>44310.625</v>
      </c>
      <c r="G481" s="19" t="str">
        <f t="shared" si="21"/>
        <v/>
      </c>
      <c r="J481" s="28">
        <f t="shared" si="23"/>
        <v>-0.31451612903225812</v>
      </c>
    </row>
    <row r="482" spans="1:10">
      <c r="A482" s="3">
        <v>85</v>
      </c>
      <c r="B482" t="s">
        <v>528</v>
      </c>
      <c r="C482" t="s">
        <v>456</v>
      </c>
      <c r="E482" s="3">
        <f t="shared" si="22"/>
        <v>7</v>
      </c>
      <c r="F482" s="5">
        <v>44311.625</v>
      </c>
      <c r="G482" s="19" t="str">
        <f t="shared" si="21"/>
        <v/>
      </c>
      <c r="J482" s="28">
        <f t="shared" si="23"/>
        <v>-2.2988505747126409E-2</v>
      </c>
    </row>
    <row r="483" spans="1:10">
      <c r="A483" s="3">
        <v>119</v>
      </c>
      <c r="B483" t="s">
        <v>529</v>
      </c>
      <c r="C483" t="s">
        <v>456</v>
      </c>
      <c r="E483" s="3">
        <f t="shared" si="22"/>
        <v>1</v>
      </c>
      <c r="F483" s="5">
        <v>44312.625</v>
      </c>
      <c r="G483" s="19" t="str">
        <f t="shared" si="21"/>
        <v>2021-W17</v>
      </c>
      <c r="H483">
        <f>SUM(A483:A489)</f>
        <v>651</v>
      </c>
      <c r="I483" s="28">
        <f>H483/H476-1</f>
        <v>-0.20024570024570021</v>
      </c>
      <c r="J483" s="28">
        <f t="shared" si="23"/>
        <v>-0.125</v>
      </c>
    </row>
    <row r="484" spans="1:10">
      <c r="A484" s="3">
        <v>109</v>
      </c>
      <c r="B484" t="s">
        <v>530</v>
      </c>
      <c r="C484" t="s">
        <v>456</v>
      </c>
      <c r="E484" s="3">
        <f t="shared" si="22"/>
        <v>2</v>
      </c>
      <c r="F484" s="5">
        <v>44313.625</v>
      </c>
      <c r="G484" s="19" t="str">
        <f t="shared" si="21"/>
        <v/>
      </c>
      <c r="J484" s="28">
        <f t="shared" si="23"/>
        <v>-0.24827586206896557</v>
      </c>
    </row>
    <row r="485" spans="1:10">
      <c r="A485" s="3">
        <v>143</v>
      </c>
      <c r="B485" t="s">
        <v>531</v>
      </c>
      <c r="C485" t="s">
        <v>456</v>
      </c>
      <c r="E485" s="3">
        <f t="shared" si="22"/>
        <v>3</v>
      </c>
      <c r="F485" s="5">
        <v>44314.625</v>
      </c>
      <c r="G485" s="19" t="str">
        <f t="shared" si="21"/>
        <v/>
      </c>
      <c r="J485" s="28">
        <f t="shared" si="23"/>
        <v>0.2543859649122806</v>
      </c>
    </row>
    <row r="486" spans="1:10">
      <c r="A486" s="3">
        <v>85</v>
      </c>
      <c r="B486" t="s">
        <v>532</v>
      </c>
      <c r="C486" t="s">
        <v>456</v>
      </c>
      <c r="E486" s="3">
        <f t="shared" si="22"/>
        <v>4</v>
      </c>
      <c r="F486" s="5">
        <v>44315.625</v>
      </c>
      <c r="G486" s="19" t="str">
        <f t="shared" si="21"/>
        <v/>
      </c>
      <c r="J486" s="28">
        <f t="shared" si="23"/>
        <v>-0.38848920863309355</v>
      </c>
    </row>
    <row r="487" spans="1:10">
      <c r="A487" s="3">
        <v>92</v>
      </c>
      <c r="B487" t="s">
        <v>533</v>
      </c>
      <c r="C487" t="s">
        <v>456</v>
      </c>
      <c r="E487" s="3">
        <f t="shared" si="22"/>
        <v>5</v>
      </c>
      <c r="F487" s="5">
        <v>44316.625</v>
      </c>
      <c r="G487" s="19" t="str">
        <f t="shared" si="21"/>
        <v/>
      </c>
      <c r="J487" s="28">
        <f t="shared" si="23"/>
        <v>-0.16363636363636369</v>
      </c>
    </row>
    <row r="488" spans="1:10">
      <c r="A488" s="3">
        <v>46</v>
      </c>
      <c r="B488" t="s">
        <v>534</v>
      </c>
      <c r="C488" t="s">
        <v>456</v>
      </c>
      <c r="E488" s="3">
        <f t="shared" si="22"/>
        <v>6</v>
      </c>
      <c r="F488" s="5">
        <v>44317.625</v>
      </c>
      <c r="G488" s="19" t="str">
        <f t="shared" si="21"/>
        <v/>
      </c>
      <c r="J488" s="28">
        <f t="shared" si="23"/>
        <v>-0.45882352941176474</v>
      </c>
    </row>
    <row r="489" spans="1:10">
      <c r="A489" s="3">
        <v>57</v>
      </c>
      <c r="B489" t="s">
        <v>535</v>
      </c>
      <c r="C489" t="s">
        <v>456</v>
      </c>
      <c r="E489" s="3">
        <f t="shared" si="22"/>
        <v>7</v>
      </c>
      <c r="F489" s="5">
        <v>44318.625</v>
      </c>
      <c r="G489" s="19" t="str">
        <f t="shared" si="21"/>
        <v/>
      </c>
      <c r="J489" s="28">
        <f t="shared" si="23"/>
        <v>-0.3294117647058824</v>
      </c>
    </row>
    <row r="490" spans="1:10">
      <c r="A490" s="3">
        <v>87</v>
      </c>
      <c r="B490" t="s">
        <v>536</v>
      </c>
      <c r="C490" t="s">
        <v>456</v>
      </c>
      <c r="E490" s="3">
        <f t="shared" si="22"/>
        <v>1</v>
      </c>
      <c r="F490" s="5">
        <v>44319.625</v>
      </c>
      <c r="G490" s="19" t="str">
        <f t="shared" si="21"/>
        <v>2021-W18</v>
      </c>
      <c r="H490">
        <f>SUM(A490:A496)</f>
        <v>87</v>
      </c>
      <c r="I490" s="28">
        <f>H490/H483-1</f>
        <v>-0.86635944700460832</v>
      </c>
      <c r="J490" s="28">
        <f t="shared" si="23"/>
        <v>-0.26890756302521013</v>
      </c>
    </row>
    <row r="491" spans="1:10">
      <c r="A491" s="3">
        <v>0</v>
      </c>
      <c r="B491" t="s">
        <v>537</v>
      </c>
      <c r="C491" t="s">
        <v>456</v>
      </c>
      <c r="E491" s="3">
        <f t="shared" si="22"/>
        <v>2</v>
      </c>
      <c r="F491" s="5">
        <v>44320.362951388888</v>
      </c>
      <c r="G491" s="19" t="str">
        <f t="shared" si="21"/>
        <v/>
      </c>
      <c r="J491" s="28">
        <f t="shared" si="23"/>
        <v>-1</v>
      </c>
    </row>
    <row r="492" spans="1:10">
      <c r="E492" s="3">
        <f t="shared" si="22"/>
        <v>6</v>
      </c>
      <c r="G492" s="19" t="str">
        <f t="shared" si="21"/>
        <v/>
      </c>
      <c r="J492" s="28">
        <f t="shared" si="23"/>
        <v>-1</v>
      </c>
    </row>
    <row r="493" spans="1:10">
      <c r="E493" s="3">
        <f t="shared" si="22"/>
        <v>6</v>
      </c>
      <c r="G493" s="19" t="str">
        <f t="shared" si="21"/>
        <v/>
      </c>
      <c r="J493" s="28">
        <f t="shared" si="23"/>
        <v>-1</v>
      </c>
    </row>
    <row r="494" spans="1:10">
      <c r="E494" s="3">
        <f t="shared" si="22"/>
        <v>6</v>
      </c>
      <c r="G494" s="19" t="str">
        <f t="shared" si="21"/>
        <v/>
      </c>
      <c r="J494" s="28">
        <f t="shared" si="23"/>
        <v>-1</v>
      </c>
    </row>
    <row r="495" spans="1:10">
      <c r="E495" s="3">
        <f t="shared" si="22"/>
        <v>6</v>
      </c>
      <c r="G495" s="19" t="str">
        <f t="shared" si="21"/>
        <v/>
      </c>
      <c r="J495" s="28">
        <f t="shared" si="23"/>
        <v>-1</v>
      </c>
    </row>
    <row r="496" spans="1:10">
      <c r="E496" s="3">
        <f t="shared" si="22"/>
        <v>6</v>
      </c>
      <c r="G496" s="19" t="str">
        <f t="shared" si="21"/>
        <v/>
      </c>
      <c r="J496" s="28">
        <f t="shared" si="23"/>
        <v>-1</v>
      </c>
    </row>
    <row r="497" spans="5:10">
      <c r="E497" s="3">
        <f t="shared" si="22"/>
        <v>6</v>
      </c>
      <c r="G497" s="19" t="str">
        <f t="shared" si="21"/>
        <v/>
      </c>
      <c r="H497">
        <f>SUM(A497:A503)</f>
        <v>0</v>
      </c>
      <c r="I497" s="28">
        <f>H497/H490-1</f>
        <v>-1</v>
      </c>
      <c r="J497" s="28">
        <f t="shared" si="23"/>
        <v>-1</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1362075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85546875" bestFit="1" customWidth="1"/>
    <col min="4" max="4" width="10.140625" bestFit="1" customWidth="1"/>
    <col min="5" max="5" width="8.85546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85</v>
      </c>
      <c r="E273" s="38">
        <f t="shared" si="4"/>
        <v>0.68548387096774188</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166</v>
      </c>
      <c r="D275">
        <f>HUS!A275</f>
        <v>93</v>
      </c>
      <c r="E275" s="38">
        <f t="shared" si="4"/>
        <v>0.56024096385542166</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398</v>
      </c>
      <c r="D371">
        <f>HUS!A371</f>
        <v>197</v>
      </c>
      <c r="E371" s="38">
        <f t="shared" si="5"/>
        <v>0.49497487437185927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376</v>
      </c>
      <c r="D396">
        <f>HUS!A396</f>
        <v>189</v>
      </c>
      <c r="E396" s="38">
        <f t="shared" si="6"/>
        <v>0.50265957446808507</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273</v>
      </c>
      <c r="D398">
        <f>HUS!A398</f>
        <v>166</v>
      </c>
      <c r="E398" s="38">
        <f t="shared" si="6"/>
        <v>0.60805860805860801</v>
      </c>
    </row>
    <row r="399" spans="1:5">
      <c r="A399" s="30">
        <f>Kaikki!F399</f>
        <v>44228.625</v>
      </c>
      <c r="B399" s="37" t="str">
        <f>Kaikki!G399</f>
        <v>2021-W05</v>
      </c>
      <c r="C399">
        <f>Kaikki!A399</f>
        <v>534</v>
      </c>
      <c r="D399">
        <f>HUS!A399</f>
        <v>297</v>
      </c>
      <c r="E399" s="38">
        <f t="shared" si="6"/>
        <v>0.5561797752808989</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368</v>
      </c>
      <c r="D403">
        <f>HUS!A403</f>
        <v>217</v>
      </c>
      <c r="E403" s="38">
        <f t="shared" si="6"/>
        <v>0.58967391304347827</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462</v>
      </c>
      <c r="D406">
        <f>HUS!A406</f>
        <v>296</v>
      </c>
      <c r="E406" s="38">
        <f t="shared" si="6"/>
        <v>0.64069264069264065</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229</v>
      </c>
      <c r="E408" s="38">
        <f t="shared" si="6"/>
        <v>0.59791122715404699</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260</v>
      </c>
      <c r="E410" s="38">
        <f t="shared" si="6"/>
        <v>0.62052505966587113</v>
      </c>
    </row>
    <row r="411" spans="1:5">
      <c r="A411" s="30">
        <f>Kaikki!F411</f>
        <v>44240.625</v>
      </c>
      <c r="B411" s="37" t="str">
        <f>Kaikki!G411</f>
        <v/>
      </c>
      <c r="C411">
        <f>Kaikki!A411</f>
        <v>278</v>
      </c>
      <c r="D411">
        <f>HUS!A411</f>
        <v>190</v>
      </c>
      <c r="E411" s="38">
        <f t="shared" si="6"/>
        <v>0.68345323741007191</v>
      </c>
    </row>
    <row r="412" spans="1:5">
      <c r="A412" s="30">
        <f>Kaikki!F412</f>
        <v>44241.625</v>
      </c>
      <c r="B412" s="37" t="str">
        <f>Kaikki!G412</f>
        <v/>
      </c>
      <c r="C412">
        <f>Kaikki!A412</f>
        <v>282</v>
      </c>
      <c r="D412">
        <f>HUS!A412</f>
        <v>182</v>
      </c>
      <c r="E412" s="38">
        <f t="shared" si="6"/>
        <v>0.64539007092198586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515</v>
      </c>
      <c r="D414">
        <f>HUS!A414</f>
        <v>329</v>
      </c>
      <c r="E414" s="38">
        <f t="shared" si="6"/>
        <v>0.63883495145631064</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571</v>
      </c>
      <c r="D417">
        <f>HUS!A417</f>
        <v>304</v>
      </c>
      <c r="E417" s="38">
        <f t="shared" si="6"/>
        <v>0.53239929947460596</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386</v>
      </c>
      <c r="E420" s="38">
        <f t="shared" si="6"/>
        <v>0.61958266452648481</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619</v>
      </c>
      <c r="D423">
        <f>HUS!A423</f>
        <v>354</v>
      </c>
      <c r="E423" s="38">
        <f t="shared" si="6"/>
        <v>0.57189014539579963</v>
      </c>
    </row>
    <row r="424" spans="1:5">
      <c r="A424" s="30">
        <f>Kaikki!F424</f>
        <v>44253.625</v>
      </c>
      <c r="B424" s="37" t="str">
        <f>Kaikki!G424</f>
        <v/>
      </c>
      <c r="C424">
        <f>Kaikki!A424</f>
        <v>689</v>
      </c>
      <c r="D424">
        <f>HUS!A424</f>
        <v>430</v>
      </c>
      <c r="E424" s="38">
        <f t="shared" si="6"/>
        <v>0.62409288824383169</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420</v>
      </c>
      <c r="D426">
        <f>HUS!A426</f>
        <v>265</v>
      </c>
      <c r="E426" s="38">
        <f t="shared" si="6"/>
        <v>0.63095238095238093</v>
      </c>
    </row>
    <row r="427" spans="1:5">
      <c r="A427" s="30">
        <f>Kaikki!F427</f>
        <v>44256.625</v>
      </c>
      <c r="B427" s="37" t="str">
        <f>Kaikki!G427</f>
        <v>2021-W09</v>
      </c>
      <c r="C427">
        <f>Kaikki!A427</f>
        <v>871</v>
      </c>
      <c r="D427">
        <f>HUS!A427</f>
        <v>481</v>
      </c>
      <c r="E427" s="38">
        <f t="shared" si="6"/>
        <v>0.55223880597014929</v>
      </c>
    </row>
    <row r="428" spans="1:5">
      <c r="A428" s="30">
        <f>Kaikki!F428</f>
        <v>44257.625</v>
      </c>
      <c r="B428" s="37" t="str">
        <f>Kaikki!G428</f>
        <v/>
      </c>
      <c r="C428">
        <f>Kaikki!A428</f>
        <v>759</v>
      </c>
      <c r="D428">
        <f>HUS!A428</f>
        <v>492</v>
      </c>
      <c r="E428" s="38">
        <f t="shared" si="6"/>
        <v>0.64822134387351782</v>
      </c>
    </row>
    <row r="429" spans="1:5">
      <c r="A429" s="30">
        <f>Kaikki!F429</f>
        <v>44258.625</v>
      </c>
      <c r="B429" s="37" t="str">
        <f>Kaikki!G429</f>
        <v/>
      </c>
      <c r="C429">
        <f>Kaikki!A429</f>
        <v>732</v>
      </c>
      <c r="D429">
        <f>HUS!A429</f>
        <v>475</v>
      </c>
      <c r="E429" s="38">
        <f t="shared" si="6"/>
        <v>0.64890710382513661</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431</v>
      </c>
      <c r="D432">
        <f>HUS!A432</f>
        <v>275</v>
      </c>
      <c r="E432" s="38">
        <f t="shared" si="6"/>
        <v>0.63805104408352664</v>
      </c>
    </row>
    <row r="433" spans="1:5">
      <c r="A433" s="30">
        <f>Kaikki!F433</f>
        <v>44262.625</v>
      </c>
      <c r="B433" s="37" t="str">
        <f>Kaikki!G433</f>
        <v/>
      </c>
      <c r="C433">
        <f>Kaikki!A433</f>
        <v>396</v>
      </c>
      <c r="D433">
        <f>HUS!A433</f>
        <v>255</v>
      </c>
      <c r="E433" s="38">
        <f t="shared" si="6"/>
        <v>0.64393939393939392</v>
      </c>
    </row>
    <row r="434" spans="1:5">
      <c r="A434" s="30">
        <f>Kaikki!F434</f>
        <v>44263.625</v>
      </c>
      <c r="B434" s="37" t="str">
        <f>Kaikki!G434</f>
        <v>2021-W10</v>
      </c>
      <c r="C434">
        <f>Kaikki!A434</f>
        <v>834</v>
      </c>
      <c r="D434">
        <f>HUS!A434</f>
        <v>502</v>
      </c>
      <c r="E434" s="38">
        <f t="shared" si="6"/>
        <v>0.60191846522781778</v>
      </c>
    </row>
    <row r="435" spans="1:5">
      <c r="A435" s="30">
        <f>Kaikki!F435</f>
        <v>44264.625</v>
      </c>
      <c r="B435" s="37" t="str">
        <f>Kaikki!G435</f>
        <v/>
      </c>
      <c r="C435">
        <f>Kaikki!A435</f>
        <v>774</v>
      </c>
      <c r="D435">
        <f>HUS!A435</f>
        <v>507</v>
      </c>
      <c r="E435" s="38">
        <f t="shared" si="6"/>
        <v>0.65503875968992253</v>
      </c>
    </row>
    <row r="436" spans="1:5">
      <c r="A436" s="30">
        <f>Kaikki!F436</f>
        <v>44265.625</v>
      </c>
      <c r="B436" s="37" t="str">
        <f>Kaikki!G436</f>
        <v/>
      </c>
      <c r="C436">
        <f>Kaikki!A436</f>
        <v>822</v>
      </c>
      <c r="D436">
        <f>HUS!A436</f>
        <v>504</v>
      </c>
      <c r="E436" s="38">
        <f t="shared" si="6"/>
        <v>0.61313868613138689</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517</v>
      </c>
      <c r="E438" s="38">
        <f t="shared" si="6"/>
        <v>0.63985148514851486</v>
      </c>
    </row>
    <row r="439" spans="1:5">
      <c r="A439" s="30">
        <f>Kaikki!F439</f>
        <v>44268.625</v>
      </c>
      <c r="B439" s="37" t="str">
        <f>Kaikki!G439</f>
        <v/>
      </c>
      <c r="C439">
        <f>Kaikki!A439</f>
        <v>491</v>
      </c>
      <c r="D439">
        <f>HUS!A439</f>
        <v>327</v>
      </c>
      <c r="E439" s="38">
        <f t="shared" si="6"/>
        <v>0.66598778004073322</v>
      </c>
    </row>
    <row r="440" spans="1:5">
      <c r="A440" s="30">
        <f>Kaikki!F440</f>
        <v>44269.625</v>
      </c>
      <c r="B440" s="37" t="str">
        <f>Kaikki!G440</f>
        <v/>
      </c>
      <c r="C440">
        <f>Kaikki!A440</f>
        <v>433</v>
      </c>
      <c r="D440">
        <f>HUS!A440</f>
        <v>261</v>
      </c>
      <c r="E440" s="38">
        <f t="shared" si="6"/>
        <v>0.60277136258660513</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763</v>
      </c>
      <c r="D442">
        <f>HUS!A442</f>
        <v>452</v>
      </c>
      <c r="E442" s="38">
        <f t="shared" si="6"/>
        <v>0.5923984272608126</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736</v>
      </c>
      <c r="D444">
        <f>HUS!A444</f>
        <v>456</v>
      </c>
      <c r="E444" s="38">
        <f t="shared" si="6"/>
        <v>0.61956521739130432</v>
      </c>
    </row>
    <row r="445" spans="1:5">
      <c r="A445" s="30">
        <f>Kaikki!F445</f>
        <v>44274.625</v>
      </c>
      <c r="B445" s="37" t="str">
        <f>Kaikki!G445</f>
        <v/>
      </c>
      <c r="C445">
        <f>Kaikki!A445</f>
        <v>744</v>
      </c>
      <c r="D445">
        <f>HUS!A445</f>
        <v>444</v>
      </c>
      <c r="E445" s="38">
        <f t="shared" si="6"/>
        <v>0.59677419354838712</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417</v>
      </c>
      <c r="D447">
        <f>HUS!A447</f>
        <v>286</v>
      </c>
      <c r="E447" s="38">
        <f t="shared" si="6"/>
        <v>0.68585131894484408</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703</v>
      </c>
      <c r="D449">
        <f>HUS!A449</f>
        <v>452</v>
      </c>
      <c r="E449" s="38">
        <f t="shared" si="6"/>
        <v>0.64295874822190613</v>
      </c>
    </row>
    <row r="450" spans="1:5">
      <c r="A450" s="30">
        <f>Kaikki!F450</f>
        <v>44279.625</v>
      </c>
      <c r="B450" s="37" t="str">
        <f>Kaikki!G450</f>
        <v/>
      </c>
      <c r="C450">
        <f>Kaikki!A450</f>
        <v>694</v>
      </c>
      <c r="D450">
        <f>HUS!A450</f>
        <v>393</v>
      </c>
      <c r="E450" s="38">
        <f t="shared" si="6"/>
        <v>0.56628242074927959</v>
      </c>
    </row>
    <row r="451" spans="1:5">
      <c r="A451" s="30">
        <f>Kaikki!F451</f>
        <v>44280.625</v>
      </c>
      <c r="B451" s="37" t="str">
        <f>Kaikki!G451</f>
        <v/>
      </c>
      <c r="C451">
        <f>Kaikki!A451</f>
        <v>607</v>
      </c>
      <c r="D451">
        <f>HUS!A451</f>
        <v>356</v>
      </c>
      <c r="E451" s="38">
        <f t="shared" ref="E451:E514" si="7">D451/C451</f>
        <v>0.58649093904448102</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370</v>
      </c>
      <c r="D454">
        <f>HUS!A454</f>
        <v>245</v>
      </c>
      <c r="E454" s="38">
        <f t="shared" si="7"/>
        <v>0.66216216216216217</v>
      </c>
    </row>
    <row r="455" spans="1:5">
      <c r="A455" s="30">
        <f>Kaikki!F455</f>
        <v>44284.625</v>
      </c>
      <c r="B455" s="37" t="str">
        <f>Kaikki!G455</f>
        <v>2021-W13</v>
      </c>
      <c r="C455">
        <f>Kaikki!A455</f>
        <v>653</v>
      </c>
      <c r="D455">
        <f>HUS!A455</f>
        <v>377</v>
      </c>
      <c r="E455" s="38">
        <f t="shared" si="7"/>
        <v>0.57733537519142419</v>
      </c>
    </row>
    <row r="456" spans="1:5">
      <c r="A456" s="30">
        <f>Kaikki!F456</f>
        <v>44285.625</v>
      </c>
      <c r="B456" s="37" t="str">
        <f>Kaikki!G456</f>
        <v/>
      </c>
      <c r="C456">
        <f>Kaikki!A456</f>
        <v>570</v>
      </c>
      <c r="D456">
        <f>HUS!A456</f>
        <v>323</v>
      </c>
      <c r="E456" s="38">
        <f t="shared" si="7"/>
        <v>0.56666666666666665</v>
      </c>
    </row>
    <row r="457" spans="1:5">
      <c r="A457" s="30">
        <f>Kaikki!F457</f>
        <v>44286.625</v>
      </c>
      <c r="B457" s="37" t="str">
        <f>Kaikki!G457</f>
        <v/>
      </c>
      <c r="C457">
        <f>Kaikki!A457</f>
        <v>550</v>
      </c>
      <c r="D457">
        <f>HUS!A457</f>
        <v>331</v>
      </c>
      <c r="E457" s="38">
        <f t="shared" si="7"/>
        <v>0.60181818181818181</v>
      </c>
    </row>
    <row r="458" spans="1:5">
      <c r="A458" s="30">
        <f>Kaikki!F458</f>
        <v>44287.625</v>
      </c>
      <c r="B458" s="37" t="str">
        <f>Kaikki!G458</f>
        <v/>
      </c>
      <c r="C458">
        <f>Kaikki!A458</f>
        <v>487</v>
      </c>
      <c r="D458">
        <f>HUS!A458</f>
        <v>253</v>
      </c>
      <c r="E458" s="38">
        <f t="shared" si="7"/>
        <v>0.51950718685831621</v>
      </c>
    </row>
    <row r="459" spans="1:5">
      <c r="A459" s="30">
        <f>Kaikki!F459</f>
        <v>44288.625</v>
      </c>
      <c r="B459" s="37" t="str">
        <f>Kaikki!G459</f>
        <v/>
      </c>
      <c r="C459">
        <f>Kaikki!A459</f>
        <v>361</v>
      </c>
      <c r="D459">
        <f>HUS!A459</f>
        <v>222</v>
      </c>
      <c r="E459" s="38">
        <f t="shared" si="7"/>
        <v>0.61495844875346262</v>
      </c>
    </row>
    <row r="460" spans="1:5">
      <c r="A460" s="30">
        <f>Kaikki!F460</f>
        <v>44289.625</v>
      </c>
      <c r="B460" s="37" t="str">
        <f>Kaikki!G460</f>
        <v/>
      </c>
      <c r="C460">
        <f>Kaikki!A460</f>
        <v>319</v>
      </c>
      <c r="D460">
        <f>HUS!A460</f>
        <v>187</v>
      </c>
      <c r="E460" s="38">
        <f t="shared" si="7"/>
        <v>0.58620689655172409</v>
      </c>
    </row>
    <row r="461" spans="1:5">
      <c r="A461" s="30">
        <f>Kaikki!F461</f>
        <v>44290.625</v>
      </c>
      <c r="B461" s="37" t="str">
        <f>Kaikki!G461</f>
        <v/>
      </c>
      <c r="C461">
        <f>Kaikki!A461</f>
        <v>320</v>
      </c>
      <c r="D461">
        <f>HUS!A461</f>
        <v>206</v>
      </c>
      <c r="E461" s="38">
        <f t="shared" si="7"/>
        <v>0.64375000000000004</v>
      </c>
    </row>
    <row r="462" spans="1:5">
      <c r="A462" s="30">
        <f>Kaikki!F462</f>
        <v>44291.625</v>
      </c>
      <c r="B462" s="37" t="str">
        <f>Kaikki!G462</f>
        <v>2021-W14</v>
      </c>
      <c r="C462">
        <f>Kaikki!A462</f>
        <v>359</v>
      </c>
      <c r="D462">
        <f>HUS!A462</f>
        <v>232</v>
      </c>
      <c r="E462" s="38">
        <f t="shared" si="7"/>
        <v>0.64623955431754876</v>
      </c>
    </row>
    <row r="463" spans="1:5">
      <c r="A463" s="30">
        <f>Kaikki!F463</f>
        <v>44292.625</v>
      </c>
      <c r="B463" s="37" t="str">
        <f>Kaikki!G463</f>
        <v/>
      </c>
      <c r="C463">
        <f>Kaikki!A463</f>
        <v>544</v>
      </c>
      <c r="D463">
        <f>HUS!A463</f>
        <v>304</v>
      </c>
      <c r="E463" s="38">
        <f t="shared" si="7"/>
        <v>0.55882352941176472</v>
      </c>
    </row>
    <row r="464" spans="1:5">
      <c r="A464" s="30">
        <f>Kaikki!F464</f>
        <v>44293.625</v>
      </c>
      <c r="B464" s="37" t="str">
        <f>Kaikki!G464</f>
        <v/>
      </c>
      <c r="C464">
        <f>Kaikki!A464</f>
        <v>425</v>
      </c>
      <c r="D464">
        <f>HUS!A464</f>
        <v>246</v>
      </c>
      <c r="E464" s="38">
        <f t="shared" si="7"/>
        <v>0.57882352941176474</v>
      </c>
    </row>
    <row r="465" spans="1:5">
      <c r="A465" s="30">
        <f>Kaikki!F465</f>
        <v>44294.625</v>
      </c>
      <c r="B465" s="37" t="str">
        <f>Kaikki!G465</f>
        <v/>
      </c>
      <c r="C465">
        <f>Kaikki!A465</f>
        <v>403</v>
      </c>
      <c r="D465">
        <f>HUS!A465</f>
        <v>211</v>
      </c>
      <c r="E465" s="38">
        <f t="shared" si="7"/>
        <v>0.52357320099255578</v>
      </c>
    </row>
    <row r="466" spans="1:5">
      <c r="A466" s="30">
        <f>Kaikki!F466</f>
        <v>44295.625</v>
      </c>
      <c r="B466" s="37" t="str">
        <f>Kaikki!G466</f>
        <v/>
      </c>
      <c r="C466">
        <f>Kaikki!A466</f>
        <v>348</v>
      </c>
      <c r="D466">
        <f>HUS!A466</f>
        <v>175</v>
      </c>
      <c r="E466" s="38">
        <f t="shared" si="7"/>
        <v>0.50287356321839083</v>
      </c>
    </row>
    <row r="467" spans="1:5">
      <c r="A467" s="30">
        <f>Kaikki!F467</f>
        <v>44296.625</v>
      </c>
      <c r="B467" s="37" t="str">
        <f>Kaikki!G467</f>
        <v/>
      </c>
      <c r="C467">
        <f>Kaikki!A467</f>
        <v>225</v>
      </c>
      <c r="D467">
        <f>HUS!A467</f>
        <v>136</v>
      </c>
      <c r="E467" s="38">
        <f t="shared" si="7"/>
        <v>0.60444444444444445</v>
      </c>
    </row>
    <row r="468" spans="1:5">
      <c r="A468" s="30">
        <f>Kaikki!F468</f>
        <v>44297.625</v>
      </c>
      <c r="B468" s="37" t="str">
        <f>Kaikki!G468</f>
        <v/>
      </c>
      <c r="C468">
        <f>Kaikki!A468</f>
        <v>238</v>
      </c>
      <c r="D468">
        <f>HUS!A468</f>
        <v>142</v>
      </c>
      <c r="E468" s="38">
        <f t="shared" si="7"/>
        <v>0.59663865546218486</v>
      </c>
    </row>
    <row r="469" spans="1:5">
      <c r="A469" s="30">
        <f>Kaikki!F469</f>
        <v>44298.625</v>
      </c>
      <c r="B469" s="37" t="str">
        <f>Kaikki!G469</f>
        <v>2021-W15</v>
      </c>
      <c r="C469">
        <f>Kaikki!A469</f>
        <v>396</v>
      </c>
      <c r="D469">
        <f>HUS!A469</f>
        <v>215</v>
      </c>
      <c r="E469" s="38">
        <f t="shared" si="7"/>
        <v>0.54292929292929293</v>
      </c>
    </row>
    <row r="470" spans="1:5">
      <c r="A470" s="30">
        <f>Kaikki!F470</f>
        <v>44299.625</v>
      </c>
      <c r="B470" s="37" t="str">
        <f>Kaikki!G470</f>
        <v/>
      </c>
      <c r="C470">
        <f>Kaikki!A470</f>
        <v>325</v>
      </c>
      <c r="D470">
        <f>HUS!A470</f>
        <v>155</v>
      </c>
      <c r="E470" s="38">
        <f t="shared" si="7"/>
        <v>0.47692307692307695</v>
      </c>
    </row>
    <row r="471" spans="1:5">
      <c r="A471" s="30">
        <f>Kaikki!F471</f>
        <v>44300.625</v>
      </c>
      <c r="B471" s="37" t="str">
        <f>Kaikki!G471</f>
        <v/>
      </c>
      <c r="C471">
        <f>Kaikki!A471</f>
        <v>345</v>
      </c>
      <c r="D471">
        <f>HUS!A471</f>
        <v>169</v>
      </c>
      <c r="E471" s="38">
        <f t="shared" si="7"/>
        <v>0.48985507246376814</v>
      </c>
    </row>
    <row r="472" spans="1:5">
      <c r="A472" s="30">
        <f>Kaikki!F472</f>
        <v>44301.625</v>
      </c>
      <c r="B472" s="37" t="str">
        <f>Kaikki!G472</f>
        <v/>
      </c>
      <c r="C472">
        <f>Kaikki!A472</f>
        <v>275</v>
      </c>
      <c r="D472">
        <f>HUS!A472</f>
        <v>128</v>
      </c>
      <c r="E472" s="38">
        <f t="shared" si="7"/>
        <v>0.46545454545454545</v>
      </c>
    </row>
    <row r="473" spans="1:5">
      <c r="A473" s="30">
        <f>Kaikki!F473</f>
        <v>44302.625</v>
      </c>
      <c r="B473" s="37" t="str">
        <f>Kaikki!G473</f>
        <v/>
      </c>
      <c r="C473">
        <f>Kaikki!A473</f>
        <v>264</v>
      </c>
      <c r="D473">
        <f>HUS!A473</f>
        <v>129</v>
      </c>
      <c r="E473" s="38">
        <f t="shared" si="7"/>
        <v>0.48863636363636365</v>
      </c>
    </row>
    <row r="474" spans="1:5">
      <c r="A474" s="30">
        <f>Kaikki!F474</f>
        <v>44303.625</v>
      </c>
      <c r="B474" s="37" t="str">
        <f>Kaikki!G474</f>
        <v/>
      </c>
      <c r="C474">
        <f>Kaikki!A474</f>
        <v>170</v>
      </c>
      <c r="D474">
        <f>HUS!A474</f>
        <v>124</v>
      </c>
      <c r="E474" s="38">
        <f t="shared" si="7"/>
        <v>0.72941176470588232</v>
      </c>
    </row>
    <row r="475" spans="1:5">
      <c r="A475" s="30">
        <f>Kaikki!F475</f>
        <v>44304.625</v>
      </c>
      <c r="B475" s="37" t="str">
        <f>Kaikki!G475</f>
        <v/>
      </c>
      <c r="C475">
        <f>Kaikki!A475</f>
        <v>155</v>
      </c>
      <c r="D475">
        <f>HUS!A475</f>
        <v>87</v>
      </c>
      <c r="E475" s="38">
        <f t="shared" si="7"/>
        <v>0.56129032258064515</v>
      </c>
    </row>
    <row r="476" spans="1:5">
      <c r="A476" s="30">
        <f>Kaikki!F476</f>
        <v>44305.625</v>
      </c>
      <c r="B476" s="37" t="str">
        <f>Kaikki!G476</f>
        <v>2021-W16</v>
      </c>
      <c r="C476">
        <f>Kaikki!A476</f>
        <v>284</v>
      </c>
      <c r="D476">
        <f>HUS!A476</f>
        <v>136</v>
      </c>
      <c r="E476" s="38">
        <f t="shared" si="7"/>
        <v>0.47887323943661969</v>
      </c>
    </row>
    <row r="477" spans="1:5">
      <c r="A477" s="30">
        <f>Kaikki!F477</f>
        <v>44306.625</v>
      </c>
      <c r="B477" s="37" t="str">
        <f>Kaikki!G477</f>
        <v/>
      </c>
      <c r="C477">
        <f>Kaikki!A477</f>
        <v>285</v>
      </c>
      <c r="D477">
        <f>HUS!A477</f>
        <v>145</v>
      </c>
      <c r="E477" s="38">
        <f t="shared" si="7"/>
        <v>0.50877192982456143</v>
      </c>
    </row>
    <row r="478" spans="1:5">
      <c r="A478" s="30">
        <f>Kaikki!F478</f>
        <v>44307.625</v>
      </c>
      <c r="B478" s="37" t="str">
        <f>Kaikki!G478</f>
        <v/>
      </c>
      <c r="C478">
        <f>Kaikki!A478</f>
        <v>240</v>
      </c>
      <c r="D478">
        <f>HUS!A478</f>
        <v>114</v>
      </c>
      <c r="E478" s="38">
        <f t="shared" si="7"/>
        <v>0.47499999999999998</v>
      </c>
    </row>
    <row r="479" spans="1:5">
      <c r="A479" s="30">
        <f>Kaikki!F479</f>
        <v>44308.625</v>
      </c>
      <c r="B479" s="37" t="str">
        <f>Kaikki!G479</f>
        <v/>
      </c>
      <c r="C479">
        <f>Kaikki!A479</f>
        <v>260</v>
      </c>
      <c r="D479">
        <f>HUS!A479</f>
        <v>139</v>
      </c>
      <c r="E479" s="38">
        <f t="shared" si="7"/>
        <v>0.5346153846153846</v>
      </c>
    </row>
    <row r="480" spans="1:5">
      <c r="A480" s="30">
        <f>Kaikki!F480</f>
        <v>44309.625</v>
      </c>
      <c r="B480" s="37" t="str">
        <f>Kaikki!G480</f>
        <v/>
      </c>
      <c r="C480">
        <f>Kaikki!A480</f>
        <v>257</v>
      </c>
      <c r="D480">
        <f>HUS!A480</f>
        <v>110</v>
      </c>
      <c r="E480" s="38">
        <f t="shared" si="7"/>
        <v>0.42801556420233461</v>
      </c>
    </row>
    <row r="481" spans="1:5">
      <c r="A481" s="30">
        <f>Kaikki!F481</f>
        <v>44310.625</v>
      </c>
      <c r="B481" s="37" t="str">
        <f>Kaikki!G481</f>
        <v/>
      </c>
      <c r="C481">
        <f>Kaikki!A481</f>
        <v>153</v>
      </c>
      <c r="D481">
        <f>HUS!A481</f>
        <v>85</v>
      </c>
      <c r="E481" s="38">
        <f t="shared" si="7"/>
        <v>0.55555555555555558</v>
      </c>
    </row>
    <row r="482" spans="1:5">
      <c r="A482" s="30">
        <f>Kaikki!F482</f>
        <v>44311.625</v>
      </c>
      <c r="B482" s="37" t="str">
        <f>Kaikki!G482</f>
        <v/>
      </c>
      <c r="C482">
        <f>Kaikki!A482</f>
        <v>142</v>
      </c>
      <c r="D482">
        <f>HUS!A482</f>
        <v>85</v>
      </c>
      <c r="E482" s="38">
        <f t="shared" si="7"/>
        <v>0.59859154929577463</v>
      </c>
    </row>
    <row r="483" spans="1:5">
      <c r="A483" s="30">
        <f>Kaikki!F483</f>
        <v>44312.625</v>
      </c>
      <c r="B483" s="37" t="str">
        <f>Kaikki!G483</f>
        <v>2021-W17</v>
      </c>
      <c r="C483">
        <f>Kaikki!A483</f>
        <v>241</v>
      </c>
      <c r="D483">
        <f>HUS!A483</f>
        <v>119</v>
      </c>
      <c r="E483" s="38">
        <f t="shared" si="7"/>
        <v>0.49377593360995853</v>
      </c>
    </row>
    <row r="484" spans="1:5">
      <c r="A484" s="30">
        <f>Kaikki!F484</f>
        <v>44313.625</v>
      </c>
      <c r="B484" s="37" t="str">
        <f>Kaikki!G484</f>
        <v/>
      </c>
      <c r="C484">
        <f>Kaikki!A484</f>
        <v>229</v>
      </c>
      <c r="D484">
        <f>HUS!A484</f>
        <v>109</v>
      </c>
      <c r="E484" s="38">
        <f t="shared" si="7"/>
        <v>0.4759825327510917</v>
      </c>
    </row>
    <row r="485" spans="1:5">
      <c r="A485" s="30">
        <f>Kaikki!F485</f>
        <v>44314.625</v>
      </c>
      <c r="B485" s="37" t="str">
        <f>Kaikki!G485</f>
        <v/>
      </c>
      <c r="C485">
        <f>Kaikki!A485</f>
        <v>275</v>
      </c>
      <c r="D485">
        <f>HUS!A485</f>
        <v>143</v>
      </c>
      <c r="E485" s="38">
        <f t="shared" si="7"/>
        <v>0.52</v>
      </c>
    </row>
    <row r="486" spans="1:5">
      <c r="A486" s="30">
        <f>Kaikki!F486</f>
        <v>44315.625</v>
      </c>
      <c r="B486" s="37" t="str">
        <f>Kaikki!G486</f>
        <v/>
      </c>
      <c r="C486">
        <f>Kaikki!A486</f>
        <v>184</v>
      </c>
      <c r="D486">
        <f>HUS!A486</f>
        <v>85</v>
      </c>
      <c r="E486" s="38">
        <f t="shared" si="7"/>
        <v>0.46195652173913043</v>
      </c>
    </row>
    <row r="487" spans="1:5">
      <c r="A487" s="30">
        <f>Kaikki!F487</f>
        <v>44316.625</v>
      </c>
      <c r="B487" s="37" t="str">
        <f>Kaikki!G487</f>
        <v/>
      </c>
      <c r="C487">
        <f>Kaikki!A487</f>
        <v>183</v>
      </c>
      <c r="D487">
        <f>HUS!A487</f>
        <v>92</v>
      </c>
      <c r="E487" s="38">
        <f t="shared" si="7"/>
        <v>0.50273224043715847</v>
      </c>
    </row>
    <row r="488" spans="1:5">
      <c r="A488" s="30">
        <f>Kaikki!F488</f>
        <v>44317.625</v>
      </c>
      <c r="B488" s="37" t="str">
        <f>Kaikki!G488</f>
        <v/>
      </c>
      <c r="C488">
        <f>Kaikki!A488</f>
        <v>96</v>
      </c>
      <c r="D488">
        <f>HUS!A488</f>
        <v>46</v>
      </c>
      <c r="E488" s="38">
        <f t="shared" si="7"/>
        <v>0.47916666666666669</v>
      </c>
    </row>
    <row r="489" spans="1:5">
      <c r="A489" s="30">
        <f>Kaikki!F489</f>
        <v>44318.625</v>
      </c>
      <c r="B489" s="37" t="str">
        <f>Kaikki!G489</f>
        <v/>
      </c>
      <c r="C489">
        <f>Kaikki!A489</f>
        <v>102</v>
      </c>
      <c r="D489">
        <f>HUS!A489</f>
        <v>57</v>
      </c>
      <c r="E489" s="38">
        <f t="shared" si="7"/>
        <v>0.55882352941176472</v>
      </c>
    </row>
    <row r="490" spans="1:5">
      <c r="A490" s="30">
        <f>Kaikki!F490</f>
        <v>44319.625</v>
      </c>
      <c r="B490" s="37" t="str">
        <f>Kaikki!G490</f>
        <v>2021-W18</v>
      </c>
      <c r="C490">
        <f>Kaikki!A490</f>
        <v>108</v>
      </c>
      <c r="D490">
        <f>HUS!A490</f>
        <v>87</v>
      </c>
      <c r="E490" s="38">
        <f t="shared" si="7"/>
        <v>0.80555555555555558</v>
      </c>
    </row>
    <row r="491" spans="1:5">
      <c r="A491" s="30">
        <f>Kaikki!F491</f>
        <v>44320.362951388888</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UG257"/>
  <sheetViews>
    <sheetView topLeftCell="A30" zoomScaleNormal="100" workbookViewId="0">
      <selection activeCell="A38" sqref="A38"/>
    </sheetView>
  </sheetViews>
  <sheetFormatPr defaultRowHeight="15"/>
  <cols>
    <col min="2" max="2" width="10.140625" bestFit="1" customWidth="1"/>
    <col min="3" max="3" width="10.140625" customWidth="1"/>
    <col min="4" max="4" width="10.85546875" bestFit="1" customWidth="1"/>
    <col min="6" max="6" width="9.85546875" bestFit="1" customWidth="1"/>
    <col min="7" max="7" width="11.42578125" customWidth="1"/>
    <col min="10" max="11" width="10.140625" bestFit="1" customWidth="1"/>
    <col min="12" max="12" width="9.140625" style="4"/>
    <col min="14" max="14" width="15.140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140625" style="16"/>
    <col min="47" max="47" width="9.140625" style="16"/>
    <col min="50" max="50" width="9.140625" style="16"/>
    <col min="53" max="53" width="9.140625" style="16"/>
    <col min="56" max="56" width="9.140625" style="16"/>
    <col min="59" max="59" width="9.140625" style="16"/>
    <col min="62" max="62" width="9.140625" style="16"/>
    <col min="65" max="65" width="9.140625" style="16"/>
    <col min="68" max="68" width="9.140625" style="16"/>
    <col min="71" max="71" width="9.140625" style="16"/>
    <col min="74" max="74" width="9.140625" style="16"/>
    <col min="77" max="77" width="9.140625" style="16"/>
    <col min="80" max="80" width="9.140625" style="16"/>
    <col min="83" max="83" width="9.140625" style="16"/>
    <col min="86" max="86" width="9.140625" style="16"/>
    <col min="89" max="89" width="9.140625" style="16"/>
  </cols>
  <sheetData>
    <row r="1" spans="1:553">
      <c r="C1" s="4"/>
    </row>
    <row r="2" spans="1:553">
      <c r="C2" s="4"/>
    </row>
    <row r="3" spans="1:553">
      <c r="C3" s="4"/>
    </row>
    <row r="4" spans="1:553">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553">
      <c r="C5" s="4" t="s">
        <v>5</v>
      </c>
      <c r="D5" t="s">
        <v>0</v>
      </c>
      <c r="E5" t="s">
        <v>6</v>
      </c>
      <c r="F5">
        <f ca="1">SUM(F7:F35)</f>
        <v>182</v>
      </c>
      <c r="G5" t="s">
        <v>227</v>
      </c>
      <c r="H5" t="s">
        <v>345</v>
      </c>
      <c r="J5" t="s">
        <v>346</v>
      </c>
      <c r="K5" t="s">
        <v>345</v>
      </c>
      <c r="N5" s="16" t="s">
        <v>302</v>
      </c>
      <c r="Q5" s="16" t="s">
        <v>303</v>
      </c>
      <c r="T5" s="16" t="s">
        <v>304</v>
      </c>
    </row>
    <row r="6" spans="1:553">
      <c r="B6" t="str">
        <f ca="1">IF(WEEKDAY(C6,2)=1,"Ma "&amp;TEXT(C6,"p"),TEXT(C6,"p.k"))</f>
        <v>Ma 5</v>
      </c>
      <c r="C6" s="4">
        <f t="shared" ref="C6:C34" ca="1" si="0">C7-1</f>
        <v>44291</v>
      </c>
      <c r="D6" s="11">
        <f t="shared" ref="D6:D35" ca="1" si="1">SUMIF(aika,"&lt;"&amp;(C6+1),DataN)</f>
        <v>80377</v>
      </c>
      <c r="P6" s="10">
        <v>244</v>
      </c>
    </row>
    <row r="7" spans="1:553" s="10" customFormat="1">
      <c r="B7" t="str">
        <f t="shared" ref="B7:B35" ca="1" si="2">IF(WEEKDAY(C7,2)=1,"Ma "&amp;TEXT(C7,"p"),TEXT(C7,"p.k"))</f>
        <v>6.4</v>
      </c>
      <c r="C7" s="9">
        <f t="shared" ca="1" si="0"/>
        <v>44292</v>
      </c>
      <c r="D7" s="10">
        <f t="shared" ca="1" si="1"/>
        <v>80921</v>
      </c>
      <c r="E7" s="10">
        <f t="shared" ref="E7:E35" ca="1" si="3">D7-D6</f>
        <v>544</v>
      </c>
      <c r="F7" s="10">
        <f t="shared" ref="F7:F35" ca="1" si="4">_xlfn.IFNA(E7-G7,"")</f>
        <v>0</v>
      </c>
      <c r="G7" s="10">
        <f ca="1">VLOOKUP(C7,Previous,3,FALSE)</f>
        <v>544</v>
      </c>
      <c r="H7" s="10">
        <f ca="1">SUM(E7:E13)</f>
        <v>2579</v>
      </c>
      <c r="J7" s="10">
        <f ca="1">SUM(E7:E20)</f>
        <v>4397</v>
      </c>
      <c r="L7" s="14"/>
      <c r="N7" s="17">
        <v>44292</v>
      </c>
      <c r="O7" s="10">
        <v>80919</v>
      </c>
      <c r="P7">
        <v>544</v>
      </c>
      <c r="Q7" s="17">
        <v>44292</v>
      </c>
      <c r="R7" s="10">
        <v>80919</v>
      </c>
      <c r="S7" s="10">
        <v>544</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0">
        <v>44268</v>
      </c>
      <c r="RU7" s="10">
        <v>67406</v>
      </c>
      <c r="RV7" s="10">
        <v>491</v>
      </c>
      <c r="RW7" s="10">
        <v>44269</v>
      </c>
      <c r="RX7" s="10">
        <v>67840</v>
      </c>
      <c r="RY7" s="10">
        <v>434</v>
      </c>
      <c r="RZ7" s="10">
        <v>44270</v>
      </c>
      <c r="SA7" s="10">
        <v>68731</v>
      </c>
      <c r="SB7" s="10">
        <v>891</v>
      </c>
      <c r="SC7" s="10">
        <v>44271</v>
      </c>
      <c r="SD7" s="10">
        <v>69494</v>
      </c>
      <c r="SE7" s="10">
        <v>763</v>
      </c>
      <c r="SF7" s="10">
        <v>44272</v>
      </c>
      <c r="SG7" s="10">
        <v>70239</v>
      </c>
      <c r="SH7" s="10">
        <v>743</v>
      </c>
      <c r="SI7" s="10">
        <v>44273</v>
      </c>
      <c r="SJ7" s="10">
        <v>70975</v>
      </c>
      <c r="SK7" s="10">
        <v>736</v>
      </c>
      <c r="SL7" s="10">
        <v>44275</v>
      </c>
      <c r="SM7" s="10">
        <v>72123</v>
      </c>
      <c r="SN7" s="10">
        <v>403</v>
      </c>
      <c r="SO7" s="10">
        <v>44276</v>
      </c>
      <c r="SP7" s="10">
        <v>72558</v>
      </c>
      <c r="SQ7" s="10">
        <v>417</v>
      </c>
      <c r="SR7" s="10">
        <v>44277</v>
      </c>
      <c r="SS7" s="10">
        <v>73327</v>
      </c>
      <c r="ST7" s="10">
        <v>767</v>
      </c>
      <c r="SU7" s="10">
        <v>44278</v>
      </c>
      <c r="SV7" s="10">
        <v>74030</v>
      </c>
      <c r="SW7" s="10">
        <v>703</v>
      </c>
      <c r="SX7" s="10">
        <v>44280</v>
      </c>
      <c r="SY7" s="10">
        <v>75331</v>
      </c>
      <c r="SZ7" s="10">
        <v>606</v>
      </c>
      <c r="TA7" s="10">
        <v>44281</v>
      </c>
      <c r="TB7" s="10">
        <v>76020</v>
      </c>
      <c r="TC7" s="10">
        <v>687</v>
      </c>
      <c r="TD7" s="10">
        <v>44283</v>
      </c>
      <c r="TE7" s="10">
        <v>76740</v>
      </c>
      <c r="TF7" s="10">
        <v>368</v>
      </c>
      <c r="TG7" s="10">
        <v>44284</v>
      </c>
      <c r="TH7" s="10">
        <v>77397</v>
      </c>
      <c r="TI7" s="10">
        <v>653</v>
      </c>
      <c r="TJ7" s="10">
        <v>44285</v>
      </c>
      <c r="TK7" s="10">
        <v>77966</v>
      </c>
      <c r="TL7" s="10">
        <v>568</v>
      </c>
      <c r="TM7" s="10">
        <v>44286</v>
      </c>
      <c r="TN7" s="10">
        <v>78516</v>
      </c>
      <c r="TO7" s="10">
        <v>550</v>
      </c>
      <c r="TP7" s="10">
        <v>44288</v>
      </c>
      <c r="TQ7" s="10">
        <v>79368</v>
      </c>
      <c r="TR7" s="10">
        <v>361</v>
      </c>
      <c r="TS7" s="10">
        <v>44289</v>
      </c>
      <c r="TT7" s="10">
        <v>79690</v>
      </c>
      <c r="TU7" s="10">
        <v>319</v>
      </c>
      <c r="TV7" s="10">
        <v>44289</v>
      </c>
      <c r="TW7" s="10">
        <v>79696</v>
      </c>
      <c r="TX7" s="10">
        <v>319</v>
      </c>
      <c r="TY7" s="10">
        <v>44290</v>
      </c>
      <c r="TZ7" s="10">
        <v>80016</v>
      </c>
      <c r="UA7" s="10">
        <v>320</v>
      </c>
      <c r="UB7" s="10">
        <v>44292</v>
      </c>
      <c r="UC7" s="10">
        <v>80919</v>
      </c>
      <c r="UD7" s="10">
        <v>544</v>
      </c>
      <c r="UE7" s="10">
        <v>44292</v>
      </c>
      <c r="UF7" s="10">
        <v>80919</v>
      </c>
      <c r="UG7" s="10">
        <v>544</v>
      </c>
    </row>
    <row r="8" spans="1:553">
      <c r="B8" t="str">
        <f t="shared" ca="1" si="2"/>
        <v>7.4</v>
      </c>
      <c r="C8" s="4">
        <f t="shared" ca="1" si="0"/>
        <v>44293</v>
      </c>
      <c r="D8" s="11">
        <f t="shared" ca="1" si="1"/>
        <v>81346</v>
      </c>
      <c r="E8">
        <f t="shared" ca="1" si="3"/>
        <v>425</v>
      </c>
      <c r="F8" s="11">
        <f t="shared" ca="1" si="4"/>
        <v>0</v>
      </c>
      <c r="G8" s="11">
        <f t="shared" ref="G8:G35" ca="1" si="5">VLOOKUP(C8,Previous,3,FALSE)</f>
        <v>425</v>
      </c>
      <c r="L8" s="3"/>
      <c r="N8" s="16">
        <v>44293</v>
      </c>
      <c r="O8">
        <v>81344</v>
      </c>
      <c r="P8">
        <v>425</v>
      </c>
      <c r="Q8" s="16">
        <v>44293</v>
      </c>
      <c r="R8">
        <v>81344</v>
      </c>
      <c r="S8">
        <v>425</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v>44269</v>
      </c>
      <c r="RU8">
        <v>67840</v>
      </c>
      <c r="RV8">
        <v>434</v>
      </c>
      <c r="RW8">
        <v>44270</v>
      </c>
      <c r="RX8">
        <v>68731</v>
      </c>
      <c r="RY8">
        <v>891</v>
      </c>
      <c r="RZ8">
        <v>44271</v>
      </c>
      <c r="SA8">
        <v>69494</v>
      </c>
      <c r="SB8">
        <v>763</v>
      </c>
      <c r="SC8">
        <v>44272</v>
      </c>
      <c r="SD8">
        <v>70237</v>
      </c>
      <c r="SE8">
        <v>743</v>
      </c>
      <c r="SF8">
        <v>44273</v>
      </c>
      <c r="SG8">
        <v>70975</v>
      </c>
      <c r="SH8">
        <v>736</v>
      </c>
      <c r="SI8">
        <v>44274</v>
      </c>
      <c r="SJ8">
        <v>71719</v>
      </c>
      <c r="SK8">
        <v>744</v>
      </c>
      <c r="SL8">
        <v>44276</v>
      </c>
      <c r="SM8">
        <v>72540</v>
      </c>
      <c r="SN8">
        <v>417</v>
      </c>
      <c r="SO8">
        <v>44277</v>
      </c>
      <c r="SP8">
        <v>73324</v>
      </c>
      <c r="SQ8">
        <v>766</v>
      </c>
      <c r="SR8">
        <v>44278</v>
      </c>
      <c r="SS8">
        <v>74030</v>
      </c>
      <c r="ST8">
        <v>703</v>
      </c>
      <c r="SU8">
        <v>44279</v>
      </c>
      <c r="SV8">
        <v>74723</v>
      </c>
      <c r="SW8">
        <v>693</v>
      </c>
      <c r="SX8">
        <v>44281</v>
      </c>
      <c r="SY8">
        <v>76018</v>
      </c>
      <c r="SZ8">
        <v>687</v>
      </c>
      <c r="TA8">
        <v>44282</v>
      </c>
      <c r="TB8">
        <v>76371</v>
      </c>
      <c r="TC8">
        <v>351</v>
      </c>
      <c r="TD8">
        <v>44284</v>
      </c>
      <c r="TE8">
        <v>77393</v>
      </c>
      <c r="TF8">
        <v>653</v>
      </c>
      <c r="TG8">
        <v>44285</v>
      </c>
      <c r="TH8">
        <v>77965</v>
      </c>
      <c r="TI8">
        <v>568</v>
      </c>
      <c r="TJ8">
        <v>44286</v>
      </c>
      <c r="TK8">
        <v>78516</v>
      </c>
      <c r="TL8">
        <v>550</v>
      </c>
      <c r="TM8">
        <v>44287</v>
      </c>
      <c r="TN8">
        <v>79003</v>
      </c>
      <c r="TO8">
        <v>487</v>
      </c>
      <c r="TP8">
        <v>44289</v>
      </c>
      <c r="TQ8">
        <v>79687</v>
      </c>
      <c r="TR8">
        <v>319</v>
      </c>
      <c r="TS8">
        <v>44290</v>
      </c>
      <c r="TT8">
        <v>80010</v>
      </c>
      <c r="TU8">
        <v>320</v>
      </c>
      <c r="TV8">
        <v>44290</v>
      </c>
      <c r="TW8">
        <v>80016</v>
      </c>
      <c r="TX8">
        <v>320</v>
      </c>
      <c r="TY8">
        <v>44291</v>
      </c>
      <c r="TZ8">
        <v>80375</v>
      </c>
      <c r="UA8">
        <v>359</v>
      </c>
      <c r="UB8">
        <v>44293</v>
      </c>
      <c r="UC8">
        <v>81344</v>
      </c>
      <c r="UD8">
        <v>425</v>
      </c>
      <c r="UE8">
        <v>44293</v>
      </c>
      <c r="UF8">
        <v>81344</v>
      </c>
      <c r="UG8">
        <v>425</v>
      </c>
    </row>
    <row r="9" spans="1:553">
      <c r="B9" t="str">
        <f t="shared" ca="1" si="2"/>
        <v>8.4</v>
      </c>
      <c r="C9" s="4">
        <f t="shared" ca="1" si="0"/>
        <v>44294</v>
      </c>
      <c r="D9" s="11">
        <f t="shared" ca="1" si="1"/>
        <v>81749</v>
      </c>
      <c r="E9">
        <f t="shared" ca="1" si="3"/>
        <v>403</v>
      </c>
      <c r="F9" s="11">
        <f t="shared" ca="1" si="4"/>
        <v>0</v>
      </c>
      <c r="G9" s="11">
        <f t="shared" ca="1" si="5"/>
        <v>403</v>
      </c>
      <c r="L9" s="3"/>
      <c r="N9" s="16">
        <v>44294</v>
      </c>
      <c r="O9">
        <v>81747</v>
      </c>
      <c r="P9">
        <v>403</v>
      </c>
      <c r="Q9" s="16">
        <v>44294</v>
      </c>
      <c r="R9">
        <v>81747</v>
      </c>
      <c r="S9">
        <v>403</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v>44270</v>
      </c>
      <c r="RU9">
        <v>68731</v>
      </c>
      <c r="RV9">
        <v>891</v>
      </c>
      <c r="RW9">
        <v>44271</v>
      </c>
      <c r="RX9">
        <v>69494</v>
      </c>
      <c r="RY9">
        <v>763</v>
      </c>
      <c r="RZ9">
        <v>44272</v>
      </c>
      <c r="SA9">
        <v>70237</v>
      </c>
      <c r="SB9">
        <v>743</v>
      </c>
      <c r="SC9">
        <v>44273</v>
      </c>
      <c r="SD9">
        <v>70973</v>
      </c>
      <c r="SE9">
        <v>736</v>
      </c>
      <c r="SF9">
        <v>44274</v>
      </c>
      <c r="SG9">
        <v>71719</v>
      </c>
      <c r="SH9">
        <v>744</v>
      </c>
      <c r="SI9">
        <v>44275</v>
      </c>
      <c r="SJ9">
        <v>72122</v>
      </c>
      <c r="SK9">
        <v>403</v>
      </c>
      <c r="SL9">
        <v>44277</v>
      </c>
      <c r="SM9">
        <v>73306</v>
      </c>
      <c r="SN9">
        <v>766</v>
      </c>
      <c r="SO9">
        <v>44278</v>
      </c>
      <c r="SP9">
        <v>74027</v>
      </c>
      <c r="SQ9">
        <v>703</v>
      </c>
      <c r="SR9">
        <v>44279</v>
      </c>
      <c r="SS9">
        <v>74723</v>
      </c>
      <c r="ST9">
        <v>693</v>
      </c>
      <c r="SU9">
        <v>44280</v>
      </c>
      <c r="SV9">
        <v>75329</v>
      </c>
      <c r="SW9">
        <v>606</v>
      </c>
      <c r="SX9">
        <v>44282</v>
      </c>
      <c r="SY9">
        <v>76368</v>
      </c>
      <c r="SZ9">
        <v>350</v>
      </c>
      <c r="TA9">
        <v>44283</v>
      </c>
      <c r="TB9">
        <v>76740</v>
      </c>
      <c r="TC9">
        <v>369</v>
      </c>
      <c r="TD9">
        <v>44285</v>
      </c>
      <c r="TE9">
        <v>77961</v>
      </c>
      <c r="TF9">
        <v>568</v>
      </c>
      <c r="TG9">
        <v>44286</v>
      </c>
      <c r="TH9">
        <v>78515</v>
      </c>
      <c r="TI9">
        <v>550</v>
      </c>
      <c r="TJ9">
        <v>44287</v>
      </c>
      <c r="TK9">
        <v>79003</v>
      </c>
      <c r="TL9">
        <v>487</v>
      </c>
      <c r="TM9">
        <v>44288</v>
      </c>
      <c r="TN9">
        <v>79364</v>
      </c>
      <c r="TO9">
        <v>361</v>
      </c>
      <c r="TP9">
        <v>44290</v>
      </c>
      <c r="TQ9">
        <v>80007</v>
      </c>
      <c r="TR9">
        <v>320</v>
      </c>
      <c r="TS9">
        <v>44291</v>
      </c>
      <c r="TT9">
        <v>80369</v>
      </c>
      <c r="TU9">
        <v>359</v>
      </c>
      <c r="TV9">
        <v>44291</v>
      </c>
      <c r="TW9">
        <v>80375</v>
      </c>
      <c r="TX9">
        <v>359</v>
      </c>
      <c r="TY9">
        <v>44292</v>
      </c>
      <c r="TZ9">
        <v>80919</v>
      </c>
      <c r="UA9">
        <v>544</v>
      </c>
      <c r="UB9">
        <v>44294</v>
      </c>
      <c r="UC9">
        <v>81747</v>
      </c>
      <c r="UD9">
        <v>403</v>
      </c>
      <c r="UE9">
        <v>44294</v>
      </c>
      <c r="UF9">
        <v>81747</v>
      </c>
      <c r="UG9">
        <v>403</v>
      </c>
    </row>
    <row r="10" spans="1:553">
      <c r="B10" t="str">
        <f t="shared" ca="1" si="2"/>
        <v>9.4</v>
      </c>
      <c r="C10" s="4">
        <f t="shared" ca="1" si="0"/>
        <v>44295</v>
      </c>
      <c r="D10" s="11">
        <f t="shared" ca="1" si="1"/>
        <v>82097</v>
      </c>
      <c r="E10">
        <f t="shared" ca="1" si="3"/>
        <v>348</v>
      </c>
      <c r="F10" s="11">
        <f t="shared" ca="1" si="4"/>
        <v>0</v>
      </c>
      <c r="G10" s="11">
        <f t="shared" ca="1" si="5"/>
        <v>348</v>
      </c>
      <c r="L10" s="10"/>
      <c r="N10" s="16">
        <v>44295</v>
      </c>
      <c r="O10">
        <v>82095</v>
      </c>
      <c r="P10">
        <v>348</v>
      </c>
      <c r="Q10" s="16">
        <v>44295</v>
      </c>
      <c r="R10">
        <v>82095</v>
      </c>
      <c r="S10">
        <v>348</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v>44271</v>
      </c>
      <c r="RU10">
        <v>69494</v>
      </c>
      <c r="RV10">
        <v>763</v>
      </c>
      <c r="RW10">
        <v>44272</v>
      </c>
      <c r="RX10">
        <v>70237</v>
      </c>
      <c r="RY10">
        <v>743</v>
      </c>
      <c r="RZ10">
        <v>44273</v>
      </c>
      <c r="SA10">
        <v>70973</v>
      </c>
      <c r="SB10">
        <v>736</v>
      </c>
      <c r="SC10">
        <v>44274</v>
      </c>
      <c r="SD10">
        <v>71717</v>
      </c>
      <c r="SE10">
        <v>744</v>
      </c>
      <c r="SF10">
        <v>44275</v>
      </c>
      <c r="SG10">
        <v>72123</v>
      </c>
      <c r="SH10">
        <v>404</v>
      </c>
      <c r="SI10">
        <v>44276</v>
      </c>
      <c r="SJ10">
        <v>72539</v>
      </c>
      <c r="SK10">
        <v>417</v>
      </c>
      <c r="SL10">
        <v>44278</v>
      </c>
      <c r="SM10">
        <v>74009</v>
      </c>
      <c r="SN10">
        <v>703</v>
      </c>
      <c r="SO10">
        <v>44279</v>
      </c>
      <c r="SP10">
        <v>74720</v>
      </c>
      <c r="SQ10">
        <v>693</v>
      </c>
      <c r="SR10">
        <v>44280</v>
      </c>
      <c r="SS10">
        <v>75329</v>
      </c>
      <c r="ST10">
        <v>606</v>
      </c>
      <c r="SU10">
        <v>44281</v>
      </c>
      <c r="SV10">
        <v>76015</v>
      </c>
      <c r="SW10">
        <v>686</v>
      </c>
      <c r="SX10">
        <v>44283</v>
      </c>
      <c r="SY10">
        <v>76737</v>
      </c>
      <c r="SZ10">
        <v>369</v>
      </c>
      <c r="TA10">
        <v>44284</v>
      </c>
      <c r="TB10">
        <v>77393</v>
      </c>
      <c r="TC10">
        <v>653</v>
      </c>
      <c r="TD10">
        <v>44286</v>
      </c>
      <c r="TE10">
        <v>78511</v>
      </c>
      <c r="TF10">
        <v>550</v>
      </c>
      <c r="TG10">
        <v>44287</v>
      </c>
      <c r="TH10">
        <v>79002</v>
      </c>
      <c r="TI10">
        <v>487</v>
      </c>
      <c r="TJ10">
        <v>44288</v>
      </c>
      <c r="TK10">
        <v>79364</v>
      </c>
      <c r="TL10">
        <v>361</v>
      </c>
      <c r="TM10">
        <v>44289</v>
      </c>
      <c r="TN10">
        <v>79683</v>
      </c>
      <c r="TO10">
        <v>319</v>
      </c>
      <c r="TP10">
        <v>44291</v>
      </c>
      <c r="TQ10">
        <v>80366</v>
      </c>
      <c r="TR10">
        <v>359</v>
      </c>
      <c r="TS10">
        <v>44292</v>
      </c>
      <c r="TT10">
        <v>80912</v>
      </c>
      <c r="TU10">
        <v>543</v>
      </c>
      <c r="TV10">
        <v>44292</v>
      </c>
      <c r="TW10">
        <v>80918</v>
      </c>
      <c r="TX10">
        <v>543</v>
      </c>
      <c r="TY10">
        <v>44293</v>
      </c>
      <c r="TZ10">
        <v>81344</v>
      </c>
      <c r="UA10">
        <v>425</v>
      </c>
      <c r="UB10">
        <v>44295</v>
      </c>
      <c r="UC10">
        <v>82095</v>
      </c>
      <c r="UD10">
        <v>348</v>
      </c>
      <c r="UE10">
        <v>44295</v>
      </c>
      <c r="UF10">
        <v>82095</v>
      </c>
      <c r="UG10">
        <v>348</v>
      </c>
    </row>
    <row r="11" spans="1:553">
      <c r="B11" t="str">
        <f t="shared" ca="1" si="2"/>
        <v>10.4</v>
      </c>
      <c r="C11" s="4">
        <f t="shared" ca="1" si="0"/>
        <v>44296</v>
      </c>
      <c r="D11" s="11">
        <f t="shared" ca="1" si="1"/>
        <v>82322</v>
      </c>
      <c r="E11">
        <f t="shared" ca="1" si="3"/>
        <v>225</v>
      </c>
      <c r="F11" s="11">
        <f t="shared" ca="1" si="4"/>
        <v>0</v>
      </c>
      <c r="G11" s="11">
        <f t="shared" ca="1" si="5"/>
        <v>225</v>
      </c>
      <c r="K11" s="10">
        <f ca="1">SUM(E11:E17)</f>
        <v>2068</v>
      </c>
      <c r="L11" s="3"/>
      <c r="N11" s="16">
        <v>44296</v>
      </c>
      <c r="O11">
        <v>82320</v>
      </c>
      <c r="P11">
        <v>225</v>
      </c>
      <c r="Q11" s="16">
        <v>44296</v>
      </c>
      <c r="R11">
        <v>82320</v>
      </c>
      <c r="S11">
        <v>225</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v>44272</v>
      </c>
      <c r="RU11">
        <v>70237</v>
      </c>
      <c r="RV11">
        <v>743</v>
      </c>
      <c r="RW11">
        <v>44273</v>
      </c>
      <c r="RX11">
        <v>70973</v>
      </c>
      <c r="RY11">
        <v>736</v>
      </c>
      <c r="RZ11">
        <v>44274</v>
      </c>
      <c r="SA11">
        <v>71717</v>
      </c>
      <c r="SB11">
        <v>744</v>
      </c>
      <c r="SC11">
        <v>44275</v>
      </c>
      <c r="SD11">
        <v>72121</v>
      </c>
      <c r="SE11">
        <v>404</v>
      </c>
      <c r="SF11">
        <v>44276</v>
      </c>
      <c r="SG11">
        <v>72540</v>
      </c>
      <c r="SH11">
        <v>417</v>
      </c>
      <c r="SI11">
        <v>44277</v>
      </c>
      <c r="SJ11">
        <v>73306</v>
      </c>
      <c r="SK11">
        <v>767</v>
      </c>
      <c r="SL11">
        <v>44279</v>
      </c>
      <c r="SM11">
        <v>74702</v>
      </c>
      <c r="SN11">
        <v>693</v>
      </c>
      <c r="SO11">
        <v>44280</v>
      </c>
      <c r="SP11">
        <v>75326</v>
      </c>
      <c r="SQ11">
        <v>606</v>
      </c>
      <c r="SR11">
        <v>44281</v>
      </c>
      <c r="SS11">
        <v>76015</v>
      </c>
      <c r="ST11">
        <v>686</v>
      </c>
      <c r="SU11">
        <v>44282</v>
      </c>
      <c r="SV11">
        <v>76365</v>
      </c>
      <c r="SW11">
        <v>350</v>
      </c>
      <c r="SX11">
        <v>44284</v>
      </c>
      <c r="SY11">
        <v>77392</v>
      </c>
      <c r="SZ11">
        <v>655</v>
      </c>
      <c r="TA11">
        <v>44285</v>
      </c>
      <c r="TB11">
        <v>77961</v>
      </c>
      <c r="TC11">
        <v>568</v>
      </c>
      <c r="TD11">
        <v>44287</v>
      </c>
      <c r="TE11">
        <v>78998</v>
      </c>
      <c r="TF11">
        <v>487</v>
      </c>
      <c r="TG11">
        <v>44288</v>
      </c>
      <c r="TH11">
        <v>79363</v>
      </c>
      <c r="TI11">
        <v>361</v>
      </c>
      <c r="TJ11">
        <v>44289</v>
      </c>
      <c r="TK11">
        <v>79683</v>
      </c>
      <c r="TL11">
        <v>319</v>
      </c>
      <c r="TM11">
        <v>44290</v>
      </c>
      <c r="TN11">
        <v>80003</v>
      </c>
      <c r="TO11">
        <v>320</v>
      </c>
      <c r="TP11">
        <v>44292</v>
      </c>
      <c r="TQ11">
        <v>80909</v>
      </c>
      <c r="TR11">
        <v>543</v>
      </c>
      <c r="TS11">
        <v>44293</v>
      </c>
      <c r="TT11">
        <v>81336</v>
      </c>
      <c r="TU11">
        <v>424</v>
      </c>
      <c r="TV11">
        <v>44293</v>
      </c>
      <c r="TW11">
        <v>81342</v>
      </c>
      <c r="TX11">
        <v>424</v>
      </c>
      <c r="TY11">
        <v>44294</v>
      </c>
      <c r="TZ11">
        <v>81747</v>
      </c>
      <c r="UA11">
        <v>403</v>
      </c>
      <c r="UB11">
        <v>44296</v>
      </c>
      <c r="UC11">
        <v>82319</v>
      </c>
      <c r="UD11">
        <v>224</v>
      </c>
      <c r="UE11">
        <v>44296</v>
      </c>
      <c r="UF11">
        <v>82320</v>
      </c>
      <c r="UG11">
        <v>225</v>
      </c>
    </row>
    <row r="12" spans="1:553">
      <c r="B12" t="str">
        <f t="shared" ca="1" si="2"/>
        <v>11.4</v>
      </c>
      <c r="C12" s="4">
        <f t="shared" ca="1" si="0"/>
        <v>44297</v>
      </c>
      <c r="D12" s="11">
        <f t="shared" ca="1" si="1"/>
        <v>82560</v>
      </c>
      <c r="E12">
        <f t="shared" ca="1" si="3"/>
        <v>238</v>
      </c>
      <c r="F12" s="11">
        <f t="shared" ca="1" si="4"/>
        <v>0</v>
      </c>
      <c r="G12" s="11">
        <f t="shared" ca="1" si="5"/>
        <v>238</v>
      </c>
      <c r="L12" s="3"/>
      <c r="N12" s="16">
        <v>44297</v>
      </c>
      <c r="O12">
        <v>82558</v>
      </c>
      <c r="P12">
        <v>238</v>
      </c>
      <c r="Q12" s="16">
        <v>44297</v>
      </c>
      <c r="R12">
        <v>82558</v>
      </c>
      <c r="S12">
        <v>238</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v>44273</v>
      </c>
      <c r="RU12">
        <v>70973</v>
      </c>
      <c r="RV12">
        <v>736</v>
      </c>
      <c r="RW12">
        <v>44274</v>
      </c>
      <c r="RX12">
        <v>71717</v>
      </c>
      <c r="RY12">
        <v>744</v>
      </c>
      <c r="RZ12">
        <v>44275</v>
      </c>
      <c r="SA12">
        <v>72121</v>
      </c>
      <c r="SB12">
        <v>404</v>
      </c>
      <c r="SC12">
        <v>44276</v>
      </c>
      <c r="SD12">
        <v>72538</v>
      </c>
      <c r="SE12">
        <v>417</v>
      </c>
      <c r="SF12">
        <v>44277</v>
      </c>
      <c r="SG12">
        <v>73306</v>
      </c>
      <c r="SH12">
        <v>766</v>
      </c>
      <c r="SI12">
        <v>44278</v>
      </c>
      <c r="SJ12">
        <v>74009</v>
      </c>
      <c r="SK12">
        <v>703</v>
      </c>
      <c r="SL12">
        <v>44280</v>
      </c>
      <c r="SM12">
        <v>75308</v>
      </c>
      <c r="SN12">
        <v>606</v>
      </c>
      <c r="SO12">
        <v>44281</v>
      </c>
      <c r="SP12">
        <v>76012</v>
      </c>
      <c r="SQ12">
        <v>686</v>
      </c>
      <c r="SR12">
        <v>44282</v>
      </c>
      <c r="SS12">
        <v>76365</v>
      </c>
      <c r="ST12">
        <v>350</v>
      </c>
      <c r="SU12">
        <v>44283</v>
      </c>
      <c r="SV12">
        <v>76734</v>
      </c>
      <c r="SW12">
        <v>369</v>
      </c>
      <c r="SX12">
        <v>44285</v>
      </c>
      <c r="SY12">
        <v>77958</v>
      </c>
      <c r="SZ12">
        <v>566</v>
      </c>
      <c r="TA12">
        <v>44286</v>
      </c>
      <c r="TB12">
        <v>78511</v>
      </c>
      <c r="TC12">
        <v>550</v>
      </c>
      <c r="TD12">
        <v>44288</v>
      </c>
      <c r="TE12">
        <v>79359</v>
      </c>
      <c r="TF12">
        <v>361</v>
      </c>
      <c r="TG12">
        <v>44289</v>
      </c>
      <c r="TH12">
        <v>79682</v>
      </c>
      <c r="TI12">
        <v>319</v>
      </c>
      <c r="TJ12">
        <v>44290</v>
      </c>
      <c r="TK12">
        <v>80002</v>
      </c>
      <c r="TL12">
        <v>319</v>
      </c>
      <c r="TM12">
        <v>44291</v>
      </c>
      <c r="TN12">
        <v>80362</v>
      </c>
      <c r="TO12">
        <v>359</v>
      </c>
      <c r="TP12">
        <v>44293</v>
      </c>
      <c r="TQ12">
        <v>81333</v>
      </c>
      <c r="TR12">
        <v>424</v>
      </c>
      <c r="TS12">
        <v>44294</v>
      </c>
      <c r="TT12">
        <v>81739</v>
      </c>
      <c r="TU12">
        <v>403</v>
      </c>
      <c r="TV12">
        <v>44294</v>
      </c>
      <c r="TW12">
        <v>81745</v>
      </c>
      <c r="TX12">
        <v>403</v>
      </c>
      <c r="TY12">
        <v>44295</v>
      </c>
      <c r="TZ12">
        <v>82095</v>
      </c>
      <c r="UA12">
        <v>348</v>
      </c>
      <c r="UB12">
        <v>44297</v>
      </c>
      <c r="UC12">
        <v>82557</v>
      </c>
      <c r="UD12">
        <v>238</v>
      </c>
      <c r="UE12">
        <v>44297</v>
      </c>
      <c r="UF12">
        <v>82558</v>
      </c>
      <c r="UG12">
        <v>238</v>
      </c>
    </row>
    <row r="13" spans="1:553">
      <c r="B13" t="str">
        <f t="shared" ca="1" si="2"/>
        <v>Ma 12</v>
      </c>
      <c r="C13" s="4">
        <f t="shared" ca="1" si="0"/>
        <v>44298</v>
      </c>
      <c r="D13" s="11">
        <f t="shared" ca="1" si="1"/>
        <v>82956</v>
      </c>
      <c r="E13">
        <f t="shared" ca="1" si="3"/>
        <v>396</v>
      </c>
      <c r="F13" s="11">
        <f t="shared" ca="1" si="4"/>
        <v>0</v>
      </c>
      <c r="G13" s="11">
        <f t="shared" ca="1" si="5"/>
        <v>396</v>
      </c>
      <c r="H13" s="10"/>
      <c r="L13" s="3"/>
      <c r="N13" s="16">
        <v>44298</v>
      </c>
      <c r="O13">
        <v>82954</v>
      </c>
      <c r="P13" s="10">
        <v>396</v>
      </c>
      <c r="Q13" s="16">
        <v>44298</v>
      </c>
      <c r="R13">
        <v>82954</v>
      </c>
      <c r="S13">
        <v>396</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v>44274</v>
      </c>
      <c r="RU13">
        <v>71717</v>
      </c>
      <c r="RV13">
        <v>744</v>
      </c>
      <c r="RW13">
        <v>44275</v>
      </c>
      <c r="RX13">
        <v>72120</v>
      </c>
      <c r="RY13">
        <v>403</v>
      </c>
      <c r="RZ13">
        <v>44276</v>
      </c>
      <c r="SA13">
        <v>72538</v>
      </c>
      <c r="SB13">
        <v>417</v>
      </c>
      <c r="SC13">
        <v>44277</v>
      </c>
      <c r="SD13">
        <v>73304</v>
      </c>
      <c r="SE13">
        <v>766</v>
      </c>
      <c r="SF13">
        <v>44278</v>
      </c>
      <c r="SG13">
        <v>74008</v>
      </c>
      <c r="SH13">
        <v>702</v>
      </c>
      <c r="SI13">
        <v>44279</v>
      </c>
      <c r="SJ13">
        <v>74702</v>
      </c>
      <c r="SK13">
        <v>693</v>
      </c>
      <c r="SL13">
        <v>44281</v>
      </c>
      <c r="SM13">
        <v>75994</v>
      </c>
      <c r="SN13">
        <v>686</v>
      </c>
      <c r="SO13">
        <v>44282</v>
      </c>
      <c r="SP13">
        <v>76362</v>
      </c>
      <c r="SQ13">
        <v>350</v>
      </c>
      <c r="SR13">
        <v>44283</v>
      </c>
      <c r="SS13">
        <v>76734</v>
      </c>
      <c r="ST13">
        <v>369</v>
      </c>
      <c r="SU13">
        <v>44284</v>
      </c>
      <c r="SV13">
        <v>77389</v>
      </c>
      <c r="SW13">
        <v>655</v>
      </c>
      <c r="SX13">
        <v>44286</v>
      </c>
      <c r="SY13">
        <v>78507</v>
      </c>
      <c r="SZ13">
        <v>549</v>
      </c>
      <c r="TA13">
        <v>44287</v>
      </c>
      <c r="TB13">
        <v>78998</v>
      </c>
      <c r="TC13">
        <v>487</v>
      </c>
      <c r="TD13">
        <v>44289</v>
      </c>
      <c r="TE13">
        <v>79678</v>
      </c>
      <c r="TF13">
        <v>319</v>
      </c>
      <c r="TG13">
        <v>44290</v>
      </c>
      <c r="TH13">
        <v>80001</v>
      </c>
      <c r="TI13">
        <v>319</v>
      </c>
      <c r="TJ13">
        <v>44291</v>
      </c>
      <c r="TK13">
        <v>80361</v>
      </c>
      <c r="TL13">
        <v>359</v>
      </c>
      <c r="TM13">
        <v>44292</v>
      </c>
      <c r="TN13">
        <v>80905</v>
      </c>
      <c r="TO13">
        <v>543</v>
      </c>
      <c r="TP13">
        <v>44294</v>
      </c>
      <c r="TQ13">
        <v>81736</v>
      </c>
      <c r="TR13">
        <v>403</v>
      </c>
      <c r="TS13">
        <v>44295</v>
      </c>
      <c r="TT13">
        <v>82087</v>
      </c>
      <c r="TU13">
        <v>348</v>
      </c>
      <c r="TV13">
        <v>44295</v>
      </c>
      <c r="TW13">
        <v>82093</v>
      </c>
      <c r="TX13">
        <v>348</v>
      </c>
      <c r="TY13">
        <v>44296</v>
      </c>
      <c r="TZ13">
        <v>82319</v>
      </c>
      <c r="UA13">
        <v>224</v>
      </c>
      <c r="UB13">
        <v>44298</v>
      </c>
      <c r="UC13">
        <v>82953</v>
      </c>
      <c r="UD13">
        <v>396</v>
      </c>
      <c r="UE13">
        <v>44298</v>
      </c>
      <c r="UF13">
        <v>82954</v>
      </c>
      <c r="UG13">
        <v>396</v>
      </c>
    </row>
    <row r="14" spans="1:553" s="10" customFormat="1">
      <c r="B14" t="str">
        <f t="shared" ca="1" si="2"/>
        <v>13.4</v>
      </c>
      <c r="C14" s="9">
        <f t="shared" ca="1" si="0"/>
        <v>44299</v>
      </c>
      <c r="D14" s="10">
        <f t="shared" ca="1" si="1"/>
        <v>83281</v>
      </c>
      <c r="E14" s="10">
        <f t="shared" ca="1" si="3"/>
        <v>325</v>
      </c>
      <c r="F14" s="10">
        <f t="shared" ca="1" si="4"/>
        <v>0</v>
      </c>
      <c r="G14" s="10">
        <f t="shared" ca="1" si="5"/>
        <v>325</v>
      </c>
      <c r="H14" s="10">
        <f ca="1">SUM(E14:E20)</f>
        <v>1818</v>
      </c>
      <c r="I14" s="10" t="str">
        <f ca="1">TEXT(H14/H7-1,"0 %")</f>
        <v>-30 %</v>
      </c>
      <c r="L14" s="14"/>
      <c r="M14"/>
      <c r="N14" s="17">
        <v>44299</v>
      </c>
      <c r="O14" s="10">
        <v>83279</v>
      </c>
      <c r="P14">
        <v>325</v>
      </c>
      <c r="Q14" s="17">
        <v>44299</v>
      </c>
      <c r="R14" s="10">
        <v>83279</v>
      </c>
      <c r="S14" s="10">
        <v>325</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0">
        <v>44275</v>
      </c>
      <c r="RU14" s="10">
        <v>72120</v>
      </c>
      <c r="RV14" s="10">
        <v>403</v>
      </c>
      <c r="RW14" s="10">
        <v>44276</v>
      </c>
      <c r="RX14" s="10">
        <v>72537</v>
      </c>
      <c r="RY14" s="10">
        <v>417</v>
      </c>
      <c r="RZ14" s="10">
        <v>44277</v>
      </c>
      <c r="SA14" s="10">
        <v>73304</v>
      </c>
      <c r="SB14" s="10">
        <v>766</v>
      </c>
      <c r="SC14" s="10">
        <v>44278</v>
      </c>
      <c r="SD14" s="10">
        <v>74006</v>
      </c>
      <c r="SE14" s="10">
        <v>702</v>
      </c>
      <c r="SF14" s="10">
        <v>44279</v>
      </c>
      <c r="SG14" s="10">
        <v>74701</v>
      </c>
      <c r="SH14" s="10">
        <v>693</v>
      </c>
      <c r="SI14" s="10">
        <v>44280</v>
      </c>
      <c r="SJ14" s="10">
        <v>75308</v>
      </c>
      <c r="SK14" s="10">
        <v>606</v>
      </c>
      <c r="SL14" s="10">
        <v>44282</v>
      </c>
      <c r="SM14" s="10">
        <v>76344</v>
      </c>
      <c r="SN14" s="10">
        <v>350</v>
      </c>
      <c r="SO14" s="10">
        <v>44283</v>
      </c>
      <c r="SP14" s="10">
        <v>76731</v>
      </c>
      <c r="SQ14" s="10">
        <v>369</v>
      </c>
      <c r="SR14" s="10">
        <v>44284</v>
      </c>
      <c r="SS14" s="10">
        <v>77389</v>
      </c>
      <c r="ST14" s="10">
        <v>655</v>
      </c>
      <c r="SU14" s="10">
        <v>44285</v>
      </c>
      <c r="SV14" s="10">
        <v>77955</v>
      </c>
      <c r="SW14" s="10">
        <v>566</v>
      </c>
      <c r="SX14" s="10">
        <v>44287</v>
      </c>
      <c r="SY14" s="10">
        <v>78995</v>
      </c>
      <c r="SZ14" s="10">
        <v>488</v>
      </c>
      <c r="TA14" s="10">
        <v>44288</v>
      </c>
      <c r="TB14" s="10">
        <v>79359</v>
      </c>
      <c r="TC14" s="10">
        <v>361</v>
      </c>
      <c r="TD14" s="10">
        <v>44290</v>
      </c>
      <c r="TE14" s="10">
        <v>79997</v>
      </c>
      <c r="TF14" s="10">
        <v>319</v>
      </c>
      <c r="TG14" s="10">
        <v>44291</v>
      </c>
      <c r="TH14" s="10">
        <v>80360</v>
      </c>
      <c r="TI14" s="10">
        <v>359</v>
      </c>
      <c r="TJ14" s="10">
        <v>44292</v>
      </c>
      <c r="TK14" s="10">
        <v>80905</v>
      </c>
      <c r="TL14" s="10">
        <v>544</v>
      </c>
      <c r="TM14" s="10">
        <v>44293</v>
      </c>
      <c r="TN14" s="10">
        <v>81329</v>
      </c>
      <c r="TO14" s="10">
        <v>424</v>
      </c>
      <c r="TP14" s="10">
        <v>44295</v>
      </c>
      <c r="TQ14" s="10">
        <v>82084</v>
      </c>
      <c r="TR14" s="10">
        <v>348</v>
      </c>
      <c r="TS14" s="10">
        <v>44296</v>
      </c>
      <c r="TT14" s="10">
        <v>82311</v>
      </c>
      <c r="TU14" s="10">
        <v>224</v>
      </c>
      <c r="TV14" s="10">
        <v>44296</v>
      </c>
      <c r="TW14" s="10">
        <v>82317</v>
      </c>
      <c r="TX14" s="10">
        <v>224</v>
      </c>
      <c r="TY14" s="10">
        <v>44297</v>
      </c>
      <c r="TZ14" s="10">
        <v>82557</v>
      </c>
      <c r="UA14" s="10">
        <v>238</v>
      </c>
      <c r="UB14" s="10">
        <v>44299</v>
      </c>
      <c r="UC14" s="10">
        <v>83278</v>
      </c>
      <c r="UD14" s="10">
        <v>325</v>
      </c>
      <c r="UE14" s="10">
        <v>44299</v>
      </c>
      <c r="UF14" s="10">
        <v>83279</v>
      </c>
      <c r="UG14" s="10">
        <v>325</v>
      </c>
    </row>
    <row r="15" spans="1:553">
      <c r="B15" t="str">
        <f t="shared" ca="1" si="2"/>
        <v>14.4</v>
      </c>
      <c r="C15" s="4">
        <f t="shared" ca="1" si="0"/>
        <v>44300</v>
      </c>
      <c r="D15" s="11">
        <f t="shared" ca="1" si="1"/>
        <v>83626</v>
      </c>
      <c r="E15">
        <f t="shared" ca="1" si="3"/>
        <v>345</v>
      </c>
      <c r="F15" s="11">
        <f t="shared" ca="1" si="4"/>
        <v>0</v>
      </c>
      <c r="G15" s="11">
        <f t="shared" ca="1" si="5"/>
        <v>345</v>
      </c>
      <c r="L15" s="3"/>
      <c r="N15" s="16">
        <v>44300</v>
      </c>
      <c r="O15">
        <v>83624</v>
      </c>
      <c r="P15">
        <v>345</v>
      </c>
      <c r="Q15" s="16">
        <v>44300</v>
      </c>
      <c r="R15">
        <v>83624</v>
      </c>
      <c r="S15">
        <v>345</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v>44276</v>
      </c>
      <c r="RU15">
        <v>72537</v>
      </c>
      <c r="RV15">
        <v>417</v>
      </c>
      <c r="RW15">
        <v>44277</v>
      </c>
      <c r="RX15">
        <v>73303</v>
      </c>
      <c r="RY15">
        <v>766</v>
      </c>
      <c r="RZ15">
        <v>44278</v>
      </c>
      <c r="SA15">
        <v>74006</v>
      </c>
      <c r="SB15">
        <v>702</v>
      </c>
      <c r="SC15">
        <v>44279</v>
      </c>
      <c r="SD15">
        <v>74699</v>
      </c>
      <c r="SE15">
        <v>693</v>
      </c>
      <c r="SF15">
        <v>44280</v>
      </c>
      <c r="SG15">
        <v>75307</v>
      </c>
      <c r="SH15">
        <v>606</v>
      </c>
      <c r="SI15">
        <v>44281</v>
      </c>
      <c r="SJ15">
        <v>75994</v>
      </c>
      <c r="SK15">
        <v>686</v>
      </c>
      <c r="SL15">
        <v>44283</v>
      </c>
      <c r="SM15">
        <v>76713</v>
      </c>
      <c r="SN15">
        <v>369</v>
      </c>
      <c r="SO15">
        <v>44284</v>
      </c>
      <c r="SP15">
        <v>77386</v>
      </c>
      <c r="SQ15">
        <v>655</v>
      </c>
      <c r="SR15">
        <v>44285</v>
      </c>
      <c r="SS15">
        <v>77955</v>
      </c>
      <c r="ST15">
        <v>566</v>
      </c>
      <c r="SU15">
        <v>44286</v>
      </c>
      <c r="SV15">
        <v>78504</v>
      </c>
      <c r="SW15">
        <v>549</v>
      </c>
      <c r="SX15">
        <v>44288</v>
      </c>
      <c r="SY15">
        <v>79356</v>
      </c>
      <c r="SZ15">
        <v>361</v>
      </c>
      <c r="TA15">
        <v>44289</v>
      </c>
      <c r="TB15">
        <v>79678</v>
      </c>
      <c r="TC15">
        <v>319</v>
      </c>
      <c r="TD15">
        <v>44291</v>
      </c>
      <c r="TE15">
        <v>80356</v>
      </c>
      <c r="TF15">
        <v>359</v>
      </c>
      <c r="TG15">
        <v>44292</v>
      </c>
      <c r="TH15">
        <v>80903</v>
      </c>
      <c r="TI15">
        <v>543</v>
      </c>
      <c r="TJ15">
        <v>44293</v>
      </c>
      <c r="TK15">
        <v>81329</v>
      </c>
      <c r="TL15">
        <v>424</v>
      </c>
      <c r="TM15">
        <v>44294</v>
      </c>
      <c r="TN15">
        <v>81732</v>
      </c>
      <c r="TO15">
        <v>403</v>
      </c>
      <c r="TP15">
        <v>44296</v>
      </c>
      <c r="TQ15">
        <v>82308</v>
      </c>
      <c r="TR15">
        <v>224</v>
      </c>
      <c r="TS15">
        <v>44297</v>
      </c>
      <c r="TT15">
        <v>82550</v>
      </c>
      <c r="TU15">
        <v>239</v>
      </c>
      <c r="TV15">
        <v>44297</v>
      </c>
      <c r="TW15">
        <v>82556</v>
      </c>
      <c r="TX15">
        <v>239</v>
      </c>
      <c r="TY15">
        <v>44298</v>
      </c>
      <c r="TZ15">
        <v>82953</v>
      </c>
      <c r="UA15">
        <v>396</v>
      </c>
      <c r="UB15">
        <v>44300</v>
      </c>
      <c r="UC15">
        <v>83623</v>
      </c>
      <c r="UD15">
        <v>345</v>
      </c>
      <c r="UE15">
        <v>44300</v>
      </c>
      <c r="UF15">
        <v>83624</v>
      </c>
      <c r="UG15">
        <v>345</v>
      </c>
    </row>
    <row r="16" spans="1:553">
      <c r="B16" t="str">
        <f t="shared" ca="1" si="2"/>
        <v>15.4</v>
      </c>
      <c r="C16" s="4">
        <f t="shared" ca="1" si="0"/>
        <v>44301</v>
      </c>
      <c r="D16" s="11">
        <f t="shared" ca="1" si="1"/>
        <v>83901</v>
      </c>
      <c r="E16">
        <f t="shared" ca="1" si="3"/>
        <v>275</v>
      </c>
      <c r="F16" s="11">
        <f t="shared" ca="1" si="4"/>
        <v>0</v>
      </c>
      <c r="G16" s="11">
        <f t="shared" ca="1" si="5"/>
        <v>275</v>
      </c>
      <c r="L16" s="3"/>
      <c r="N16" s="16">
        <v>44301</v>
      </c>
      <c r="O16">
        <v>83899</v>
      </c>
      <c r="P16">
        <v>275</v>
      </c>
      <c r="Q16" s="16">
        <v>44301</v>
      </c>
      <c r="R16">
        <v>83899</v>
      </c>
      <c r="S16">
        <v>275</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v>44277</v>
      </c>
      <c r="RU16">
        <v>73303</v>
      </c>
      <c r="RV16">
        <v>766</v>
      </c>
      <c r="RW16">
        <v>44278</v>
      </c>
      <c r="RX16">
        <v>74005</v>
      </c>
      <c r="RY16">
        <v>702</v>
      </c>
      <c r="RZ16">
        <v>44279</v>
      </c>
      <c r="SA16">
        <v>74699</v>
      </c>
      <c r="SB16">
        <v>693</v>
      </c>
      <c r="SC16">
        <v>44280</v>
      </c>
      <c r="SD16">
        <v>75305</v>
      </c>
      <c r="SE16">
        <v>606</v>
      </c>
      <c r="SF16">
        <v>44281</v>
      </c>
      <c r="SG16">
        <v>75993</v>
      </c>
      <c r="SH16">
        <v>686</v>
      </c>
      <c r="SI16">
        <v>44282</v>
      </c>
      <c r="SJ16">
        <v>76344</v>
      </c>
      <c r="SK16">
        <v>350</v>
      </c>
      <c r="SL16">
        <v>44284</v>
      </c>
      <c r="SM16">
        <v>77368</v>
      </c>
      <c r="SN16">
        <v>655</v>
      </c>
      <c r="SO16">
        <v>44285</v>
      </c>
      <c r="SP16">
        <v>77952</v>
      </c>
      <c r="SQ16">
        <v>566</v>
      </c>
      <c r="SR16">
        <v>44286</v>
      </c>
      <c r="SS16">
        <v>78504</v>
      </c>
      <c r="ST16">
        <v>549</v>
      </c>
      <c r="SU16">
        <v>44287</v>
      </c>
      <c r="SV16">
        <v>78992</v>
      </c>
      <c r="SW16">
        <v>488</v>
      </c>
      <c r="SX16">
        <v>44289</v>
      </c>
      <c r="SY16">
        <v>79672</v>
      </c>
      <c r="SZ16">
        <v>316</v>
      </c>
      <c r="TA16">
        <v>44290</v>
      </c>
      <c r="TB16">
        <v>79997</v>
      </c>
      <c r="TC16">
        <v>319</v>
      </c>
      <c r="TD16">
        <v>44292</v>
      </c>
      <c r="TE16">
        <v>80898</v>
      </c>
      <c r="TF16">
        <v>542</v>
      </c>
      <c r="TG16">
        <v>44293</v>
      </c>
      <c r="TH16">
        <v>81327</v>
      </c>
      <c r="TI16">
        <v>424</v>
      </c>
      <c r="TJ16">
        <v>44294</v>
      </c>
      <c r="TK16">
        <v>81732</v>
      </c>
      <c r="TL16">
        <v>403</v>
      </c>
      <c r="TM16">
        <v>44295</v>
      </c>
      <c r="TN16">
        <v>82080</v>
      </c>
      <c r="TO16">
        <v>348</v>
      </c>
      <c r="TP16">
        <v>44297</v>
      </c>
      <c r="TQ16">
        <v>82547</v>
      </c>
      <c r="TR16">
        <v>239</v>
      </c>
      <c r="TS16">
        <v>44298</v>
      </c>
      <c r="TT16">
        <v>82947</v>
      </c>
      <c r="TU16">
        <v>397</v>
      </c>
      <c r="TV16">
        <v>44298</v>
      </c>
      <c r="TW16">
        <v>82953</v>
      </c>
      <c r="TX16">
        <v>397</v>
      </c>
      <c r="TY16">
        <v>44299</v>
      </c>
      <c r="TZ16">
        <v>83278</v>
      </c>
      <c r="UA16">
        <v>325</v>
      </c>
      <c r="UB16">
        <v>44301</v>
      </c>
      <c r="UC16">
        <v>83898</v>
      </c>
      <c r="UD16">
        <v>275</v>
      </c>
      <c r="UE16">
        <v>44301</v>
      </c>
      <c r="UF16">
        <v>83899</v>
      </c>
      <c r="UG16">
        <v>275</v>
      </c>
    </row>
    <row r="17" spans="2:553">
      <c r="B17" t="str">
        <f t="shared" ca="1" si="2"/>
        <v>16.4</v>
      </c>
      <c r="C17" s="4">
        <f t="shared" ca="1" si="0"/>
        <v>44302</v>
      </c>
      <c r="D17" s="11">
        <f t="shared" ca="1" si="1"/>
        <v>84165</v>
      </c>
      <c r="E17">
        <f t="shared" ca="1" si="3"/>
        <v>264</v>
      </c>
      <c r="F17" s="11">
        <f t="shared" ca="1" si="4"/>
        <v>0</v>
      </c>
      <c r="G17" s="11">
        <f t="shared" ca="1" si="5"/>
        <v>264</v>
      </c>
      <c r="N17" s="16">
        <v>44302</v>
      </c>
      <c r="O17">
        <v>84163</v>
      </c>
      <c r="P17">
        <v>264</v>
      </c>
      <c r="Q17" s="16">
        <v>44302</v>
      </c>
      <c r="R17">
        <v>84163</v>
      </c>
      <c r="S17">
        <v>264</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v>44278</v>
      </c>
      <c r="RU17">
        <v>74000</v>
      </c>
      <c r="RV17">
        <v>697</v>
      </c>
      <c r="RW17">
        <v>44279</v>
      </c>
      <c r="RX17">
        <v>74698</v>
      </c>
      <c r="RY17">
        <v>693</v>
      </c>
      <c r="RZ17">
        <v>44280</v>
      </c>
      <c r="SA17">
        <v>75305</v>
      </c>
      <c r="SB17">
        <v>606</v>
      </c>
      <c r="SC17">
        <v>44281</v>
      </c>
      <c r="SD17">
        <v>75990</v>
      </c>
      <c r="SE17">
        <v>685</v>
      </c>
      <c r="SF17">
        <v>44282</v>
      </c>
      <c r="SG17">
        <v>76343</v>
      </c>
      <c r="SH17">
        <v>350</v>
      </c>
      <c r="SI17">
        <v>44283</v>
      </c>
      <c r="SJ17">
        <v>76713</v>
      </c>
      <c r="SK17">
        <v>369</v>
      </c>
      <c r="SL17">
        <v>44285</v>
      </c>
      <c r="SM17">
        <v>77934</v>
      </c>
      <c r="SN17">
        <v>566</v>
      </c>
      <c r="SO17">
        <v>44286</v>
      </c>
      <c r="SP17">
        <v>78501</v>
      </c>
      <c r="SQ17">
        <v>549</v>
      </c>
      <c r="SR17">
        <v>44287</v>
      </c>
      <c r="SS17">
        <v>78992</v>
      </c>
      <c r="ST17">
        <v>488</v>
      </c>
      <c r="SU17">
        <v>44288</v>
      </c>
      <c r="SV17">
        <v>79353</v>
      </c>
      <c r="SW17">
        <v>361</v>
      </c>
      <c r="SX17">
        <v>44290</v>
      </c>
      <c r="SY17">
        <v>79991</v>
      </c>
      <c r="SZ17">
        <v>319</v>
      </c>
      <c r="TA17">
        <v>44291</v>
      </c>
      <c r="TB17">
        <v>80356</v>
      </c>
      <c r="TC17">
        <v>359</v>
      </c>
      <c r="TD17">
        <v>44293</v>
      </c>
      <c r="TE17">
        <v>81323</v>
      </c>
      <c r="TF17">
        <v>425</v>
      </c>
      <c r="TG17">
        <v>44294</v>
      </c>
      <c r="TH17">
        <v>81730</v>
      </c>
      <c r="TI17">
        <v>403</v>
      </c>
      <c r="TJ17">
        <v>44295</v>
      </c>
      <c r="TK17">
        <v>82080</v>
      </c>
      <c r="TL17">
        <v>348</v>
      </c>
      <c r="TM17">
        <v>44296</v>
      </c>
      <c r="TN17">
        <v>82304</v>
      </c>
      <c r="TO17">
        <v>224</v>
      </c>
      <c r="TP17">
        <v>44298</v>
      </c>
      <c r="TQ17">
        <v>82944</v>
      </c>
      <c r="TR17">
        <v>397</v>
      </c>
      <c r="TS17">
        <v>44299</v>
      </c>
      <c r="TT17">
        <v>83272</v>
      </c>
      <c r="TU17">
        <v>325</v>
      </c>
      <c r="TV17">
        <v>44299</v>
      </c>
      <c r="TW17">
        <v>83278</v>
      </c>
      <c r="TX17">
        <v>325</v>
      </c>
      <c r="TY17">
        <v>44300</v>
      </c>
      <c r="TZ17">
        <v>83623</v>
      </c>
      <c r="UA17">
        <v>345</v>
      </c>
      <c r="UB17">
        <v>44302</v>
      </c>
      <c r="UC17">
        <v>84162</v>
      </c>
      <c r="UD17">
        <v>264</v>
      </c>
      <c r="UE17">
        <v>44302</v>
      </c>
      <c r="UF17">
        <v>84163</v>
      </c>
      <c r="UG17">
        <v>264</v>
      </c>
    </row>
    <row r="18" spans="2:553">
      <c r="B18" t="str">
        <f t="shared" ca="1" si="2"/>
        <v>17.4</v>
      </c>
      <c r="C18" s="4">
        <f t="shared" ca="1" si="0"/>
        <v>44303</v>
      </c>
      <c r="D18" s="11">
        <f t="shared" ca="1" si="1"/>
        <v>84335</v>
      </c>
      <c r="E18">
        <f t="shared" ca="1" si="3"/>
        <v>170</v>
      </c>
      <c r="F18" s="11">
        <f t="shared" ca="1" si="4"/>
        <v>1</v>
      </c>
      <c r="G18" s="11">
        <f t="shared" ca="1" si="5"/>
        <v>169</v>
      </c>
      <c r="K18" s="10">
        <f ca="1">SUM(E18:E24)</f>
        <v>1651</v>
      </c>
      <c r="L18" s="10" t="str">
        <f ca="1">TEXT(K18/K11-1,"0 %")</f>
        <v>-20 %</v>
      </c>
      <c r="N18" s="16">
        <v>44303</v>
      </c>
      <c r="O18">
        <v>84332</v>
      </c>
      <c r="P18">
        <v>169</v>
      </c>
      <c r="Q18" s="16">
        <v>44303</v>
      </c>
      <c r="R18">
        <v>84332</v>
      </c>
      <c r="S18">
        <v>169</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v>44279</v>
      </c>
      <c r="RU18">
        <v>74698</v>
      </c>
      <c r="RV18">
        <v>698</v>
      </c>
      <c r="RW18">
        <v>44280</v>
      </c>
      <c r="RX18">
        <v>75304</v>
      </c>
      <c r="RY18">
        <v>606</v>
      </c>
      <c r="RZ18">
        <v>44281</v>
      </c>
      <c r="SA18">
        <v>75990</v>
      </c>
      <c r="SB18">
        <v>685</v>
      </c>
      <c r="SC18">
        <v>44282</v>
      </c>
      <c r="SD18">
        <v>76340</v>
      </c>
      <c r="SE18">
        <v>350</v>
      </c>
      <c r="SF18">
        <v>44283</v>
      </c>
      <c r="SG18">
        <v>76712</v>
      </c>
      <c r="SH18">
        <v>369</v>
      </c>
      <c r="SI18">
        <v>44284</v>
      </c>
      <c r="SJ18">
        <v>77368</v>
      </c>
      <c r="SK18">
        <v>655</v>
      </c>
      <c r="SL18">
        <v>44286</v>
      </c>
      <c r="SM18">
        <v>78482</v>
      </c>
      <c r="SN18">
        <v>548</v>
      </c>
      <c r="SO18">
        <v>44287</v>
      </c>
      <c r="SP18">
        <v>78988</v>
      </c>
      <c r="SQ18">
        <v>487</v>
      </c>
      <c r="SR18">
        <v>44288</v>
      </c>
      <c r="SS18">
        <v>79353</v>
      </c>
      <c r="ST18">
        <v>361</v>
      </c>
      <c r="SU18">
        <v>44289</v>
      </c>
      <c r="SV18">
        <v>79670</v>
      </c>
      <c r="SW18">
        <v>317</v>
      </c>
      <c r="SX18">
        <v>44291</v>
      </c>
      <c r="SY18">
        <v>80349</v>
      </c>
      <c r="SZ18">
        <v>358</v>
      </c>
      <c r="TA18">
        <v>44292</v>
      </c>
      <c r="TB18">
        <v>80897</v>
      </c>
      <c r="TC18">
        <v>541</v>
      </c>
      <c r="TD18">
        <v>44294</v>
      </c>
      <c r="TE18">
        <v>81726</v>
      </c>
      <c r="TF18">
        <v>403</v>
      </c>
      <c r="TG18">
        <v>44295</v>
      </c>
      <c r="TH18">
        <v>82078</v>
      </c>
      <c r="TI18">
        <v>348</v>
      </c>
      <c r="TJ18">
        <v>44296</v>
      </c>
      <c r="TK18">
        <v>82304</v>
      </c>
      <c r="TL18">
        <v>224</v>
      </c>
      <c r="TM18">
        <v>44297</v>
      </c>
      <c r="TN18">
        <v>82543</v>
      </c>
      <c r="TO18">
        <v>239</v>
      </c>
      <c r="TP18">
        <v>44299</v>
      </c>
      <c r="TQ18">
        <v>83268</v>
      </c>
      <c r="TR18">
        <v>324</v>
      </c>
      <c r="TS18">
        <v>44300</v>
      </c>
      <c r="TT18">
        <v>83617</v>
      </c>
      <c r="TU18">
        <v>345</v>
      </c>
      <c r="TV18">
        <v>44300</v>
      </c>
      <c r="TW18">
        <v>83623</v>
      </c>
      <c r="TX18">
        <v>345</v>
      </c>
      <c r="TY18">
        <v>44301</v>
      </c>
      <c r="TZ18">
        <v>83898</v>
      </c>
      <c r="UA18">
        <v>275</v>
      </c>
      <c r="UB18">
        <v>44303</v>
      </c>
      <c r="UC18">
        <v>84331</v>
      </c>
      <c r="UD18">
        <v>169</v>
      </c>
      <c r="UE18">
        <v>44303</v>
      </c>
      <c r="UF18">
        <v>84332</v>
      </c>
      <c r="UG18">
        <v>169</v>
      </c>
    </row>
    <row r="19" spans="2:553">
      <c r="B19" t="str">
        <f t="shared" ca="1" si="2"/>
        <v>18.4</v>
      </c>
      <c r="C19" s="4">
        <f t="shared" ca="1" si="0"/>
        <v>44304</v>
      </c>
      <c r="D19" s="11">
        <f t="shared" ca="1" si="1"/>
        <v>84490</v>
      </c>
      <c r="E19">
        <f t="shared" ca="1" si="3"/>
        <v>155</v>
      </c>
      <c r="F19" s="11">
        <f t="shared" ca="1" si="4"/>
        <v>0</v>
      </c>
      <c r="G19" s="11">
        <f t="shared" ca="1" si="5"/>
        <v>155</v>
      </c>
      <c r="L19" s="3"/>
      <c r="N19" s="16">
        <v>44304</v>
      </c>
      <c r="O19">
        <v>84487</v>
      </c>
      <c r="P19">
        <v>155</v>
      </c>
      <c r="Q19" s="16">
        <v>44304</v>
      </c>
      <c r="R19">
        <v>84487</v>
      </c>
      <c r="S19">
        <v>155</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v>44280</v>
      </c>
      <c r="RU19">
        <v>75304</v>
      </c>
      <c r="RV19">
        <v>606</v>
      </c>
      <c r="RW19">
        <v>44281</v>
      </c>
      <c r="RX19">
        <v>75989</v>
      </c>
      <c r="RY19">
        <v>685</v>
      </c>
      <c r="RZ19">
        <v>44282</v>
      </c>
      <c r="SA19">
        <v>76340</v>
      </c>
      <c r="SB19">
        <v>350</v>
      </c>
      <c r="SC19">
        <v>44283</v>
      </c>
      <c r="SD19">
        <v>76711</v>
      </c>
      <c r="SE19">
        <v>371</v>
      </c>
      <c r="SF19">
        <v>44284</v>
      </c>
      <c r="SG19">
        <v>77367</v>
      </c>
      <c r="SH19">
        <v>655</v>
      </c>
      <c r="SI19">
        <v>44285</v>
      </c>
      <c r="SJ19">
        <v>77934</v>
      </c>
      <c r="SK19">
        <v>566</v>
      </c>
      <c r="SL19">
        <v>44287</v>
      </c>
      <c r="SM19">
        <v>78969</v>
      </c>
      <c r="SN19">
        <v>487</v>
      </c>
      <c r="SO19">
        <v>44288</v>
      </c>
      <c r="SP19">
        <v>79349</v>
      </c>
      <c r="SQ19">
        <v>361</v>
      </c>
      <c r="SR19">
        <v>44289</v>
      </c>
      <c r="SS19">
        <v>79670</v>
      </c>
      <c r="ST19">
        <v>317</v>
      </c>
      <c r="SU19">
        <v>44290</v>
      </c>
      <c r="SV19">
        <v>79989</v>
      </c>
      <c r="SW19">
        <v>319</v>
      </c>
      <c r="SX19">
        <v>44292</v>
      </c>
      <c r="SY19">
        <v>80887</v>
      </c>
      <c r="SZ19">
        <v>538</v>
      </c>
      <c r="TA19">
        <v>44293</v>
      </c>
      <c r="TB19">
        <v>81321</v>
      </c>
      <c r="TC19">
        <v>424</v>
      </c>
      <c r="TD19">
        <v>44295</v>
      </c>
      <c r="TE19">
        <v>82074</v>
      </c>
      <c r="TF19">
        <v>348</v>
      </c>
      <c r="TG19">
        <v>44296</v>
      </c>
      <c r="TH19">
        <v>82302</v>
      </c>
      <c r="TI19">
        <v>224</v>
      </c>
      <c r="TJ19">
        <v>44297</v>
      </c>
      <c r="TK19">
        <v>82543</v>
      </c>
      <c r="TL19">
        <v>239</v>
      </c>
      <c r="TM19">
        <v>44298</v>
      </c>
      <c r="TN19">
        <v>82941</v>
      </c>
      <c r="TO19">
        <v>398</v>
      </c>
      <c r="TP19">
        <v>44300</v>
      </c>
      <c r="TQ19">
        <v>83613</v>
      </c>
      <c r="TR19">
        <v>345</v>
      </c>
      <c r="TS19">
        <v>44301</v>
      </c>
      <c r="TT19">
        <v>83892</v>
      </c>
      <c r="TU19">
        <v>275</v>
      </c>
      <c r="TV19">
        <v>44301</v>
      </c>
      <c r="TW19">
        <v>83898</v>
      </c>
      <c r="TX19">
        <v>275</v>
      </c>
      <c r="TY19">
        <v>44302</v>
      </c>
      <c r="TZ19">
        <v>84162</v>
      </c>
      <c r="UA19">
        <v>264</v>
      </c>
      <c r="UB19">
        <v>44304</v>
      </c>
      <c r="UC19">
        <v>84486</v>
      </c>
      <c r="UD19">
        <v>155</v>
      </c>
      <c r="UE19">
        <v>44304</v>
      </c>
      <c r="UF19">
        <v>84487</v>
      </c>
      <c r="UG19">
        <v>155</v>
      </c>
    </row>
    <row r="20" spans="2:553">
      <c r="B20" t="str">
        <f t="shared" ca="1" si="2"/>
        <v>Ma 19</v>
      </c>
      <c r="C20" s="4">
        <f t="shared" ca="1" si="0"/>
        <v>44305</v>
      </c>
      <c r="D20" s="11">
        <f t="shared" ca="1" si="1"/>
        <v>84774</v>
      </c>
      <c r="E20">
        <f t="shared" ca="1" si="3"/>
        <v>284</v>
      </c>
      <c r="F20" s="11">
        <f t="shared" ca="1" si="4"/>
        <v>0</v>
      </c>
      <c r="G20" s="11">
        <f t="shared" ca="1" si="5"/>
        <v>284</v>
      </c>
      <c r="L20" s="3"/>
      <c r="N20" s="16">
        <v>44305</v>
      </c>
      <c r="O20">
        <v>84771</v>
      </c>
      <c r="P20" s="10">
        <v>284</v>
      </c>
      <c r="Q20" s="16">
        <v>44305</v>
      </c>
      <c r="R20">
        <v>84771</v>
      </c>
      <c r="S20">
        <v>284</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v>44281</v>
      </c>
      <c r="RU20">
        <v>75988</v>
      </c>
      <c r="RV20">
        <v>684</v>
      </c>
      <c r="RW20">
        <v>44282</v>
      </c>
      <c r="RX20">
        <v>76339</v>
      </c>
      <c r="RY20">
        <v>350</v>
      </c>
      <c r="RZ20">
        <v>44283</v>
      </c>
      <c r="SA20">
        <v>76711</v>
      </c>
      <c r="SB20">
        <v>371</v>
      </c>
      <c r="SC20">
        <v>44284</v>
      </c>
      <c r="SD20">
        <v>77366</v>
      </c>
      <c r="SE20">
        <v>655</v>
      </c>
      <c r="SF20">
        <v>44285</v>
      </c>
      <c r="SG20">
        <v>77933</v>
      </c>
      <c r="SH20">
        <v>566</v>
      </c>
      <c r="SI20">
        <v>44286</v>
      </c>
      <c r="SJ20">
        <v>78482</v>
      </c>
      <c r="SK20">
        <v>548</v>
      </c>
      <c r="SL20">
        <v>44288</v>
      </c>
      <c r="SM20">
        <v>79330</v>
      </c>
      <c r="SN20">
        <v>361</v>
      </c>
      <c r="SO20">
        <v>44289</v>
      </c>
      <c r="SP20">
        <v>79664</v>
      </c>
      <c r="SQ20">
        <v>315</v>
      </c>
      <c r="SR20">
        <v>44290</v>
      </c>
      <c r="SS20">
        <v>79989</v>
      </c>
      <c r="ST20">
        <v>319</v>
      </c>
      <c r="SU20">
        <v>44291</v>
      </c>
      <c r="SV20">
        <v>80348</v>
      </c>
      <c r="SW20">
        <v>359</v>
      </c>
      <c r="SX20">
        <v>44293</v>
      </c>
      <c r="SY20">
        <v>81313</v>
      </c>
      <c r="SZ20">
        <v>426</v>
      </c>
      <c r="TA20">
        <v>44294</v>
      </c>
      <c r="TB20">
        <v>81724</v>
      </c>
      <c r="TC20">
        <v>403</v>
      </c>
      <c r="TD20">
        <v>44296</v>
      </c>
      <c r="TE20">
        <v>82298</v>
      </c>
      <c r="TF20">
        <v>224</v>
      </c>
      <c r="TG20">
        <v>44297</v>
      </c>
      <c r="TH20">
        <v>82541</v>
      </c>
      <c r="TI20">
        <v>239</v>
      </c>
      <c r="TJ20">
        <v>44298</v>
      </c>
      <c r="TK20">
        <v>82940</v>
      </c>
      <c r="TL20">
        <v>397</v>
      </c>
      <c r="TM20">
        <v>44299</v>
      </c>
      <c r="TN20">
        <v>83265</v>
      </c>
      <c r="TO20">
        <v>324</v>
      </c>
      <c r="TP20">
        <v>44301</v>
      </c>
      <c r="TQ20">
        <v>83888</v>
      </c>
      <c r="TR20">
        <v>275</v>
      </c>
      <c r="TS20">
        <v>44302</v>
      </c>
      <c r="TT20">
        <v>84156</v>
      </c>
      <c r="TU20">
        <v>264</v>
      </c>
      <c r="TV20">
        <v>44302</v>
      </c>
      <c r="TW20">
        <v>84162</v>
      </c>
      <c r="TX20">
        <v>264</v>
      </c>
      <c r="TY20">
        <v>44303</v>
      </c>
      <c r="TZ20">
        <v>84331</v>
      </c>
      <c r="UA20">
        <v>169</v>
      </c>
      <c r="UB20">
        <v>44305</v>
      </c>
      <c r="UC20">
        <v>84770</v>
      </c>
      <c r="UD20">
        <v>284</v>
      </c>
      <c r="UE20">
        <v>44305</v>
      </c>
      <c r="UF20">
        <v>84771</v>
      </c>
      <c r="UG20">
        <v>284</v>
      </c>
    </row>
    <row r="21" spans="2:553" s="10" customFormat="1">
      <c r="B21" t="str">
        <f t="shared" ca="1" si="2"/>
        <v>20.4</v>
      </c>
      <c r="C21" s="9">
        <f t="shared" ca="1" si="0"/>
        <v>44306</v>
      </c>
      <c r="D21" s="10">
        <f t="shared" ca="1" si="1"/>
        <v>85059</v>
      </c>
      <c r="E21" s="10">
        <f t="shared" ca="1" si="3"/>
        <v>285</v>
      </c>
      <c r="F21" s="10">
        <f t="shared" ca="1" si="4"/>
        <v>0</v>
      </c>
      <c r="G21" s="10">
        <f t="shared" ca="1" si="5"/>
        <v>285</v>
      </c>
      <c r="H21" s="10">
        <f ca="1">SUM(E21:E27)</f>
        <v>1578</v>
      </c>
      <c r="I21" s="10" t="str">
        <f ca="1">TEXT(H21/H14-1,"0 %")</f>
        <v>-13 %</v>
      </c>
      <c r="J21" s="10">
        <f ca="1">SUM(E21:E34)</f>
        <v>2755</v>
      </c>
      <c r="L21" s="14"/>
      <c r="M21"/>
      <c r="N21" s="17">
        <v>44306</v>
      </c>
      <c r="O21" s="10">
        <v>85056</v>
      </c>
      <c r="P21">
        <v>285</v>
      </c>
      <c r="Q21" s="17">
        <v>44306</v>
      </c>
      <c r="R21" s="10">
        <v>85056</v>
      </c>
      <c r="S21" s="10">
        <v>285</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0">
        <v>44282</v>
      </c>
      <c r="RU21" s="10">
        <v>76338</v>
      </c>
      <c r="RV21" s="10">
        <v>350</v>
      </c>
      <c r="RW21" s="10">
        <v>44283</v>
      </c>
      <c r="RX21" s="10">
        <v>76710</v>
      </c>
      <c r="RY21" s="10">
        <v>371</v>
      </c>
      <c r="RZ21" s="10">
        <v>44284</v>
      </c>
      <c r="SA21" s="10">
        <v>77366</v>
      </c>
      <c r="SB21" s="10">
        <v>655</v>
      </c>
      <c r="SC21" s="10">
        <v>44285</v>
      </c>
      <c r="SD21" s="10">
        <v>77932</v>
      </c>
      <c r="SE21" s="10">
        <v>566</v>
      </c>
      <c r="SF21" s="10">
        <v>44286</v>
      </c>
      <c r="SG21" s="10">
        <v>78481</v>
      </c>
      <c r="SH21" s="10">
        <v>548</v>
      </c>
      <c r="SI21" s="10">
        <v>44287</v>
      </c>
      <c r="SJ21" s="10">
        <v>78970</v>
      </c>
      <c r="SK21" s="10">
        <v>488</v>
      </c>
      <c r="SL21" s="10">
        <v>44289</v>
      </c>
      <c r="SM21" s="10">
        <v>79645</v>
      </c>
      <c r="SN21" s="10">
        <v>315</v>
      </c>
      <c r="SO21" s="10">
        <v>44290</v>
      </c>
      <c r="SP21" s="10">
        <v>79983</v>
      </c>
      <c r="SQ21" s="10">
        <v>319</v>
      </c>
      <c r="SR21" s="10">
        <v>44291</v>
      </c>
      <c r="SS21" s="10">
        <v>80348</v>
      </c>
      <c r="ST21" s="10">
        <v>359</v>
      </c>
      <c r="SU21" s="10">
        <v>44292</v>
      </c>
      <c r="SV21" s="10">
        <v>80888</v>
      </c>
      <c r="SW21" s="10">
        <v>540</v>
      </c>
      <c r="SX21" s="10">
        <v>44294</v>
      </c>
      <c r="SY21" s="10">
        <v>81718</v>
      </c>
      <c r="SZ21" s="10">
        <v>405</v>
      </c>
      <c r="TA21" s="10">
        <v>44295</v>
      </c>
      <c r="TB21" s="10">
        <v>82072</v>
      </c>
      <c r="TC21" s="10">
        <v>348</v>
      </c>
      <c r="TD21" s="10">
        <v>44297</v>
      </c>
      <c r="TE21" s="10">
        <v>82537</v>
      </c>
      <c r="TF21" s="10">
        <v>239</v>
      </c>
      <c r="TG21" s="10">
        <v>44298</v>
      </c>
      <c r="TH21" s="10">
        <v>82938</v>
      </c>
      <c r="TI21" s="10">
        <v>397</v>
      </c>
      <c r="TJ21" s="10">
        <v>44299</v>
      </c>
      <c r="TK21" s="10">
        <v>83264</v>
      </c>
      <c r="TL21" s="10">
        <v>324</v>
      </c>
      <c r="TM21" s="10">
        <v>44300</v>
      </c>
      <c r="TN21" s="10">
        <v>83610</v>
      </c>
      <c r="TO21" s="10">
        <v>345</v>
      </c>
      <c r="TP21" s="10">
        <v>44302</v>
      </c>
      <c r="TQ21" s="10">
        <v>84152</v>
      </c>
      <c r="TR21" s="10">
        <v>264</v>
      </c>
      <c r="TS21" s="10">
        <v>44303</v>
      </c>
      <c r="TT21" s="10">
        <v>84325</v>
      </c>
      <c r="TU21" s="10">
        <v>169</v>
      </c>
      <c r="TV21" s="10">
        <v>44303</v>
      </c>
      <c r="TW21" s="10">
        <v>84331</v>
      </c>
      <c r="TX21" s="10">
        <v>169</v>
      </c>
      <c r="TY21" s="10">
        <v>44304</v>
      </c>
      <c r="TZ21" s="10">
        <v>84486</v>
      </c>
      <c r="UA21" s="10">
        <v>155</v>
      </c>
      <c r="UB21" s="10">
        <v>44306</v>
      </c>
      <c r="UC21" s="10">
        <v>85055</v>
      </c>
      <c r="UD21" s="10">
        <v>285</v>
      </c>
      <c r="UE21" s="10">
        <v>44306</v>
      </c>
      <c r="UF21" s="10">
        <v>85056</v>
      </c>
      <c r="UG21" s="10">
        <v>285</v>
      </c>
    </row>
    <row r="22" spans="2:553">
      <c r="B22" t="str">
        <f t="shared" ca="1" si="2"/>
        <v>21.4</v>
      </c>
      <c r="C22" s="4">
        <f t="shared" ca="1" si="0"/>
        <v>44307</v>
      </c>
      <c r="D22" s="11">
        <f t="shared" ca="1" si="1"/>
        <v>85299</v>
      </c>
      <c r="E22">
        <f t="shared" ca="1" si="3"/>
        <v>240</v>
      </c>
      <c r="F22" s="11">
        <f t="shared" ca="1" si="4"/>
        <v>0</v>
      </c>
      <c r="G22" s="11">
        <f t="shared" ca="1" si="5"/>
        <v>240</v>
      </c>
      <c r="H22" s="10"/>
      <c r="L22" s="3"/>
      <c r="N22" s="16">
        <v>44307</v>
      </c>
      <c r="O22">
        <v>85296</v>
      </c>
      <c r="P22">
        <v>240</v>
      </c>
      <c r="Q22" s="16">
        <v>44307</v>
      </c>
      <c r="R22">
        <v>85296</v>
      </c>
      <c r="S22">
        <v>240</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v>44283</v>
      </c>
      <c r="RU22">
        <v>76707</v>
      </c>
      <c r="RV22">
        <v>369</v>
      </c>
      <c r="RW22">
        <v>44284</v>
      </c>
      <c r="RX22">
        <v>77365</v>
      </c>
      <c r="RY22">
        <v>655</v>
      </c>
      <c r="RZ22">
        <v>44285</v>
      </c>
      <c r="SA22">
        <v>77932</v>
      </c>
      <c r="SB22">
        <v>566</v>
      </c>
      <c r="SC22">
        <v>44286</v>
      </c>
      <c r="SD22">
        <v>78480</v>
      </c>
      <c r="SE22">
        <v>548</v>
      </c>
      <c r="SF22">
        <v>44287</v>
      </c>
      <c r="SG22">
        <v>78969</v>
      </c>
      <c r="SH22">
        <v>488</v>
      </c>
      <c r="SI22">
        <v>44288</v>
      </c>
      <c r="SJ22">
        <v>79331</v>
      </c>
      <c r="SK22">
        <v>361</v>
      </c>
      <c r="SL22">
        <v>44290</v>
      </c>
      <c r="SM22">
        <v>79964</v>
      </c>
      <c r="SN22">
        <v>319</v>
      </c>
      <c r="SO22">
        <v>44291</v>
      </c>
      <c r="SP22">
        <v>80343</v>
      </c>
      <c r="SQ22">
        <v>360</v>
      </c>
      <c r="SR22">
        <v>44292</v>
      </c>
      <c r="SS22">
        <v>80888</v>
      </c>
      <c r="ST22">
        <v>540</v>
      </c>
      <c r="SU22">
        <v>44293</v>
      </c>
      <c r="SV22">
        <v>81314</v>
      </c>
      <c r="SW22">
        <v>426</v>
      </c>
      <c r="SX22">
        <v>44295</v>
      </c>
      <c r="SY22">
        <v>82066</v>
      </c>
      <c r="SZ22">
        <v>348</v>
      </c>
      <c r="TA22">
        <v>44296</v>
      </c>
      <c r="TB22">
        <v>82296</v>
      </c>
      <c r="TC22">
        <v>224</v>
      </c>
      <c r="TD22">
        <v>44298</v>
      </c>
      <c r="TE22">
        <v>82934</v>
      </c>
      <c r="TF22">
        <v>397</v>
      </c>
      <c r="TG22">
        <v>44299</v>
      </c>
      <c r="TH22">
        <v>83262</v>
      </c>
      <c r="TI22">
        <v>324</v>
      </c>
      <c r="TJ22">
        <v>44300</v>
      </c>
      <c r="TK22">
        <v>83609</v>
      </c>
      <c r="TL22">
        <v>345</v>
      </c>
      <c r="TM22">
        <v>44301</v>
      </c>
      <c r="TN22">
        <v>83884</v>
      </c>
      <c r="TO22">
        <v>274</v>
      </c>
      <c r="TP22">
        <v>44303</v>
      </c>
      <c r="TQ22">
        <v>84321</v>
      </c>
      <c r="TR22">
        <v>169</v>
      </c>
      <c r="TS22">
        <v>44304</v>
      </c>
      <c r="TT22">
        <v>84480</v>
      </c>
      <c r="TU22">
        <v>155</v>
      </c>
      <c r="TV22">
        <v>44304</v>
      </c>
      <c r="TW22">
        <v>84486</v>
      </c>
      <c r="TX22">
        <v>155</v>
      </c>
      <c r="TY22">
        <v>44305</v>
      </c>
      <c r="TZ22">
        <v>84770</v>
      </c>
      <c r="UA22">
        <v>284</v>
      </c>
      <c r="UB22">
        <v>44307</v>
      </c>
      <c r="UC22">
        <v>85297</v>
      </c>
      <c r="UD22">
        <v>242</v>
      </c>
      <c r="UE22">
        <v>44307</v>
      </c>
      <c r="UF22">
        <v>85296</v>
      </c>
      <c r="UG22">
        <v>240</v>
      </c>
    </row>
    <row r="23" spans="2:553">
      <c r="B23" t="str">
        <f t="shared" ca="1" si="2"/>
        <v>22.4</v>
      </c>
      <c r="C23" s="4">
        <f t="shared" ca="1" si="0"/>
        <v>44308</v>
      </c>
      <c r="D23" s="11">
        <f t="shared" ca="1" si="1"/>
        <v>85559</v>
      </c>
      <c r="E23">
        <f t="shared" ca="1" si="3"/>
        <v>260</v>
      </c>
      <c r="F23" s="11">
        <f t="shared" ca="1" si="4"/>
        <v>0</v>
      </c>
      <c r="G23" s="11">
        <f t="shared" ca="1" si="5"/>
        <v>260</v>
      </c>
      <c r="K23" s="13"/>
      <c r="L23" s="3"/>
      <c r="N23" s="16">
        <v>44308</v>
      </c>
      <c r="O23">
        <v>85556</v>
      </c>
      <c r="P23">
        <v>260</v>
      </c>
      <c r="Q23" s="16">
        <v>44308</v>
      </c>
      <c r="R23">
        <v>85556</v>
      </c>
      <c r="S23">
        <v>260</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v>44284</v>
      </c>
      <c r="RU23">
        <v>77362</v>
      </c>
      <c r="RV23">
        <v>655</v>
      </c>
      <c r="RW23">
        <v>44285</v>
      </c>
      <c r="RX23">
        <v>77931</v>
      </c>
      <c r="RY23">
        <v>566</v>
      </c>
      <c r="RZ23">
        <v>44286</v>
      </c>
      <c r="SA23">
        <v>78480</v>
      </c>
      <c r="SB23">
        <v>548</v>
      </c>
      <c r="SC23">
        <v>44287</v>
      </c>
      <c r="SD23">
        <v>78968</v>
      </c>
      <c r="SE23">
        <v>488</v>
      </c>
      <c r="SF23">
        <v>44288</v>
      </c>
      <c r="SG23">
        <v>79330</v>
      </c>
      <c r="SH23">
        <v>361</v>
      </c>
      <c r="SI23">
        <v>44289</v>
      </c>
      <c r="SJ23">
        <v>79646</v>
      </c>
      <c r="SK23">
        <v>315</v>
      </c>
      <c r="SL23">
        <v>44291</v>
      </c>
      <c r="SM23">
        <v>80324</v>
      </c>
      <c r="SN23">
        <v>360</v>
      </c>
      <c r="SO23">
        <v>44292</v>
      </c>
      <c r="SP23">
        <v>80880</v>
      </c>
      <c r="SQ23">
        <v>537</v>
      </c>
      <c r="SR23">
        <v>44293</v>
      </c>
      <c r="SS23">
        <v>81314</v>
      </c>
      <c r="ST23">
        <v>426</v>
      </c>
      <c r="SU23">
        <v>44294</v>
      </c>
      <c r="SV23">
        <v>81714</v>
      </c>
      <c r="SW23">
        <v>400</v>
      </c>
      <c r="SX23">
        <v>44296</v>
      </c>
      <c r="SY23">
        <v>82292</v>
      </c>
      <c r="SZ23">
        <v>226</v>
      </c>
      <c r="TA23">
        <v>44297</v>
      </c>
      <c r="TB23">
        <v>82535</v>
      </c>
      <c r="TC23">
        <v>239</v>
      </c>
      <c r="TD23">
        <v>44299</v>
      </c>
      <c r="TE23">
        <v>83259</v>
      </c>
      <c r="TF23">
        <v>325</v>
      </c>
      <c r="TG23">
        <v>44300</v>
      </c>
      <c r="TH23">
        <v>83607</v>
      </c>
      <c r="TI23">
        <v>345</v>
      </c>
      <c r="TJ23">
        <v>44301</v>
      </c>
      <c r="TK23">
        <v>83883</v>
      </c>
      <c r="TL23">
        <v>274</v>
      </c>
      <c r="TM23">
        <v>44302</v>
      </c>
      <c r="TN23">
        <v>84148</v>
      </c>
      <c r="TO23">
        <v>264</v>
      </c>
      <c r="TP23">
        <v>44304</v>
      </c>
      <c r="TQ23">
        <v>84476</v>
      </c>
      <c r="TR23">
        <v>155</v>
      </c>
      <c r="TS23">
        <v>44305</v>
      </c>
      <c r="TT23">
        <v>84764</v>
      </c>
      <c r="TU23">
        <v>284</v>
      </c>
      <c r="TV23">
        <v>44305</v>
      </c>
      <c r="TW23">
        <v>84770</v>
      </c>
      <c r="TX23">
        <v>284</v>
      </c>
      <c r="TY23">
        <v>44306</v>
      </c>
      <c r="TZ23">
        <v>85055</v>
      </c>
      <c r="UA23">
        <v>285</v>
      </c>
      <c r="UB23">
        <v>44308</v>
      </c>
      <c r="UC23">
        <v>85557</v>
      </c>
      <c r="UD23">
        <v>260</v>
      </c>
      <c r="UE23">
        <v>44308</v>
      </c>
      <c r="UF23">
        <v>85556</v>
      </c>
      <c r="UG23">
        <v>260</v>
      </c>
    </row>
    <row r="24" spans="2:553">
      <c r="B24" t="str">
        <f t="shared" ca="1" si="2"/>
        <v>23.4</v>
      </c>
      <c r="C24" s="4">
        <f t="shared" ca="1" si="0"/>
        <v>44309</v>
      </c>
      <c r="D24" s="11">
        <f t="shared" ca="1" si="1"/>
        <v>85816</v>
      </c>
      <c r="E24">
        <f t="shared" ca="1" si="3"/>
        <v>257</v>
      </c>
      <c r="F24" s="11">
        <f t="shared" ca="1" si="4"/>
        <v>0</v>
      </c>
      <c r="G24" s="11">
        <f t="shared" ca="1" si="5"/>
        <v>257</v>
      </c>
      <c r="N24" s="16">
        <v>44309</v>
      </c>
      <c r="O24">
        <v>85813</v>
      </c>
      <c r="P24">
        <v>257</v>
      </c>
      <c r="Q24" s="16">
        <v>44309</v>
      </c>
      <c r="R24">
        <v>85813</v>
      </c>
      <c r="S24">
        <v>257</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v>44285</v>
      </c>
      <c r="RU24">
        <v>77929</v>
      </c>
      <c r="RV24">
        <v>567</v>
      </c>
      <c r="RW24">
        <v>44286</v>
      </c>
      <c r="RX24">
        <v>78479</v>
      </c>
      <c r="RY24">
        <v>548</v>
      </c>
      <c r="RZ24">
        <v>44287</v>
      </c>
      <c r="SA24">
        <v>78967</v>
      </c>
      <c r="SB24">
        <v>487</v>
      </c>
      <c r="SC24">
        <v>44288</v>
      </c>
      <c r="SD24">
        <v>79329</v>
      </c>
      <c r="SE24">
        <v>361</v>
      </c>
      <c r="SF24">
        <v>44289</v>
      </c>
      <c r="SG24">
        <v>79645</v>
      </c>
      <c r="SH24">
        <v>315</v>
      </c>
      <c r="SI24">
        <v>44290</v>
      </c>
      <c r="SJ24">
        <v>79965</v>
      </c>
      <c r="SK24">
        <v>319</v>
      </c>
      <c r="SL24">
        <v>44292</v>
      </c>
      <c r="SM24">
        <v>80861</v>
      </c>
      <c r="SN24">
        <v>537</v>
      </c>
      <c r="SO24">
        <v>44293</v>
      </c>
      <c r="SP24">
        <v>81307</v>
      </c>
      <c r="SQ24">
        <v>427</v>
      </c>
      <c r="SR24">
        <v>44294</v>
      </c>
      <c r="SS24">
        <v>81714</v>
      </c>
      <c r="ST24">
        <v>400</v>
      </c>
      <c r="SU24">
        <v>44295</v>
      </c>
      <c r="SV24">
        <v>82061</v>
      </c>
      <c r="SW24">
        <v>347</v>
      </c>
      <c r="SX24">
        <v>44297</v>
      </c>
      <c r="SY24">
        <v>82530</v>
      </c>
      <c r="SZ24">
        <v>238</v>
      </c>
      <c r="TA24">
        <v>44298</v>
      </c>
      <c r="TB24">
        <v>82932</v>
      </c>
      <c r="TC24">
        <v>397</v>
      </c>
      <c r="TD24">
        <v>44300</v>
      </c>
      <c r="TE24">
        <v>83604</v>
      </c>
      <c r="TF24">
        <v>345</v>
      </c>
      <c r="TG24">
        <v>44301</v>
      </c>
      <c r="TH24">
        <v>83881</v>
      </c>
      <c r="TI24">
        <v>274</v>
      </c>
      <c r="TJ24">
        <v>44302</v>
      </c>
      <c r="TK24">
        <v>84147</v>
      </c>
      <c r="TL24">
        <v>264</v>
      </c>
      <c r="TM24">
        <v>44303</v>
      </c>
      <c r="TN24">
        <v>84317</v>
      </c>
      <c r="TO24">
        <v>169</v>
      </c>
      <c r="TP24">
        <v>44305</v>
      </c>
      <c r="TQ24">
        <v>84760</v>
      </c>
      <c r="TR24">
        <v>284</v>
      </c>
      <c r="TS24">
        <v>44306</v>
      </c>
      <c r="TT24">
        <v>85050</v>
      </c>
      <c r="TU24">
        <v>286</v>
      </c>
      <c r="TV24">
        <v>44306</v>
      </c>
      <c r="TW24">
        <v>85056</v>
      </c>
      <c r="TX24">
        <v>286</v>
      </c>
      <c r="TY24">
        <v>44307</v>
      </c>
      <c r="TZ24">
        <v>85298</v>
      </c>
      <c r="UA24">
        <v>243</v>
      </c>
      <c r="UB24">
        <v>44309</v>
      </c>
      <c r="UC24">
        <v>85814</v>
      </c>
      <c r="UD24">
        <v>257</v>
      </c>
      <c r="UE24">
        <v>44309</v>
      </c>
      <c r="UF24">
        <v>85813</v>
      </c>
      <c r="UG24">
        <v>257</v>
      </c>
    </row>
    <row r="25" spans="2:553">
      <c r="B25" t="str">
        <f t="shared" ca="1" si="2"/>
        <v>24.4</v>
      </c>
      <c r="C25" s="4">
        <f t="shared" ca="1" si="0"/>
        <v>44310</v>
      </c>
      <c r="D25" s="11">
        <f t="shared" ca="1" si="1"/>
        <v>85969</v>
      </c>
      <c r="E25">
        <f t="shared" ca="1" si="3"/>
        <v>153</v>
      </c>
      <c r="F25" s="11">
        <f t="shared" ca="1" si="4"/>
        <v>1</v>
      </c>
      <c r="G25" s="11">
        <f t="shared" ca="1" si="5"/>
        <v>152</v>
      </c>
      <c r="J25" s="10"/>
      <c r="K25" s="10">
        <f ca="1">SUM(E25:E31)</f>
        <v>1407</v>
      </c>
      <c r="L25" s="10" t="str">
        <f ca="1">TEXT(K25/K18-1,"0 %")</f>
        <v>-15 %</v>
      </c>
      <c r="N25" s="16">
        <v>44310</v>
      </c>
      <c r="O25">
        <v>85965</v>
      </c>
      <c r="P25">
        <v>152</v>
      </c>
      <c r="Q25" s="16">
        <v>44310</v>
      </c>
      <c r="R25">
        <v>85965</v>
      </c>
      <c r="S25">
        <v>152</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v>44286</v>
      </c>
      <c r="RU25">
        <v>78477</v>
      </c>
      <c r="RV25">
        <v>548</v>
      </c>
      <c r="RW25">
        <v>44287</v>
      </c>
      <c r="RX25">
        <v>78966</v>
      </c>
      <c r="RY25">
        <v>487</v>
      </c>
      <c r="RZ25">
        <v>44288</v>
      </c>
      <c r="SA25">
        <v>79328</v>
      </c>
      <c r="SB25">
        <v>361</v>
      </c>
      <c r="SC25">
        <v>44289</v>
      </c>
      <c r="SD25">
        <v>79644</v>
      </c>
      <c r="SE25">
        <v>315</v>
      </c>
      <c r="SF25">
        <v>44290</v>
      </c>
      <c r="SG25">
        <v>79966</v>
      </c>
      <c r="SH25">
        <v>321</v>
      </c>
      <c r="SI25">
        <v>44291</v>
      </c>
      <c r="SJ25">
        <v>80325</v>
      </c>
      <c r="SK25">
        <v>360</v>
      </c>
      <c r="SL25">
        <v>44293</v>
      </c>
      <c r="SM25">
        <v>81288</v>
      </c>
      <c r="SN25">
        <v>427</v>
      </c>
      <c r="SO25">
        <v>44294</v>
      </c>
      <c r="SP25">
        <v>81707</v>
      </c>
      <c r="SQ25">
        <v>400</v>
      </c>
      <c r="SR25">
        <v>44295</v>
      </c>
      <c r="SS25">
        <v>82060</v>
      </c>
      <c r="ST25">
        <v>346</v>
      </c>
      <c r="SU25">
        <v>44296</v>
      </c>
      <c r="SV25">
        <v>82288</v>
      </c>
      <c r="SW25">
        <v>227</v>
      </c>
      <c r="SX25">
        <v>44298</v>
      </c>
      <c r="SY25">
        <v>82929</v>
      </c>
      <c r="SZ25">
        <v>399</v>
      </c>
      <c r="TA25">
        <v>44299</v>
      </c>
      <c r="TB25">
        <v>83257</v>
      </c>
      <c r="TC25">
        <v>325</v>
      </c>
      <c r="TD25">
        <v>44301</v>
      </c>
      <c r="TE25">
        <v>83877</v>
      </c>
      <c r="TF25">
        <v>273</v>
      </c>
      <c r="TG25">
        <v>44302</v>
      </c>
      <c r="TH25">
        <v>84145</v>
      </c>
      <c r="TI25">
        <v>264</v>
      </c>
      <c r="TJ25">
        <v>44303</v>
      </c>
      <c r="TK25">
        <v>84316</v>
      </c>
      <c r="TL25">
        <v>169</v>
      </c>
      <c r="TM25">
        <v>44304</v>
      </c>
      <c r="TN25">
        <v>84473</v>
      </c>
      <c r="TO25">
        <v>156</v>
      </c>
      <c r="TP25">
        <v>44306</v>
      </c>
      <c r="TQ25">
        <v>85046</v>
      </c>
      <c r="TR25">
        <v>286</v>
      </c>
      <c r="TS25">
        <v>44307</v>
      </c>
      <c r="TT25">
        <v>85293</v>
      </c>
      <c r="TU25">
        <v>243</v>
      </c>
      <c r="TV25">
        <v>44307</v>
      </c>
      <c r="TW25">
        <v>85299</v>
      </c>
      <c r="TX25">
        <v>243</v>
      </c>
      <c r="TY25">
        <v>44308</v>
      </c>
      <c r="TZ25">
        <v>85558</v>
      </c>
      <c r="UA25">
        <v>260</v>
      </c>
      <c r="UB25">
        <v>44310</v>
      </c>
      <c r="UC25">
        <v>85966</v>
      </c>
      <c r="UD25">
        <v>152</v>
      </c>
      <c r="UE25">
        <v>44310</v>
      </c>
      <c r="UF25">
        <v>85965</v>
      </c>
      <c r="UG25">
        <v>152</v>
      </c>
    </row>
    <row r="26" spans="2:553">
      <c r="B26" t="str">
        <f t="shared" ca="1" si="2"/>
        <v>25.4</v>
      </c>
      <c r="C26" s="4">
        <f t="shared" ca="1" si="0"/>
        <v>44311</v>
      </c>
      <c r="D26" s="11">
        <f t="shared" ca="1" si="1"/>
        <v>86111</v>
      </c>
      <c r="E26">
        <f t="shared" ca="1" si="3"/>
        <v>142</v>
      </c>
      <c r="F26" s="11">
        <f t="shared" ca="1" si="4"/>
        <v>1</v>
      </c>
      <c r="G26" s="11">
        <f t="shared" ca="1" si="5"/>
        <v>141</v>
      </c>
      <c r="L26" s="3"/>
      <c r="N26" s="16">
        <v>44311</v>
      </c>
      <c r="O26">
        <v>86106</v>
      </c>
      <c r="P26">
        <v>141</v>
      </c>
      <c r="Q26" s="16">
        <v>44311</v>
      </c>
      <c r="R26">
        <v>86106</v>
      </c>
      <c r="S26">
        <v>141</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v>44287</v>
      </c>
      <c r="RU26">
        <v>78966</v>
      </c>
      <c r="RV26">
        <v>489</v>
      </c>
      <c r="RW26">
        <v>44288</v>
      </c>
      <c r="RX26">
        <v>79327</v>
      </c>
      <c r="RY26">
        <v>361</v>
      </c>
      <c r="RZ26">
        <v>44289</v>
      </c>
      <c r="SA26">
        <v>79643</v>
      </c>
      <c r="SB26">
        <v>315</v>
      </c>
      <c r="SC26">
        <v>44290</v>
      </c>
      <c r="SD26">
        <v>79964</v>
      </c>
      <c r="SE26">
        <v>320</v>
      </c>
      <c r="SF26">
        <v>44291</v>
      </c>
      <c r="SG26">
        <v>80326</v>
      </c>
      <c r="SH26">
        <v>360</v>
      </c>
      <c r="SI26">
        <v>44292</v>
      </c>
      <c r="SJ26">
        <v>80861</v>
      </c>
      <c r="SK26">
        <v>536</v>
      </c>
      <c r="SL26">
        <v>44294</v>
      </c>
      <c r="SM26">
        <v>81689</v>
      </c>
      <c r="SN26">
        <v>401</v>
      </c>
      <c r="SO26">
        <v>44295</v>
      </c>
      <c r="SP26">
        <v>82054</v>
      </c>
      <c r="SQ26">
        <v>347</v>
      </c>
      <c r="SR26">
        <v>44296</v>
      </c>
      <c r="SS26">
        <v>82286</v>
      </c>
      <c r="ST26">
        <v>226</v>
      </c>
      <c r="SU26">
        <v>44297</v>
      </c>
      <c r="SV26">
        <v>82526</v>
      </c>
      <c r="SW26">
        <v>238</v>
      </c>
      <c r="SX26">
        <v>44299</v>
      </c>
      <c r="SY26">
        <v>83257</v>
      </c>
      <c r="SZ26">
        <v>328</v>
      </c>
      <c r="TA26">
        <v>44300</v>
      </c>
      <c r="TB26">
        <v>83602</v>
      </c>
      <c r="TC26">
        <v>345</v>
      </c>
      <c r="TD26">
        <v>44302</v>
      </c>
      <c r="TE26">
        <v>84141</v>
      </c>
      <c r="TF26">
        <v>264</v>
      </c>
      <c r="TG26">
        <v>44303</v>
      </c>
      <c r="TH26">
        <v>84314</v>
      </c>
      <c r="TI26">
        <v>169</v>
      </c>
      <c r="TJ26">
        <v>44304</v>
      </c>
      <c r="TK26">
        <v>84472</v>
      </c>
      <c r="TL26">
        <v>156</v>
      </c>
      <c r="TM26">
        <v>44305</v>
      </c>
      <c r="TN26">
        <v>84756</v>
      </c>
      <c r="TO26">
        <v>283</v>
      </c>
      <c r="TP26">
        <v>44307</v>
      </c>
      <c r="TQ26">
        <v>85289</v>
      </c>
      <c r="TR26">
        <v>243</v>
      </c>
      <c r="TS26">
        <v>44308</v>
      </c>
      <c r="TT26">
        <v>85554</v>
      </c>
      <c r="TU26">
        <v>261</v>
      </c>
      <c r="TV26">
        <v>44308</v>
      </c>
      <c r="TW26">
        <v>85559</v>
      </c>
      <c r="TX26">
        <v>260</v>
      </c>
      <c r="TY26">
        <v>44309</v>
      </c>
      <c r="TZ26">
        <v>85815</v>
      </c>
      <c r="UA26">
        <v>257</v>
      </c>
      <c r="UB26">
        <v>44311</v>
      </c>
      <c r="UC26">
        <v>86106</v>
      </c>
      <c r="UD26">
        <v>140</v>
      </c>
      <c r="UE26">
        <v>44311</v>
      </c>
      <c r="UF26">
        <v>86106</v>
      </c>
      <c r="UG26">
        <v>141</v>
      </c>
    </row>
    <row r="27" spans="2:553">
      <c r="B27" t="str">
        <f t="shared" ca="1" si="2"/>
        <v>Ma 26</v>
      </c>
      <c r="C27" s="4">
        <f t="shared" ca="1" si="0"/>
        <v>44312</v>
      </c>
      <c r="D27" s="11">
        <f t="shared" ca="1" si="1"/>
        <v>86352</v>
      </c>
      <c r="E27">
        <f t="shared" ca="1" si="3"/>
        <v>241</v>
      </c>
      <c r="F27" s="11">
        <f t="shared" ca="1" si="4"/>
        <v>0</v>
      </c>
      <c r="G27" s="11">
        <f t="shared" ca="1" si="5"/>
        <v>241</v>
      </c>
      <c r="K27" s="13"/>
      <c r="L27" s="3"/>
      <c r="N27" s="16">
        <v>44312</v>
      </c>
      <c r="O27">
        <v>86347</v>
      </c>
      <c r="P27" s="10">
        <v>241</v>
      </c>
      <c r="Q27" s="16">
        <v>44312</v>
      </c>
      <c r="R27">
        <v>86347</v>
      </c>
      <c r="S27">
        <v>241</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v>44288</v>
      </c>
      <c r="RU27">
        <v>79327</v>
      </c>
      <c r="RV27">
        <v>361</v>
      </c>
      <c r="RW27">
        <v>44289</v>
      </c>
      <c r="RX27">
        <v>79642</v>
      </c>
      <c r="RY27">
        <v>315</v>
      </c>
      <c r="RZ27">
        <v>44290</v>
      </c>
      <c r="SA27">
        <v>79963</v>
      </c>
      <c r="SB27">
        <v>320</v>
      </c>
      <c r="SC27">
        <v>44291</v>
      </c>
      <c r="SD27">
        <v>80326</v>
      </c>
      <c r="SE27">
        <v>362</v>
      </c>
      <c r="SF27">
        <v>44292</v>
      </c>
      <c r="SG27">
        <v>80862</v>
      </c>
      <c r="SH27">
        <v>536</v>
      </c>
      <c r="SI27">
        <v>44293</v>
      </c>
      <c r="SJ27">
        <v>81285</v>
      </c>
      <c r="SK27">
        <v>424</v>
      </c>
      <c r="SL27">
        <v>44295</v>
      </c>
      <c r="SM27">
        <v>82035</v>
      </c>
      <c r="SN27">
        <v>346</v>
      </c>
      <c r="SO27">
        <v>44296</v>
      </c>
      <c r="SP27">
        <v>82278</v>
      </c>
      <c r="SQ27">
        <v>224</v>
      </c>
      <c r="SR27">
        <v>44297</v>
      </c>
      <c r="SS27">
        <v>82524</v>
      </c>
      <c r="ST27">
        <v>238</v>
      </c>
      <c r="SU27">
        <v>44298</v>
      </c>
      <c r="SV27">
        <v>82925</v>
      </c>
      <c r="SW27">
        <v>399</v>
      </c>
      <c r="SX27">
        <v>44300</v>
      </c>
      <c r="SY27">
        <v>83601</v>
      </c>
      <c r="SZ27">
        <v>344</v>
      </c>
      <c r="TA27">
        <v>44301</v>
      </c>
      <c r="TB27">
        <v>83875</v>
      </c>
      <c r="TC27">
        <v>273</v>
      </c>
      <c r="TD27">
        <v>44303</v>
      </c>
      <c r="TE27">
        <v>84312</v>
      </c>
      <c r="TF27">
        <v>171</v>
      </c>
      <c r="TG27">
        <v>44304</v>
      </c>
      <c r="TH27">
        <v>84470</v>
      </c>
      <c r="TI27">
        <v>156</v>
      </c>
      <c r="TJ27">
        <v>44305</v>
      </c>
      <c r="TK27">
        <v>84754</v>
      </c>
      <c r="TL27">
        <v>282</v>
      </c>
      <c r="TM27">
        <v>44306</v>
      </c>
      <c r="TN27">
        <v>85043</v>
      </c>
      <c r="TO27">
        <v>287</v>
      </c>
      <c r="TP27">
        <v>44308</v>
      </c>
      <c r="TQ27">
        <v>85550</v>
      </c>
      <c r="TR27">
        <v>261</v>
      </c>
      <c r="TS27">
        <v>44309</v>
      </c>
      <c r="TT27">
        <v>85812</v>
      </c>
      <c r="TU27">
        <v>258</v>
      </c>
      <c r="TV27">
        <v>44309</v>
      </c>
      <c r="TW27">
        <v>85817</v>
      </c>
      <c r="TX27">
        <v>258</v>
      </c>
      <c r="TY27">
        <v>44310</v>
      </c>
      <c r="TZ27">
        <v>85967</v>
      </c>
      <c r="UA27">
        <v>152</v>
      </c>
      <c r="UB27">
        <v>44312</v>
      </c>
      <c r="UC27">
        <v>86347</v>
      </c>
      <c r="UD27">
        <v>241</v>
      </c>
      <c r="UE27">
        <v>44312</v>
      </c>
      <c r="UF27">
        <v>86347</v>
      </c>
      <c r="UG27">
        <v>241</v>
      </c>
    </row>
    <row r="28" spans="2:553" s="10" customFormat="1">
      <c r="B28" t="str">
        <f t="shared" ca="1" si="2"/>
        <v>27.4</v>
      </c>
      <c r="C28" s="9">
        <f t="shared" ca="1" si="0"/>
        <v>44313</v>
      </c>
      <c r="D28" s="10">
        <f t="shared" ca="1" si="1"/>
        <v>86581</v>
      </c>
      <c r="E28" s="10">
        <f t="shared" ca="1" si="3"/>
        <v>229</v>
      </c>
      <c r="F28" s="10">
        <f t="shared" ca="1" si="4"/>
        <v>-2</v>
      </c>
      <c r="G28" s="10">
        <f t="shared" ca="1" si="5"/>
        <v>231</v>
      </c>
      <c r="H28" s="10">
        <f ca="1">SUM(E28:E34)</f>
        <v>1177</v>
      </c>
      <c r="I28" s="10" t="str">
        <f ca="1">TEXT(H28/H21-1,"0 %")</f>
        <v>-25 %</v>
      </c>
      <c r="L28" s="14"/>
      <c r="M28"/>
      <c r="N28" s="17">
        <v>44313</v>
      </c>
      <c r="O28" s="10">
        <v>86578</v>
      </c>
      <c r="P28">
        <v>231</v>
      </c>
      <c r="Q28" s="17">
        <v>44313</v>
      </c>
      <c r="R28" s="10">
        <v>86578</v>
      </c>
      <c r="S28" s="10">
        <v>231</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0">
        <v>44289</v>
      </c>
      <c r="RU28" s="10">
        <v>79643</v>
      </c>
      <c r="RV28" s="10">
        <v>316</v>
      </c>
      <c r="RW28" s="10">
        <v>44290</v>
      </c>
      <c r="RX28" s="10">
        <v>79962</v>
      </c>
      <c r="RY28" s="10">
        <v>320</v>
      </c>
      <c r="RZ28" s="10">
        <v>44291</v>
      </c>
      <c r="SA28" s="10">
        <v>80325</v>
      </c>
      <c r="SB28" s="10">
        <v>362</v>
      </c>
      <c r="SC28" s="10">
        <v>44292</v>
      </c>
      <c r="SD28" s="10">
        <v>80862</v>
      </c>
      <c r="SE28" s="10">
        <v>536</v>
      </c>
      <c r="SF28" s="10">
        <v>44293</v>
      </c>
      <c r="SG28" s="10">
        <v>81283</v>
      </c>
      <c r="SH28" s="10">
        <v>421</v>
      </c>
      <c r="SI28" s="10">
        <v>44294</v>
      </c>
      <c r="SJ28" s="10">
        <v>81685</v>
      </c>
      <c r="SK28" s="10">
        <v>400</v>
      </c>
      <c r="SL28" s="10">
        <v>44296</v>
      </c>
      <c r="SM28" s="10">
        <v>82259</v>
      </c>
      <c r="SN28" s="10">
        <v>224</v>
      </c>
      <c r="SO28" s="10">
        <v>44297</v>
      </c>
      <c r="SP28" s="10">
        <v>82515</v>
      </c>
      <c r="SQ28" s="10">
        <v>237</v>
      </c>
      <c r="SR28" s="10">
        <v>44298</v>
      </c>
      <c r="SS28" s="10">
        <v>82923</v>
      </c>
      <c r="ST28" s="10">
        <v>399</v>
      </c>
      <c r="SU28" s="10">
        <v>44299</v>
      </c>
      <c r="SV28" s="10">
        <v>83253</v>
      </c>
      <c r="SW28" s="10">
        <v>328</v>
      </c>
      <c r="SX28" s="10">
        <v>44301</v>
      </c>
      <c r="SY28" s="10">
        <v>83871</v>
      </c>
      <c r="SZ28" s="10">
        <v>270</v>
      </c>
      <c r="TA28" s="10">
        <v>44302</v>
      </c>
      <c r="TB28" s="10">
        <v>84139</v>
      </c>
      <c r="TC28" s="10">
        <v>264</v>
      </c>
      <c r="TD28" s="10">
        <v>44304</v>
      </c>
      <c r="TE28" s="10">
        <v>84472</v>
      </c>
      <c r="TF28" s="10">
        <v>160</v>
      </c>
      <c r="TG28" s="10">
        <v>44305</v>
      </c>
      <c r="TH28" s="10">
        <v>84752</v>
      </c>
      <c r="TI28" s="10">
        <v>282</v>
      </c>
      <c r="TJ28" s="10">
        <v>44306</v>
      </c>
      <c r="TK28" s="10">
        <v>85044</v>
      </c>
      <c r="TL28" s="10">
        <v>290</v>
      </c>
      <c r="TM28" s="10">
        <v>44307</v>
      </c>
      <c r="TN28" s="10">
        <v>85288</v>
      </c>
      <c r="TO28" s="10">
        <v>245</v>
      </c>
      <c r="TP28" s="10">
        <v>44309</v>
      </c>
      <c r="TQ28" s="10">
        <v>85807</v>
      </c>
      <c r="TR28" s="10">
        <v>257</v>
      </c>
      <c r="TS28" s="10">
        <v>44310</v>
      </c>
      <c r="TT28" s="10">
        <v>85965</v>
      </c>
      <c r="TU28" s="10">
        <v>153</v>
      </c>
      <c r="TV28" s="10">
        <v>44310</v>
      </c>
      <c r="TW28" s="10">
        <v>85969</v>
      </c>
      <c r="TX28" s="10">
        <v>152</v>
      </c>
      <c r="TY28" s="10">
        <v>44311</v>
      </c>
      <c r="TZ28" s="10">
        <v>86106</v>
      </c>
      <c r="UA28" s="10">
        <v>139</v>
      </c>
      <c r="UB28" s="10">
        <v>44313</v>
      </c>
      <c r="UC28" s="10">
        <v>86577</v>
      </c>
      <c r="UD28" s="10">
        <v>230</v>
      </c>
      <c r="UE28" s="10">
        <v>44313</v>
      </c>
      <c r="UF28" s="10">
        <v>86578</v>
      </c>
      <c r="UG28" s="10">
        <v>231</v>
      </c>
    </row>
    <row r="29" spans="2:553">
      <c r="B29" t="str">
        <f t="shared" ca="1" si="2"/>
        <v>28.4</v>
      </c>
      <c r="C29" s="4">
        <f t="shared" ca="1" si="0"/>
        <v>44314</v>
      </c>
      <c r="D29" s="11">
        <f t="shared" ca="1" si="1"/>
        <v>86856</v>
      </c>
      <c r="E29">
        <f t="shared" ca="1" si="3"/>
        <v>275</v>
      </c>
      <c r="F29" s="11">
        <f t="shared" ca="1" si="4"/>
        <v>26</v>
      </c>
      <c r="G29" s="11">
        <f t="shared" ca="1" si="5"/>
        <v>249</v>
      </c>
      <c r="I29" s="10"/>
      <c r="K29" s="13"/>
      <c r="L29" s="3"/>
      <c r="N29" s="16">
        <v>44314</v>
      </c>
      <c r="O29">
        <v>86827</v>
      </c>
      <c r="P29">
        <v>249</v>
      </c>
      <c r="Q29" s="16">
        <v>44314</v>
      </c>
      <c r="R29">
        <v>86827</v>
      </c>
      <c r="S29">
        <v>249</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v>44290</v>
      </c>
      <c r="RU29">
        <v>79963</v>
      </c>
      <c r="RV29">
        <v>320</v>
      </c>
      <c r="RW29">
        <v>44291</v>
      </c>
      <c r="RX29">
        <v>80323</v>
      </c>
      <c r="RY29">
        <v>361</v>
      </c>
      <c r="RZ29">
        <v>44292</v>
      </c>
      <c r="SA29">
        <v>80860</v>
      </c>
      <c r="SB29">
        <v>535</v>
      </c>
      <c r="SC29">
        <v>44293</v>
      </c>
      <c r="SD29">
        <v>81263</v>
      </c>
      <c r="SE29">
        <v>401</v>
      </c>
      <c r="SF29">
        <v>44294</v>
      </c>
      <c r="SG29">
        <v>81662</v>
      </c>
      <c r="SH29">
        <v>379</v>
      </c>
      <c r="SI29">
        <v>44295</v>
      </c>
      <c r="SJ29">
        <v>82029</v>
      </c>
      <c r="SK29">
        <v>344</v>
      </c>
      <c r="SL29">
        <v>44297</v>
      </c>
      <c r="SM29">
        <v>82488</v>
      </c>
      <c r="SN29">
        <v>229</v>
      </c>
      <c r="SO29">
        <v>44298</v>
      </c>
      <c r="SP29">
        <v>82913</v>
      </c>
      <c r="SQ29">
        <v>398</v>
      </c>
      <c r="SR29">
        <v>44299</v>
      </c>
      <c r="SS29">
        <v>83249</v>
      </c>
      <c r="ST29">
        <v>326</v>
      </c>
      <c r="SU29">
        <v>44300</v>
      </c>
      <c r="SV29">
        <v>83572</v>
      </c>
      <c r="SW29">
        <v>319</v>
      </c>
      <c r="SX29">
        <v>44302</v>
      </c>
      <c r="SY29">
        <v>84113</v>
      </c>
      <c r="SZ29">
        <v>242</v>
      </c>
      <c r="TA29">
        <v>44303</v>
      </c>
      <c r="TB29">
        <v>84309</v>
      </c>
      <c r="TC29">
        <v>170</v>
      </c>
      <c r="TD29">
        <v>44305</v>
      </c>
      <c r="TE29">
        <v>84755</v>
      </c>
      <c r="TF29">
        <v>283</v>
      </c>
      <c r="TG29">
        <v>44306</v>
      </c>
      <c r="TH29">
        <v>85042</v>
      </c>
      <c r="TI29">
        <v>290</v>
      </c>
      <c r="TJ29">
        <v>44307</v>
      </c>
      <c r="TK29">
        <v>85259</v>
      </c>
      <c r="TL29">
        <v>215</v>
      </c>
      <c r="TM29">
        <v>44308</v>
      </c>
      <c r="TN29">
        <v>85538</v>
      </c>
      <c r="TO29">
        <v>250</v>
      </c>
      <c r="TP29">
        <v>44310</v>
      </c>
      <c r="TQ29">
        <v>85960</v>
      </c>
      <c r="TR29">
        <v>153</v>
      </c>
      <c r="TS29">
        <v>44311</v>
      </c>
      <c r="TT29">
        <v>86103</v>
      </c>
      <c r="TU29">
        <v>138</v>
      </c>
      <c r="TV29">
        <v>44311</v>
      </c>
      <c r="TW29">
        <v>86108</v>
      </c>
      <c r="TX29">
        <v>139</v>
      </c>
      <c r="TY29">
        <v>44312</v>
      </c>
      <c r="TZ29">
        <v>86347</v>
      </c>
      <c r="UA29">
        <v>241</v>
      </c>
      <c r="UB29">
        <v>44314</v>
      </c>
      <c r="UC29">
        <v>86825</v>
      </c>
      <c r="UD29">
        <v>248</v>
      </c>
      <c r="UE29">
        <v>44314</v>
      </c>
      <c r="UF29">
        <v>86827</v>
      </c>
      <c r="UG29">
        <v>249</v>
      </c>
    </row>
    <row r="30" spans="2:553">
      <c r="B30" t="str">
        <f t="shared" ca="1" si="2"/>
        <v>29.4</v>
      </c>
      <c r="C30" s="4">
        <f t="shared" ca="1" si="0"/>
        <v>44315</v>
      </c>
      <c r="D30" s="11">
        <f t="shared" ca="1" si="1"/>
        <v>87040</v>
      </c>
      <c r="E30">
        <f t="shared" ca="1" si="3"/>
        <v>184</v>
      </c>
      <c r="F30" s="11">
        <f t="shared" ca="1" si="4"/>
        <v>-2</v>
      </c>
      <c r="G30" s="11">
        <f t="shared" ca="1" si="5"/>
        <v>186</v>
      </c>
      <c r="K30" s="4"/>
      <c r="L30" s="3"/>
      <c r="N30" s="16">
        <v>44315</v>
      </c>
      <c r="O30">
        <v>87013</v>
      </c>
      <c r="P30">
        <v>186</v>
      </c>
      <c r="Q30" s="16">
        <v>44315</v>
      </c>
      <c r="R30">
        <v>87013</v>
      </c>
      <c r="S30">
        <v>186</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v>44291</v>
      </c>
      <c r="RU30">
        <v>80322</v>
      </c>
      <c r="RV30">
        <v>359</v>
      </c>
      <c r="RW30">
        <v>44292</v>
      </c>
      <c r="RX30">
        <v>80857</v>
      </c>
      <c r="RY30">
        <v>534</v>
      </c>
      <c r="RZ30">
        <v>44293</v>
      </c>
      <c r="SA30">
        <v>81260</v>
      </c>
      <c r="SB30">
        <v>400</v>
      </c>
      <c r="SC30">
        <v>44294</v>
      </c>
      <c r="SD30">
        <v>81641</v>
      </c>
      <c r="SE30">
        <v>378</v>
      </c>
      <c r="SF30">
        <v>44295</v>
      </c>
      <c r="SG30">
        <v>81990</v>
      </c>
      <c r="SH30">
        <v>328</v>
      </c>
      <c r="SI30">
        <v>44296</v>
      </c>
      <c r="SJ30">
        <v>82254</v>
      </c>
      <c r="SK30">
        <v>225</v>
      </c>
      <c r="SL30">
        <v>44298</v>
      </c>
      <c r="SM30">
        <v>82829</v>
      </c>
      <c r="SN30">
        <v>341</v>
      </c>
      <c r="SO30">
        <v>44299</v>
      </c>
      <c r="SP30">
        <v>83222</v>
      </c>
      <c r="SQ30">
        <v>309</v>
      </c>
      <c r="SR30">
        <v>44300</v>
      </c>
      <c r="SS30">
        <v>83568</v>
      </c>
      <c r="ST30">
        <v>319</v>
      </c>
      <c r="SU30">
        <v>44301</v>
      </c>
      <c r="SV30">
        <v>83842</v>
      </c>
      <c r="SW30">
        <v>270</v>
      </c>
      <c r="SX30">
        <v>44303</v>
      </c>
      <c r="SY30">
        <v>84272</v>
      </c>
      <c r="SZ30">
        <v>159</v>
      </c>
      <c r="TA30">
        <v>44304</v>
      </c>
      <c r="TB30">
        <v>84468</v>
      </c>
      <c r="TC30">
        <v>159</v>
      </c>
      <c r="TD30">
        <v>44306</v>
      </c>
      <c r="TE30">
        <v>85020</v>
      </c>
      <c r="TF30">
        <v>265</v>
      </c>
      <c r="TG30">
        <v>44307</v>
      </c>
      <c r="TH30">
        <v>85257</v>
      </c>
      <c r="TI30">
        <v>215</v>
      </c>
      <c r="TJ30">
        <v>44308</v>
      </c>
      <c r="TK30">
        <v>85501</v>
      </c>
      <c r="TL30">
        <v>242</v>
      </c>
      <c r="TM30">
        <v>44309</v>
      </c>
      <c r="TN30">
        <v>85769</v>
      </c>
      <c r="TO30">
        <v>231</v>
      </c>
      <c r="TP30">
        <v>44311</v>
      </c>
      <c r="TQ30">
        <v>86091</v>
      </c>
      <c r="TR30">
        <v>131</v>
      </c>
      <c r="TS30">
        <v>44312</v>
      </c>
      <c r="TT30">
        <v>86311</v>
      </c>
      <c r="TU30">
        <v>208</v>
      </c>
      <c r="TV30">
        <v>44312</v>
      </c>
      <c r="TW30">
        <v>86331</v>
      </c>
      <c r="TX30">
        <v>223</v>
      </c>
      <c r="TY30">
        <v>44313</v>
      </c>
      <c r="TZ30">
        <v>86577</v>
      </c>
      <c r="UA30">
        <v>230</v>
      </c>
      <c r="UB30">
        <v>44315</v>
      </c>
      <c r="UC30">
        <v>87011</v>
      </c>
      <c r="UD30">
        <v>186</v>
      </c>
      <c r="UE30">
        <v>44315</v>
      </c>
      <c r="UF30">
        <v>87013</v>
      </c>
      <c r="UG30">
        <v>186</v>
      </c>
    </row>
    <row r="31" spans="2:553">
      <c r="B31" t="str">
        <f t="shared" ca="1" si="2"/>
        <v>30.4</v>
      </c>
      <c r="C31" s="4">
        <f t="shared" ca="1" si="0"/>
        <v>44316</v>
      </c>
      <c r="D31" s="11">
        <f t="shared" ca="1" si="1"/>
        <v>87223</v>
      </c>
      <c r="E31">
        <f t="shared" ca="1" si="3"/>
        <v>183</v>
      </c>
      <c r="F31" s="11">
        <f t="shared" ca="1" si="4"/>
        <v>1</v>
      </c>
      <c r="G31" s="11">
        <f t="shared" ca="1" si="5"/>
        <v>182</v>
      </c>
      <c r="K31" s="4"/>
      <c r="L31" s="3"/>
      <c r="N31" s="16">
        <v>44316</v>
      </c>
      <c r="O31">
        <v>87195</v>
      </c>
      <c r="P31">
        <v>182</v>
      </c>
      <c r="Q31" s="16">
        <v>44316</v>
      </c>
      <c r="R31">
        <v>87195</v>
      </c>
      <c r="S31">
        <v>182</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v>44292</v>
      </c>
      <c r="RU31">
        <v>80813</v>
      </c>
      <c r="RV31">
        <v>491</v>
      </c>
      <c r="RW31">
        <v>44293</v>
      </c>
      <c r="RX31">
        <v>81255</v>
      </c>
      <c r="RY31">
        <v>398</v>
      </c>
      <c r="RZ31">
        <v>44294</v>
      </c>
      <c r="SA31">
        <v>81635</v>
      </c>
      <c r="SB31">
        <v>375</v>
      </c>
      <c r="SC31">
        <v>44295</v>
      </c>
      <c r="SD31">
        <v>81963</v>
      </c>
      <c r="SE31">
        <v>322</v>
      </c>
      <c r="SF31">
        <v>44296</v>
      </c>
      <c r="SG31">
        <v>82201</v>
      </c>
      <c r="SH31">
        <v>211</v>
      </c>
      <c r="SI31">
        <v>44297</v>
      </c>
      <c r="SJ31">
        <v>82471</v>
      </c>
      <c r="SK31">
        <v>217</v>
      </c>
      <c r="SL31">
        <v>44299</v>
      </c>
      <c r="SM31">
        <v>83084</v>
      </c>
      <c r="SN31">
        <v>255</v>
      </c>
      <c r="SO31">
        <v>44300</v>
      </c>
      <c r="SP31">
        <v>83495</v>
      </c>
      <c r="SQ31">
        <v>273</v>
      </c>
      <c r="SR31">
        <v>44301</v>
      </c>
      <c r="SS31">
        <v>83836</v>
      </c>
      <c r="ST31">
        <v>268</v>
      </c>
      <c r="SU31">
        <v>44302</v>
      </c>
      <c r="SV31">
        <v>84081</v>
      </c>
      <c r="SW31">
        <v>239</v>
      </c>
      <c r="SX31">
        <v>44304</v>
      </c>
      <c r="SY31">
        <v>84395</v>
      </c>
      <c r="SZ31">
        <v>123</v>
      </c>
      <c r="TA31">
        <v>44305</v>
      </c>
      <c r="TB31">
        <v>84741</v>
      </c>
      <c r="TC31">
        <v>273</v>
      </c>
      <c r="TD31">
        <v>44307</v>
      </c>
      <c r="TE31">
        <v>85210</v>
      </c>
      <c r="TF31">
        <v>190</v>
      </c>
      <c r="TG31">
        <v>44308</v>
      </c>
      <c r="TH31">
        <v>85496</v>
      </c>
      <c r="TI31">
        <v>239</v>
      </c>
      <c r="TJ31">
        <v>44309</v>
      </c>
      <c r="TK31">
        <v>85730</v>
      </c>
      <c r="TL31">
        <v>229</v>
      </c>
      <c r="TM31">
        <v>44310</v>
      </c>
      <c r="TN31">
        <v>85917</v>
      </c>
      <c r="TO31">
        <v>148</v>
      </c>
      <c r="TP31">
        <v>44312</v>
      </c>
      <c r="TQ31">
        <v>86298</v>
      </c>
      <c r="TR31">
        <v>207</v>
      </c>
      <c r="TS31">
        <v>44313</v>
      </c>
      <c r="TT31">
        <v>86504</v>
      </c>
      <c r="TU31">
        <v>193</v>
      </c>
      <c r="TV31">
        <v>44313</v>
      </c>
      <c r="TW31">
        <v>86535</v>
      </c>
      <c r="TX31">
        <v>204</v>
      </c>
      <c r="TY31">
        <v>44314</v>
      </c>
      <c r="TZ31">
        <v>86824</v>
      </c>
      <c r="UA31">
        <v>247</v>
      </c>
      <c r="UB31">
        <v>44316</v>
      </c>
      <c r="UC31">
        <v>87179</v>
      </c>
      <c r="UD31">
        <v>168</v>
      </c>
      <c r="UE31">
        <v>44316</v>
      </c>
      <c r="UF31">
        <v>87195</v>
      </c>
      <c r="UG31">
        <v>182</v>
      </c>
    </row>
    <row r="32" spans="2:553">
      <c r="B32" t="str">
        <f t="shared" ca="1" si="2"/>
        <v>1.5</v>
      </c>
      <c r="C32" s="4">
        <f t="shared" ca="1" si="0"/>
        <v>44317</v>
      </c>
      <c r="D32" s="11">
        <f t="shared" ca="1" si="1"/>
        <v>87319</v>
      </c>
      <c r="E32">
        <f t="shared" ca="1" si="3"/>
        <v>96</v>
      </c>
      <c r="F32" s="11">
        <f t="shared" ca="1" si="4"/>
        <v>2</v>
      </c>
      <c r="G32" s="11">
        <f t="shared" ca="1" si="5"/>
        <v>94</v>
      </c>
      <c r="K32" s="4"/>
      <c r="L32" s="3"/>
      <c r="N32" s="16">
        <v>44317</v>
      </c>
      <c r="O32">
        <v>87289</v>
      </c>
      <c r="P32">
        <v>94</v>
      </c>
      <c r="Q32" s="16">
        <v>44317</v>
      </c>
      <c r="R32">
        <v>87289</v>
      </c>
      <c r="S32">
        <v>94</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v>44293</v>
      </c>
      <c r="RU32">
        <v>81146</v>
      </c>
      <c r="RV32">
        <v>333</v>
      </c>
      <c r="RW32">
        <v>44294</v>
      </c>
      <c r="RX32">
        <v>81565</v>
      </c>
      <c r="RY32">
        <v>310</v>
      </c>
      <c r="RZ32">
        <v>44295</v>
      </c>
      <c r="SA32">
        <v>81914</v>
      </c>
      <c r="SB32">
        <v>279</v>
      </c>
      <c r="SC32">
        <v>44296</v>
      </c>
      <c r="SD32">
        <v>82147</v>
      </c>
      <c r="SE32">
        <v>184</v>
      </c>
      <c r="SF32">
        <v>44297</v>
      </c>
      <c r="SG32">
        <v>82381</v>
      </c>
      <c r="SH32">
        <v>180</v>
      </c>
      <c r="SI32">
        <v>44298</v>
      </c>
      <c r="SJ32">
        <v>82795</v>
      </c>
      <c r="SK32">
        <v>324</v>
      </c>
      <c r="SL32">
        <v>44300</v>
      </c>
      <c r="SM32">
        <v>83253</v>
      </c>
      <c r="SN32">
        <v>169</v>
      </c>
      <c r="SO32">
        <v>44301</v>
      </c>
      <c r="SP32">
        <v>83633</v>
      </c>
      <c r="SQ32">
        <v>138</v>
      </c>
      <c r="SR32">
        <v>44302</v>
      </c>
      <c r="SS32">
        <v>84022</v>
      </c>
      <c r="ST32">
        <v>186</v>
      </c>
      <c r="SU32">
        <v>44303</v>
      </c>
      <c r="SV32">
        <v>84216</v>
      </c>
      <c r="SW32">
        <v>135</v>
      </c>
      <c r="SX32">
        <v>44305</v>
      </c>
      <c r="SY32">
        <v>84501</v>
      </c>
      <c r="SZ32">
        <v>106</v>
      </c>
      <c r="TA32">
        <v>44306</v>
      </c>
      <c r="TB32">
        <v>84977</v>
      </c>
      <c r="TC32">
        <v>236</v>
      </c>
      <c r="TD32">
        <v>44308</v>
      </c>
      <c r="TE32">
        <v>85344</v>
      </c>
      <c r="TF32">
        <v>134</v>
      </c>
      <c r="TG32">
        <v>44309</v>
      </c>
      <c r="TH32">
        <v>85717</v>
      </c>
      <c r="TI32">
        <v>221</v>
      </c>
      <c r="TJ32">
        <v>44310</v>
      </c>
      <c r="TK32">
        <v>85860</v>
      </c>
      <c r="TL32">
        <v>130</v>
      </c>
      <c r="TM32">
        <v>44311</v>
      </c>
      <c r="TN32">
        <v>86038</v>
      </c>
      <c r="TO32">
        <v>121</v>
      </c>
      <c r="TP32">
        <v>44313</v>
      </c>
      <c r="TQ32">
        <v>86405</v>
      </c>
      <c r="TR32">
        <v>107</v>
      </c>
      <c r="TS32">
        <v>44314</v>
      </c>
      <c r="TT32">
        <v>86613</v>
      </c>
      <c r="TU32">
        <v>109</v>
      </c>
      <c r="TV32">
        <v>44314</v>
      </c>
      <c r="TW32">
        <v>86741</v>
      </c>
      <c r="TX32">
        <v>206</v>
      </c>
      <c r="TY32">
        <v>44315</v>
      </c>
      <c r="TZ32">
        <v>87001</v>
      </c>
      <c r="UA32">
        <v>177</v>
      </c>
      <c r="UB32">
        <v>44317</v>
      </c>
      <c r="UC32">
        <v>87228</v>
      </c>
      <c r="UD32">
        <v>49</v>
      </c>
      <c r="UE32">
        <v>44317</v>
      </c>
      <c r="UF32">
        <v>87289</v>
      </c>
      <c r="UG32">
        <v>94</v>
      </c>
    </row>
    <row r="33" spans="2:553">
      <c r="B33" t="str">
        <f t="shared" ca="1" si="2"/>
        <v>2.5</v>
      </c>
      <c r="C33" s="4">
        <f t="shared" ca="1" si="0"/>
        <v>44318</v>
      </c>
      <c r="D33" s="11">
        <f t="shared" ca="1" si="1"/>
        <v>87421</v>
      </c>
      <c r="E33">
        <f t="shared" ca="1" si="3"/>
        <v>102</v>
      </c>
      <c r="F33" s="11">
        <f t="shared" ca="1" si="4"/>
        <v>46</v>
      </c>
      <c r="G33" s="11">
        <f t="shared" ca="1" si="5"/>
        <v>56</v>
      </c>
      <c r="K33" s="4"/>
      <c r="L33" s="3"/>
      <c r="N33" s="16">
        <v>44318</v>
      </c>
      <c r="O33">
        <v>87345</v>
      </c>
      <c r="P33">
        <v>56</v>
      </c>
      <c r="Q33" s="16">
        <v>44318</v>
      </c>
      <c r="R33">
        <v>87345</v>
      </c>
      <c r="S33">
        <v>56</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v>44294</v>
      </c>
      <c r="RU33">
        <v>81261</v>
      </c>
      <c r="RV33">
        <v>115</v>
      </c>
      <c r="RW33">
        <v>44295</v>
      </c>
      <c r="RX33">
        <v>81707</v>
      </c>
      <c r="RY33">
        <v>142</v>
      </c>
      <c r="RZ33">
        <v>44296</v>
      </c>
      <c r="SA33">
        <v>82053</v>
      </c>
      <c r="SB33">
        <v>139</v>
      </c>
      <c r="SC33">
        <v>44297</v>
      </c>
      <c r="SD33">
        <v>82278</v>
      </c>
      <c r="SE33">
        <v>131</v>
      </c>
      <c r="SF33">
        <v>44298</v>
      </c>
      <c r="SG33">
        <v>82564</v>
      </c>
      <c r="SH33">
        <v>183</v>
      </c>
      <c r="SI33">
        <v>44299</v>
      </c>
      <c r="SJ33">
        <v>82964</v>
      </c>
      <c r="SK33">
        <v>169</v>
      </c>
      <c r="SL33">
        <v>44301</v>
      </c>
      <c r="SM33">
        <v>83253</v>
      </c>
      <c r="SN33">
        <v>0</v>
      </c>
      <c r="SO33">
        <v>44302</v>
      </c>
      <c r="SP33">
        <v>83633</v>
      </c>
      <c r="SQ33">
        <v>0</v>
      </c>
      <c r="SR33">
        <v>44303</v>
      </c>
      <c r="SS33">
        <v>84131</v>
      </c>
      <c r="ST33">
        <v>109</v>
      </c>
      <c r="SU33">
        <v>44304</v>
      </c>
      <c r="SV33">
        <v>84287</v>
      </c>
      <c r="SW33">
        <v>71</v>
      </c>
      <c r="SX33">
        <v>44306</v>
      </c>
      <c r="SY33">
        <v>84501</v>
      </c>
      <c r="SZ33">
        <v>0</v>
      </c>
      <c r="TA33">
        <v>44307</v>
      </c>
      <c r="TB33">
        <v>85077</v>
      </c>
      <c r="TC33">
        <v>100</v>
      </c>
      <c r="TD33">
        <v>44309</v>
      </c>
      <c r="TE33">
        <v>85344</v>
      </c>
      <c r="TF33">
        <v>0</v>
      </c>
      <c r="TG33">
        <v>44310</v>
      </c>
      <c r="TH33">
        <v>85804</v>
      </c>
      <c r="TI33">
        <v>87</v>
      </c>
      <c r="TJ33">
        <v>44311</v>
      </c>
      <c r="TK33">
        <v>85937</v>
      </c>
      <c r="TL33">
        <v>77</v>
      </c>
      <c r="TM33">
        <v>44312</v>
      </c>
      <c r="TN33">
        <v>86161</v>
      </c>
      <c r="TO33">
        <v>123</v>
      </c>
      <c r="TP33">
        <v>44314</v>
      </c>
      <c r="TQ33">
        <v>86405</v>
      </c>
      <c r="TR33">
        <v>0</v>
      </c>
      <c r="TS33">
        <v>44315</v>
      </c>
      <c r="TT33">
        <v>86613</v>
      </c>
      <c r="TU33">
        <v>0</v>
      </c>
      <c r="TV33">
        <v>44315</v>
      </c>
      <c r="TW33">
        <v>86808</v>
      </c>
      <c r="TX33">
        <v>67</v>
      </c>
      <c r="TY33">
        <v>44316</v>
      </c>
      <c r="TZ33">
        <v>87096</v>
      </c>
      <c r="UA33">
        <v>95</v>
      </c>
      <c r="UB33">
        <v>44318</v>
      </c>
      <c r="UC33">
        <v>87228</v>
      </c>
      <c r="UD33">
        <v>0</v>
      </c>
      <c r="UE33">
        <v>44318</v>
      </c>
      <c r="UF33">
        <v>87345</v>
      </c>
      <c r="UG33">
        <v>56</v>
      </c>
    </row>
    <row r="34" spans="2:553" s="10" customFormat="1">
      <c r="B34" t="str">
        <f t="shared" ca="1" si="2"/>
        <v>Ma 3</v>
      </c>
      <c r="C34" s="9">
        <f t="shared" ca="1" si="0"/>
        <v>44319</v>
      </c>
      <c r="D34" s="10">
        <f t="shared" ca="1" si="1"/>
        <v>87529</v>
      </c>
      <c r="E34" s="10">
        <f t="shared" ca="1" si="3"/>
        <v>108</v>
      </c>
      <c r="F34" s="10">
        <f t="shared" ca="1" si="4"/>
        <v>108</v>
      </c>
      <c r="G34" s="10">
        <f t="shared" ca="1" si="5"/>
        <v>0</v>
      </c>
      <c r="K34" s="9"/>
      <c r="L34" s="14"/>
      <c r="N34" s="17">
        <v>44319</v>
      </c>
      <c r="O34" s="10">
        <v>87345</v>
      </c>
      <c r="P34" s="10">
        <v>0</v>
      </c>
      <c r="Q34" s="17">
        <v>44319</v>
      </c>
      <c r="R34" s="10">
        <v>87345</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0">
        <v>44295</v>
      </c>
      <c r="RU34" s="10">
        <v>81261</v>
      </c>
      <c r="RV34" s="10">
        <v>0</v>
      </c>
      <c r="RW34" s="10">
        <v>44296</v>
      </c>
      <c r="RX34" s="10">
        <v>81707</v>
      </c>
      <c r="RY34" s="10">
        <v>0</v>
      </c>
      <c r="RZ34" s="10">
        <v>44297</v>
      </c>
      <c r="SA34" s="10">
        <v>82053</v>
      </c>
      <c r="SB34" s="10">
        <v>0</v>
      </c>
      <c r="SC34" s="10">
        <v>44298</v>
      </c>
      <c r="SD34" s="10">
        <v>82278</v>
      </c>
      <c r="SE34" s="10">
        <v>0</v>
      </c>
      <c r="SF34" s="10">
        <v>44299</v>
      </c>
      <c r="SG34" s="10">
        <v>82564</v>
      </c>
      <c r="SH34" s="10">
        <v>0</v>
      </c>
      <c r="SI34" s="10">
        <v>44300</v>
      </c>
      <c r="SJ34" s="10">
        <v>82964</v>
      </c>
      <c r="SK34" s="10">
        <v>0</v>
      </c>
      <c r="SL34" s="10">
        <v>44302</v>
      </c>
      <c r="SM34" s="10">
        <v>83253</v>
      </c>
      <c r="SN34" s="10">
        <v>0</v>
      </c>
      <c r="SO34" s="10">
        <v>44303</v>
      </c>
      <c r="SP34" s="10">
        <v>83633</v>
      </c>
      <c r="SQ34" s="10">
        <v>0</v>
      </c>
      <c r="SR34" s="10">
        <v>44304</v>
      </c>
      <c r="SS34" s="10">
        <v>84131</v>
      </c>
      <c r="ST34" s="10">
        <v>0</v>
      </c>
      <c r="SU34" s="10">
        <v>44305</v>
      </c>
      <c r="SV34" s="10">
        <v>84287</v>
      </c>
      <c r="SW34" s="10">
        <v>0</v>
      </c>
      <c r="SX34" s="10">
        <v>44307</v>
      </c>
      <c r="SY34" s="10">
        <v>84501</v>
      </c>
      <c r="SZ34" s="10">
        <v>0</v>
      </c>
      <c r="TA34" s="10">
        <v>44308</v>
      </c>
      <c r="TB34" s="10">
        <v>85077</v>
      </c>
      <c r="TC34" s="10">
        <v>0</v>
      </c>
      <c r="TD34" s="10">
        <v>44310</v>
      </c>
      <c r="TE34" s="10">
        <v>85344</v>
      </c>
      <c r="TF34" s="10">
        <v>0</v>
      </c>
      <c r="TG34" s="10">
        <v>44311</v>
      </c>
      <c r="TH34" s="10">
        <v>85804</v>
      </c>
      <c r="TI34" s="10">
        <v>0</v>
      </c>
      <c r="TJ34" s="10">
        <v>44312</v>
      </c>
      <c r="TK34" s="10">
        <v>85937</v>
      </c>
      <c r="TL34" s="10">
        <v>0</v>
      </c>
      <c r="TM34" s="10">
        <v>44313</v>
      </c>
      <c r="TN34" s="10">
        <v>86161</v>
      </c>
      <c r="TO34" s="10">
        <v>0</v>
      </c>
      <c r="TP34" s="10">
        <v>44315</v>
      </c>
      <c r="TQ34" s="10">
        <v>86405</v>
      </c>
      <c r="TR34" s="10">
        <v>0</v>
      </c>
      <c r="TS34" s="10">
        <v>44316</v>
      </c>
      <c r="TT34" s="10">
        <v>86613</v>
      </c>
      <c r="TU34" s="10">
        <v>0</v>
      </c>
      <c r="TV34" s="10">
        <v>44316</v>
      </c>
      <c r="TW34" s="10">
        <v>86808</v>
      </c>
      <c r="TX34" s="10">
        <v>0</v>
      </c>
      <c r="TY34" s="10">
        <v>44317</v>
      </c>
      <c r="TZ34" s="10">
        <v>87096</v>
      </c>
      <c r="UA34" s="10">
        <v>0</v>
      </c>
      <c r="UB34" s="10">
        <v>44319</v>
      </c>
      <c r="UC34" s="10">
        <v>87228</v>
      </c>
      <c r="UD34" s="10">
        <v>0</v>
      </c>
      <c r="UE34" s="10">
        <v>44319</v>
      </c>
      <c r="UF34" s="10">
        <v>87345</v>
      </c>
      <c r="UG34" s="10">
        <v>0</v>
      </c>
    </row>
    <row r="35" spans="2:553">
      <c r="B35" t="str">
        <f t="shared" ca="1" si="2"/>
        <v>4.5</v>
      </c>
      <c r="C35" s="12">
        <f ca="1">FLOOR(NOW(),1)</f>
        <v>44320</v>
      </c>
      <c r="D35" s="11">
        <f t="shared" ca="1" si="1"/>
        <v>87529</v>
      </c>
      <c r="E35" s="11">
        <f t="shared" ca="1" si="3"/>
        <v>0</v>
      </c>
      <c r="F35" s="11">
        <f t="shared" ca="1" si="4"/>
        <v>0</v>
      </c>
      <c r="G35" s="11">
        <f t="shared" ca="1" si="5"/>
        <v>0</v>
      </c>
      <c r="N35" s="16">
        <v>44320</v>
      </c>
      <c r="O35">
        <v>87345</v>
      </c>
      <c r="P35" s="11">
        <v>0</v>
      </c>
      <c r="Q35" s="16">
        <v>44320</v>
      </c>
      <c r="R35">
        <v>87345</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v>44296</v>
      </c>
      <c r="RU35">
        <v>81261</v>
      </c>
      <c r="RV35">
        <v>0</v>
      </c>
      <c r="RW35">
        <v>44297</v>
      </c>
      <c r="RX35">
        <v>81707</v>
      </c>
      <c r="RY35">
        <v>0</v>
      </c>
      <c r="RZ35">
        <v>44298</v>
      </c>
      <c r="SA35">
        <v>82053</v>
      </c>
      <c r="SB35">
        <v>0</v>
      </c>
      <c r="SC35">
        <v>44299</v>
      </c>
      <c r="SD35">
        <v>82278</v>
      </c>
      <c r="SE35">
        <v>0</v>
      </c>
      <c r="SF35">
        <v>44300</v>
      </c>
      <c r="SG35">
        <v>82564</v>
      </c>
      <c r="SH35">
        <v>0</v>
      </c>
      <c r="SI35">
        <v>44301</v>
      </c>
      <c r="SJ35">
        <v>82964</v>
      </c>
      <c r="SK35">
        <v>0</v>
      </c>
      <c r="SL35">
        <v>44303</v>
      </c>
      <c r="SM35">
        <v>83253</v>
      </c>
      <c r="SN35">
        <v>0</v>
      </c>
      <c r="SO35">
        <v>44304</v>
      </c>
      <c r="SP35">
        <v>83633</v>
      </c>
      <c r="SQ35">
        <v>0</v>
      </c>
      <c r="SR35">
        <v>44305</v>
      </c>
      <c r="SS35">
        <v>84131</v>
      </c>
      <c r="ST35">
        <v>0</v>
      </c>
      <c r="SU35">
        <v>44306</v>
      </c>
      <c r="SV35">
        <v>84287</v>
      </c>
      <c r="SW35">
        <v>0</v>
      </c>
      <c r="SX35">
        <v>44308</v>
      </c>
      <c r="SY35">
        <v>84501</v>
      </c>
      <c r="SZ35">
        <v>0</v>
      </c>
      <c r="TA35">
        <v>44309</v>
      </c>
      <c r="TB35">
        <v>85077</v>
      </c>
      <c r="TC35">
        <v>0</v>
      </c>
      <c r="TD35">
        <v>44311</v>
      </c>
      <c r="TE35">
        <v>85344</v>
      </c>
      <c r="TF35">
        <v>0</v>
      </c>
      <c r="TG35">
        <v>44312</v>
      </c>
      <c r="TH35">
        <v>85804</v>
      </c>
      <c r="TI35">
        <v>0</v>
      </c>
      <c r="TJ35">
        <v>44313</v>
      </c>
      <c r="TK35">
        <v>85937</v>
      </c>
      <c r="TL35">
        <v>0</v>
      </c>
      <c r="TM35">
        <v>44314</v>
      </c>
      <c r="TN35">
        <v>86161</v>
      </c>
      <c r="TO35">
        <v>0</v>
      </c>
      <c r="TP35">
        <v>44316</v>
      </c>
      <c r="TQ35">
        <v>86405</v>
      </c>
      <c r="TR35">
        <v>0</v>
      </c>
      <c r="TS35">
        <v>44317</v>
      </c>
      <c r="TT35">
        <v>86613</v>
      </c>
      <c r="TU35">
        <v>0</v>
      </c>
      <c r="TV35">
        <v>44317</v>
      </c>
      <c r="TW35">
        <v>86808</v>
      </c>
      <c r="TX35">
        <v>0</v>
      </c>
      <c r="TY35">
        <v>44318</v>
      </c>
      <c r="TZ35">
        <v>87096</v>
      </c>
      <c r="UA35">
        <v>0</v>
      </c>
      <c r="UB35">
        <v>44320</v>
      </c>
      <c r="UC35">
        <v>87228</v>
      </c>
      <c r="UD35">
        <v>0</v>
      </c>
      <c r="UE35">
        <v>44320</v>
      </c>
      <c r="UF35">
        <v>87345</v>
      </c>
      <c r="UG35">
        <v>0</v>
      </c>
    </row>
    <row r="36" spans="2:553" s="24" customFormat="1">
      <c r="Q36" s="24">
        <f>Q35</f>
        <v>44320</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row>
    <row r="37" spans="2:553" s="25" customFormat="1">
      <c r="B37" s="25">
        <v>1</v>
      </c>
      <c r="C37" s="25">
        <v>2</v>
      </c>
      <c r="D37" s="25">
        <v>3</v>
      </c>
      <c r="E37" s="25">
        <v>4</v>
      </c>
      <c r="F37" s="25">
        <v>5</v>
      </c>
      <c r="G37" s="25">
        <v>6</v>
      </c>
      <c r="H37" s="25">
        <v>7</v>
      </c>
      <c r="I37" s="25">
        <v>8</v>
      </c>
      <c r="J37" s="25">
        <v>9</v>
      </c>
      <c r="K37" s="25">
        <v>10</v>
      </c>
      <c r="L37" s="25">
        <v>11</v>
      </c>
      <c r="M37" s="25">
        <v>12</v>
      </c>
      <c r="O37" s="25" t="s">
        <v>352</v>
      </c>
      <c r="Q37" s="25">
        <f ca="1">D35-O35</f>
        <v>184</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row>
    <row r="38" spans="2:553"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row>
    <row r="39" spans="2:553">
      <c r="Q39" s="20"/>
      <c r="T39" s="20"/>
    </row>
    <row r="40" spans="2:553">
      <c r="B40" s="21">
        <f>Q36</f>
        <v>44320</v>
      </c>
      <c r="C40">
        <f t="shared" ref="C40:C47" ca="1" si="6">HLOOKUP(B40,$36:$37,2,FALSE)</f>
        <v>184</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53">
      <c r="B41" s="21">
        <f>B40-7</f>
        <v>44313</v>
      </c>
      <c r="C41">
        <f t="shared" si="6"/>
        <v>224</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53">
      <c r="B42" s="21">
        <f t="shared" ref="B42:B47" si="7">B41-7</f>
        <v>44306</v>
      </c>
      <c r="C42">
        <f t="shared" si="6"/>
        <v>214</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53">
      <c r="B43" s="21">
        <f t="shared" si="7"/>
        <v>44299</v>
      </c>
      <c r="C43">
        <f t="shared" si="6"/>
        <v>286</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53">
      <c r="B44" s="21">
        <f t="shared" si="7"/>
        <v>44292</v>
      </c>
      <c r="C44">
        <f t="shared" si="6"/>
        <v>331</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53">
      <c r="B45" s="21">
        <f t="shared" si="7"/>
        <v>44285</v>
      </c>
      <c r="C45">
        <f t="shared" si="6"/>
        <v>420</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53">
      <c r="B46" s="21">
        <f t="shared" si="7"/>
        <v>44278</v>
      </c>
      <c r="C46">
        <f t="shared" si="6"/>
        <v>640</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53">
      <c r="B47" s="21">
        <f t="shared" si="7"/>
        <v>44271</v>
      </c>
      <c r="C47">
        <f t="shared" si="6"/>
        <v>517</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53">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44316.625</v>
      </c>
      <c r="C50">
        <f>DMAX(_xlnm.Database,"n",B49:B50)</f>
        <v>183</v>
      </c>
      <c r="D50" s="21">
        <f>B50</f>
        <v>44316.625</v>
      </c>
      <c r="E50">
        <f>C50</f>
        <v>183</v>
      </c>
      <c r="F50" s="13">
        <f>B50-1</f>
        <v>44315.625</v>
      </c>
      <c r="G50">
        <f>DMAX(_xlnm.Database,"n",F49:F50)</f>
        <v>184</v>
      </c>
      <c r="H50" s="21">
        <f>F50</f>
        <v>44315.625</v>
      </c>
      <c r="I50">
        <f>G50</f>
        <v>184</v>
      </c>
      <c r="J50" s="13">
        <f>F50-1</f>
        <v>44314.625</v>
      </c>
      <c r="K50">
        <f>DMAX(_xlnm.Database,"n",J49:J50)</f>
        <v>275</v>
      </c>
      <c r="L50" s="21">
        <f>J50</f>
        <v>44314.625</v>
      </c>
      <c r="M50">
        <f>K50</f>
        <v>275</v>
      </c>
      <c r="N50" s="22">
        <f>J50-1</f>
        <v>44313.625</v>
      </c>
      <c r="O50">
        <f>DMAX(_xlnm.Database,"n",N49:N50)</f>
        <v>229</v>
      </c>
      <c r="P50" s="21">
        <f>N50</f>
        <v>44313.625</v>
      </c>
      <c r="Q50">
        <f>O50</f>
        <v>229</v>
      </c>
      <c r="R50" s="22">
        <f>N50-1</f>
        <v>44312.625</v>
      </c>
      <c r="S50">
        <f>DMAX(_xlnm.Database,"n",R49:R50)</f>
        <v>241</v>
      </c>
      <c r="T50" s="21">
        <f>R50</f>
        <v>44312.625</v>
      </c>
      <c r="U50">
        <f>S50</f>
        <v>241</v>
      </c>
      <c r="V50" s="22">
        <f>R50-1</f>
        <v>44311.625</v>
      </c>
      <c r="W50">
        <f>DMAX(_xlnm.Database,"n",V49:V50)</f>
        <v>142</v>
      </c>
      <c r="X50" s="21">
        <f>V50</f>
        <v>44311.625</v>
      </c>
      <c r="Y50">
        <f>W50</f>
        <v>142</v>
      </c>
      <c r="Z50" s="22">
        <f>V50-1</f>
        <v>44310.625</v>
      </c>
      <c r="AA50">
        <f>DMAX(_xlnm.Database,"n",Z49:Z50)</f>
        <v>153</v>
      </c>
      <c r="AB50" s="21">
        <f>Z50</f>
        <v>44310.625</v>
      </c>
      <c r="AC50">
        <f>AA50</f>
        <v>153</v>
      </c>
      <c r="AD50" s="22">
        <f>Z50-1</f>
        <v>44309.625</v>
      </c>
      <c r="AE50">
        <f>DMAX(_xlnm.Database,"n",AD49:AD50)</f>
        <v>257</v>
      </c>
      <c r="AF50" s="21">
        <f>AD50</f>
        <v>44309.625</v>
      </c>
      <c r="AG50">
        <f>AE50</f>
        <v>257</v>
      </c>
      <c r="AH50" s="16"/>
      <c r="AI50"/>
      <c r="AK50" s="16"/>
      <c r="AL50"/>
      <c r="AN50" s="16"/>
      <c r="AO50"/>
      <c r="AQ50" s="16"/>
      <c r="AR50"/>
      <c r="AT50" s="16"/>
    </row>
    <row r="51" spans="2:46">
      <c r="B51" s="13" t="s">
        <v>7</v>
      </c>
      <c r="D51" s="16">
        <f>D50-7</f>
        <v>44309.625</v>
      </c>
      <c r="E51">
        <f>C52</f>
        <v>257</v>
      </c>
      <c r="F51" s="13" t="s">
        <v>7</v>
      </c>
      <c r="H51" s="16">
        <f>H50-7</f>
        <v>44308.625</v>
      </c>
      <c r="I51">
        <f>G52</f>
        <v>260</v>
      </c>
      <c r="J51" s="13" t="s">
        <v>7</v>
      </c>
      <c r="L51" s="16">
        <f>L50-7</f>
        <v>44307.625</v>
      </c>
      <c r="M51">
        <f>K52</f>
        <v>240</v>
      </c>
      <c r="N51" t="s">
        <v>7</v>
      </c>
      <c r="P51" s="16">
        <f>P50-7</f>
        <v>44306.625</v>
      </c>
      <c r="Q51">
        <f>O52</f>
        <v>285</v>
      </c>
      <c r="R51" t="s">
        <v>7</v>
      </c>
      <c r="T51" s="16">
        <f>T50-7</f>
        <v>44305.625</v>
      </c>
      <c r="U51">
        <f>S52</f>
        <v>284</v>
      </c>
      <c r="V51" t="s">
        <v>7</v>
      </c>
      <c r="W51"/>
      <c r="X51" s="16">
        <f>X50-7</f>
        <v>44304.625</v>
      </c>
      <c r="Y51">
        <f>W52</f>
        <v>155</v>
      </c>
      <c r="Z51" t="s">
        <v>7</v>
      </c>
      <c r="AB51" s="16">
        <f>AB50-7</f>
        <v>44303.625</v>
      </c>
      <c r="AC51">
        <f>AA52</f>
        <v>170</v>
      </c>
      <c r="AD51" t="s">
        <v>7</v>
      </c>
      <c r="AF51" s="16">
        <f>AF50-7</f>
        <v>44302.625</v>
      </c>
      <c r="AG51">
        <f>AE52</f>
        <v>264</v>
      </c>
      <c r="AH51" s="16"/>
      <c r="AI51"/>
      <c r="AK51" s="16"/>
      <c r="AL51"/>
      <c r="AN51" s="16"/>
      <c r="AO51"/>
      <c r="AQ51" s="16"/>
      <c r="AR51"/>
      <c r="AT51" s="16"/>
    </row>
    <row r="52" spans="2:46">
      <c r="B52" s="13">
        <f>B50-7</f>
        <v>44309.625</v>
      </c>
      <c r="C52">
        <f>DMAX(_xlnm.Database,"n",B51:B52)</f>
        <v>257</v>
      </c>
      <c r="D52" s="16">
        <f t="shared" ref="D52:D59" si="8">D51-7</f>
        <v>44302.625</v>
      </c>
      <c r="E52">
        <f>C54</f>
        <v>264</v>
      </c>
      <c r="F52" s="13">
        <f>F50-7</f>
        <v>44308.625</v>
      </c>
      <c r="G52">
        <f>DMAX(_xlnm.Database,"n",F51:F52)</f>
        <v>260</v>
      </c>
      <c r="H52" s="16">
        <f t="shared" ref="H52:H59" si="9">H51-7</f>
        <v>44301.625</v>
      </c>
      <c r="I52">
        <f>G54</f>
        <v>275</v>
      </c>
      <c r="J52" s="13">
        <f>J50-7</f>
        <v>44307.625</v>
      </c>
      <c r="K52">
        <f>DMAX(_xlnm.Database,"n",J51:J52)</f>
        <v>240</v>
      </c>
      <c r="L52" s="16">
        <f t="shared" ref="L52:L59" si="10">L51-7</f>
        <v>44300.625</v>
      </c>
      <c r="M52">
        <f>K54</f>
        <v>345</v>
      </c>
      <c r="N52" s="22">
        <f>N50-7</f>
        <v>44306.625</v>
      </c>
      <c r="O52">
        <f>DMAX(_xlnm.Database,"n",N51:N52)</f>
        <v>285</v>
      </c>
      <c r="P52" s="16">
        <f t="shared" ref="P52:P59" si="11">P51-7</f>
        <v>44299.625</v>
      </c>
      <c r="Q52">
        <f>O54</f>
        <v>325</v>
      </c>
      <c r="R52" s="22">
        <f>R50-7</f>
        <v>44305.625</v>
      </c>
      <c r="S52">
        <f>DMAX(_xlnm.Database,"n",R51:R52)</f>
        <v>284</v>
      </c>
      <c r="T52" s="16">
        <f t="shared" ref="T52:T59" si="12">T51-7</f>
        <v>44298.625</v>
      </c>
      <c r="U52">
        <f>S54</f>
        <v>396</v>
      </c>
      <c r="V52" s="22">
        <f>V50-7</f>
        <v>44304.625</v>
      </c>
      <c r="W52">
        <f>DMAX(_xlnm.Database,"n",V51:V52)</f>
        <v>155</v>
      </c>
      <c r="X52" s="16">
        <f t="shared" ref="X52:X59" si="13">X51-7</f>
        <v>44297.625</v>
      </c>
      <c r="Y52">
        <f>W54</f>
        <v>238</v>
      </c>
      <c r="Z52" s="22">
        <f>Z50-7</f>
        <v>44303.625</v>
      </c>
      <c r="AA52">
        <f>DMAX(_xlnm.Database,"n",Z51:Z52)</f>
        <v>170</v>
      </c>
      <c r="AB52" s="16">
        <f t="shared" ref="AB52:AB59" si="14">AB51-7</f>
        <v>44296.625</v>
      </c>
      <c r="AC52">
        <f>AA54</f>
        <v>225</v>
      </c>
      <c r="AD52" s="22">
        <f>AD50-7</f>
        <v>44302.625</v>
      </c>
      <c r="AE52">
        <f>DMAX(_xlnm.Database,"n",AD51:AD52)</f>
        <v>264</v>
      </c>
      <c r="AF52" s="16">
        <f t="shared" ref="AF52:AF59" si="15">AF51-7</f>
        <v>44295.625</v>
      </c>
      <c r="AG52">
        <f>AE54</f>
        <v>348</v>
      </c>
      <c r="AH52" s="16"/>
      <c r="AI52"/>
      <c r="AK52" s="16"/>
      <c r="AL52"/>
      <c r="AN52" s="16"/>
      <c r="AO52"/>
      <c r="AQ52" s="16"/>
      <c r="AR52"/>
      <c r="AT52" s="16"/>
    </row>
    <row r="53" spans="2:46">
      <c r="B53" s="13" t="s">
        <v>7</v>
      </c>
      <c r="D53" s="16">
        <f t="shared" si="8"/>
        <v>44295.625</v>
      </c>
      <c r="E53">
        <f>C56</f>
        <v>348</v>
      </c>
      <c r="F53" s="13" t="s">
        <v>7</v>
      </c>
      <c r="H53" s="16">
        <f t="shared" si="9"/>
        <v>44294.625</v>
      </c>
      <c r="I53">
        <f>G56</f>
        <v>403</v>
      </c>
      <c r="J53" s="13" t="s">
        <v>7</v>
      </c>
      <c r="L53" s="16">
        <f t="shared" si="10"/>
        <v>44293.625</v>
      </c>
      <c r="M53">
        <f>K56</f>
        <v>425</v>
      </c>
      <c r="N53" t="s">
        <v>7</v>
      </c>
      <c r="P53" s="16">
        <f t="shared" si="11"/>
        <v>44292.625</v>
      </c>
      <c r="Q53">
        <f>O56</f>
        <v>544</v>
      </c>
      <c r="R53" t="s">
        <v>7</v>
      </c>
      <c r="T53" s="16">
        <f t="shared" si="12"/>
        <v>44291.625</v>
      </c>
      <c r="U53">
        <f>S56</f>
        <v>359</v>
      </c>
      <c r="V53" t="s">
        <v>7</v>
      </c>
      <c r="W53"/>
      <c r="X53" s="16">
        <f t="shared" si="13"/>
        <v>44290.625</v>
      </c>
      <c r="Y53">
        <f>W56</f>
        <v>320</v>
      </c>
      <c r="Z53" t="s">
        <v>7</v>
      </c>
      <c r="AB53" s="16">
        <f t="shared" si="14"/>
        <v>44289.625</v>
      </c>
      <c r="AC53">
        <f>AA56</f>
        <v>319</v>
      </c>
      <c r="AD53" t="s">
        <v>7</v>
      </c>
      <c r="AF53" s="16">
        <f t="shared" si="15"/>
        <v>44288.625</v>
      </c>
      <c r="AG53">
        <f>AE56</f>
        <v>361</v>
      </c>
      <c r="AH53" s="16"/>
      <c r="AI53"/>
      <c r="AK53" s="16"/>
      <c r="AL53"/>
      <c r="AN53" s="16"/>
      <c r="AO53"/>
      <c r="AQ53" s="16"/>
      <c r="AR53"/>
      <c r="AT53" s="16"/>
    </row>
    <row r="54" spans="2:46">
      <c r="B54" s="13">
        <f>B52-7</f>
        <v>44302.625</v>
      </c>
      <c r="C54">
        <f>DMAX(_xlnm.Database,"n",B53:B54)</f>
        <v>264</v>
      </c>
      <c r="D54" s="16">
        <f t="shared" si="8"/>
        <v>44288.625</v>
      </c>
      <c r="E54">
        <f>C58</f>
        <v>361</v>
      </c>
      <c r="F54" s="13">
        <f>F52-7</f>
        <v>44301.625</v>
      </c>
      <c r="G54">
        <f>DMAX(_xlnm.Database,"n",F53:F54)</f>
        <v>275</v>
      </c>
      <c r="H54" s="16">
        <f t="shared" si="9"/>
        <v>44287.625</v>
      </c>
      <c r="I54">
        <f>G58</f>
        <v>487</v>
      </c>
      <c r="J54" s="13">
        <f>J52-7</f>
        <v>44300.625</v>
      </c>
      <c r="K54">
        <f>DMAX(_xlnm.Database,"n",J53:J54)</f>
        <v>345</v>
      </c>
      <c r="L54" s="16">
        <f t="shared" si="10"/>
        <v>44286.625</v>
      </c>
      <c r="M54">
        <f>K58</f>
        <v>550</v>
      </c>
      <c r="N54" s="22">
        <f>N52-7</f>
        <v>44299.625</v>
      </c>
      <c r="O54">
        <f>DMAX(_xlnm.Database,"n",N53:N54)</f>
        <v>325</v>
      </c>
      <c r="P54" s="16">
        <f t="shared" si="11"/>
        <v>44285.625</v>
      </c>
      <c r="Q54">
        <f>O58</f>
        <v>570</v>
      </c>
      <c r="R54" s="22">
        <f>R52-7</f>
        <v>44298.625</v>
      </c>
      <c r="S54">
        <f>DMAX(_xlnm.Database,"n",R53:R54)</f>
        <v>396</v>
      </c>
      <c r="T54" s="16">
        <f t="shared" si="12"/>
        <v>44284.625</v>
      </c>
      <c r="U54">
        <f>S58</f>
        <v>653</v>
      </c>
      <c r="V54" s="22">
        <f>V52-7</f>
        <v>44297.625</v>
      </c>
      <c r="W54">
        <f>DMAX(_xlnm.Database,"n",V53:V54)</f>
        <v>238</v>
      </c>
      <c r="X54" s="16">
        <f t="shared" si="13"/>
        <v>44283.625</v>
      </c>
      <c r="Y54">
        <f>W58</f>
        <v>370</v>
      </c>
      <c r="Z54" s="22">
        <f>Z52-7</f>
        <v>44296.625</v>
      </c>
      <c r="AA54">
        <f>DMAX(_xlnm.Database,"n",Z53:Z54)</f>
        <v>225</v>
      </c>
      <c r="AB54" s="16">
        <f t="shared" si="14"/>
        <v>44282.625</v>
      </c>
      <c r="AC54">
        <f>AA58</f>
        <v>351</v>
      </c>
      <c r="AD54" s="22">
        <f>AD52-7</f>
        <v>44295.625</v>
      </c>
      <c r="AE54">
        <f>DMAX(_xlnm.Database,"n",AD53:AD54)</f>
        <v>348</v>
      </c>
      <c r="AF54" s="16">
        <f t="shared" si="15"/>
        <v>44281.625</v>
      </c>
      <c r="AG54">
        <f>AE58</f>
        <v>688</v>
      </c>
      <c r="AH54" s="16"/>
      <c r="AI54"/>
      <c r="AK54" s="16"/>
      <c r="AL54"/>
      <c r="AN54" s="16"/>
      <c r="AO54"/>
      <c r="AQ54" s="16"/>
      <c r="AR54"/>
      <c r="AT54" s="16"/>
    </row>
    <row r="55" spans="2:46">
      <c r="B55" s="13" t="s">
        <v>7</v>
      </c>
      <c r="D55" s="16">
        <f t="shared" si="8"/>
        <v>44281.625</v>
      </c>
      <c r="E55">
        <f>C60</f>
        <v>688</v>
      </c>
      <c r="F55" s="13" t="s">
        <v>7</v>
      </c>
      <c r="H55" s="16">
        <f t="shared" si="9"/>
        <v>44280.625</v>
      </c>
      <c r="I55">
        <f>G60</f>
        <v>607</v>
      </c>
      <c r="J55" s="13" t="s">
        <v>7</v>
      </c>
      <c r="L55" s="16">
        <f t="shared" si="10"/>
        <v>44279.625</v>
      </c>
      <c r="M55">
        <f>K60</f>
        <v>694</v>
      </c>
      <c r="N55" t="s">
        <v>7</v>
      </c>
      <c r="P55" s="16">
        <f t="shared" si="11"/>
        <v>44278.625</v>
      </c>
      <c r="Q55">
        <f>O60</f>
        <v>703</v>
      </c>
      <c r="R55" t="s">
        <v>7</v>
      </c>
      <c r="T55" s="16">
        <f t="shared" si="12"/>
        <v>44277.625</v>
      </c>
      <c r="U55">
        <f>S60</f>
        <v>768</v>
      </c>
      <c r="V55" t="s">
        <v>7</v>
      </c>
      <c r="W55"/>
      <c r="X55" s="16">
        <f t="shared" si="13"/>
        <v>44276.625</v>
      </c>
      <c r="Y55">
        <f>W60</f>
        <v>417</v>
      </c>
      <c r="Z55" t="s">
        <v>7</v>
      </c>
      <c r="AB55" s="16">
        <f t="shared" si="14"/>
        <v>44275.625</v>
      </c>
      <c r="AC55">
        <f>AA60</f>
        <v>404</v>
      </c>
      <c r="AD55" t="s">
        <v>7</v>
      </c>
      <c r="AF55" s="16">
        <f t="shared" si="15"/>
        <v>44274.625</v>
      </c>
      <c r="AG55">
        <f>AE60</f>
        <v>744</v>
      </c>
      <c r="AH55" s="16"/>
      <c r="AI55"/>
      <c r="AK55" s="16"/>
      <c r="AL55"/>
      <c r="AN55" s="16"/>
      <c r="AO55"/>
      <c r="AQ55" s="16"/>
      <c r="AR55"/>
      <c r="AT55" s="16"/>
    </row>
    <row r="56" spans="2:46">
      <c r="B56" s="13">
        <f>B54-7</f>
        <v>44295.625</v>
      </c>
      <c r="C56">
        <f>DMAX(_xlnm.Database,"n",B55:B56)</f>
        <v>348</v>
      </c>
      <c r="D56" s="16">
        <f t="shared" si="8"/>
        <v>44274.625</v>
      </c>
      <c r="E56">
        <f>C62</f>
        <v>744</v>
      </c>
      <c r="F56" s="13">
        <f>F54-7</f>
        <v>44294.625</v>
      </c>
      <c r="G56">
        <f>DMAX(_xlnm.Database,"n",F55:F56)</f>
        <v>403</v>
      </c>
      <c r="H56" s="16">
        <f t="shared" si="9"/>
        <v>44273.625</v>
      </c>
      <c r="I56">
        <f>G62</f>
        <v>736</v>
      </c>
      <c r="J56" s="13">
        <f>J54-7</f>
        <v>44293.625</v>
      </c>
      <c r="K56">
        <f>DMAX(_xlnm.Database,"n",J55:J56)</f>
        <v>425</v>
      </c>
      <c r="L56" s="16">
        <f t="shared" si="10"/>
        <v>44272.625</v>
      </c>
      <c r="M56">
        <f>K62</f>
        <v>743</v>
      </c>
      <c r="N56" s="22">
        <f>N54-7</f>
        <v>44292.625</v>
      </c>
      <c r="O56">
        <f>DMAX(_xlnm.Database,"n",N55:N56)</f>
        <v>544</v>
      </c>
      <c r="P56" s="16">
        <f t="shared" si="11"/>
        <v>44271.625</v>
      </c>
      <c r="Q56">
        <f>O62</f>
        <v>763</v>
      </c>
      <c r="R56" s="22">
        <f>R54-7</f>
        <v>44291.625</v>
      </c>
      <c r="S56">
        <f>DMAX(_xlnm.Database,"n",R55:R56)</f>
        <v>359</v>
      </c>
      <c r="T56" s="16">
        <f t="shared" si="12"/>
        <v>44270.625</v>
      </c>
      <c r="U56">
        <f>S62</f>
        <v>892</v>
      </c>
      <c r="V56" s="22">
        <f>V54-7</f>
        <v>44290.625</v>
      </c>
      <c r="W56">
        <f>DMAX(_xlnm.Database,"n",V55:V56)</f>
        <v>320</v>
      </c>
      <c r="X56" s="16">
        <f t="shared" si="13"/>
        <v>44269.625</v>
      </c>
      <c r="Y56">
        <f>W62</f>
        <v>433</v>
      </c>
      <c r="Z56" s="22">
        <f>Z54-7</f>
        <v>44289.625</v>
      </c>
      <c r="AA56">
        <f>DMAX(_xlnm.Database,"n",Z55:Z56)</f>
        <v>319</v>
      </c>
      <c r="AB56" s="16">
        <f t="shared" si="14"/>
        <v>44268.625</v>
      </c>
      <c r="AC56">
        <f>AA62</f>
        <v>491</v>
      </c>
      <c r="AD56" s="22">
        <f>AD54-7</f>
        <v>44288.625</v>
      </c>
      <c r="AE56">
        <f>DMAX(_xlnm.Database,"n",AD55:AD56)</f>
        <v>361</v>
      </c>
      <c r="AF56" s="16">
        <f t="shared" si="15"/>
        <v>44267.625</v>
      </c>
      <c r="AG56">
        <f>AE62</f>
        <v>808</v>
      </c>
      <c r="AH56" s="16"/>
      <c r="AI56"/>
      <c r="AK56" s="16"/>
      <c r="AL56"/>
      <c r="AN56" s="16"/>
      <c r="AO56"/>
      <c r="AQ56" s="16"/>
      <c r="AR56"/>
      <c r="AT56" s="16"/>
    </row>
    <row r="57" spans="2:46">
      <c r="B57" s="13" t="s">
        <v>7</v>
      </c>
      <c r="D57" s="16">
        <f t="shared" si="8"/>
        <v>44267.625</v>
      </c>
      <c r="E57">
        <f>C64</f>
        <v>808</v>
      </c>
      <c r="F57" s="13" t="s">
        <v>7</v>
      </c>
      <c r="H57" s="16">
        <f t="shared" si="9"/>
        <v>44266.625</v>
      </c>
      <c r="I57">
        <f>G64</f>
        <v>779</v>
      </c>
      <c r="J57" s="13" t="s">
        <v>7</v>
      </c>
      <c r="L57" s="16">
        <f t="shared" si="10"/>
        <v>44265.625</v>
      </c>
      <c r="M57">
        <f>K64</f>
        <v>822</v>
      </c>
      <c r="N57" t="s">
        <v>7</v>
      </c>
      <c r="P57" s="16">
        <f t="shared" si="11"/>
        <v>44264.625</v>
      </c>
      <c r="Q57">
        <f>O64</f>
        <v>774</v>
      </c>
      <c r="R57" t="s">
        <v>7</v>
      </c>
      <c r="T57" s="16">
        <f t="shared" si="12"/>
        <v>44263.625</v>
      </c>
      <c r="U57">
        <f>S64</f>
        <v>834</v>
      </c>
      <c r="V57" t="s">
        <v>7</v>
      </c>
      <c r="W57"/>
      <c r="X57" s="16">
        <f t="shared" si="13"/>
        <v>44262.625</v>
      </c>
      <c r="Y57">
        <f>W64</f>
        <v>396</v>
      </c>
      <c r="Z57" t="s">
        <v>7</v>
      </c>
      <c r="AB57" s="16">
        <f t="shared" si="14"/>
        <v>44261.625</v>
      </c>
      <c r="AC57">
        <f>AA64</f>
        <v>431</v>
      </c>
      <c r="AD57" t="s">
        <v>7</v>
      </c>
      <c r="AF57" s="16">
        <f t="shared" si="15"/>
        <v>44260.625</v>
      </c>
      <c r="AG57">
        <f>AE64</f>
        <v>630</v>
      </c>
      <c r="AH57" s="16"/>
      <c r="AI57"/>
      <c r="AK57" s="16"/>
      <c r="AL57"/>
      <c r="AN57" s="16"/>
      <c r="AO57"/>
      <c r="AQ57" s="16"/>
      <c r="AR57"/>
      <c r="AT57" s="16"/>
    </row>
    <row r="58" spans="2:46">
      <c r="B58" s="13">
        <f>B56-7</f>
        <v>44288.625</v>
      </c>
      <c r="C58">
        <f>DMAX(_xlnm.Database,"n",B57:B58)</f>
        <v>361</v>
      </c>
      <c r="D58" s="16">
        <f>D57-7</f>
        <v>44260.625</v>
      </c>
      <c r="E58">
        <f>C66</f>
        <v>630</v>
      </c>
      <c r="F58" s="13">
        <f>F56-7</f>
        <v>44287.625</v>
      </c>
      <c r="G58">
        <f>DMAX(_xlnm.Database,"n",F57:F58)</f>
        <v>487</v>
      </c>
      <c r="H58" s="16">
        <f>H57-7</f>
        <v>44259.625</v>
      </c>
      <c r="I58">
        <f>G66</f>
        <v>640</v>
      </c>
      <c r="J58" s="13">
        <f>J56-7</f>
        <v>44286.625</v>
      </c>
      <c r="K58">
        <f>DMAX(_xlnm.Database,"n",J57:J58)</f>
        <v>550</v>
      </c>
      <c r="L58" s="16">
        <f>L57-7</f>
        <v>44258.625</v>
      </c>
      <c r="M58">
        <f>K66</f>
        <v>732</v>
      </c>
      <c r="N58" s="22">
        <f>N56-7</f>
        <v>44285.625</v>
      </c>
      <c r="O58">
        <f>DMAX(_xlnm.Database,"n",N57:N58)</f>
        <v>570</v>
      </c>
      <c r="P58" s="16">
        <f>P57-7</f>
        <v>44257.625</v>
      </c>
      <c r="Q58">
        <f>O66</f>
        <v>759</v>
      </c>
      <c r="R58" s="22">
        <f>R56-7</f>
        <v>44284.625</v>
      </c>
      <c r="S58">
        <f>DMAX(_xlnm.Database,"n",R57:R58)</f>
        <v>653</v>
      </c>
      <c r="T58" s="16">
        <f>T57-7</f>
        <v>44256.625</v>
      </c>
      <c r="U58">
        <f>S66</f>
        <v>871</v>
      </c>
      <c r="V58" s="22">
        <f>V56-7</f>
        <v>44283.625</v>
      </c>
      <c r="W58">
        <f>DMAX(_xlnm.Database,"n",V57:V58)</f>
        <v>370</v>
      </c>
      <c r="X58" s="16">
        <f>X57-7</f>
        <v>44255.625</v>
      </c>
      <c r="Y58">
        <f>W66</f>
        <v>420</v>
      </c>
      <c r="Z58" s="22">
        <f>Z56-7</f>
        <v>44282.625</v>
      </c>
      <c r="AA58">
        <f>DMAX(_xlnm.Database,"n",Z57:Z58)</f>
        <v>351</v>
      </c>
      <c r="AB58" s="16">
        <f>AB57-7</f>
        <v>44254.625</v>
      </c>
      <c r="AC58">
        <f>AA66</f>
        <v>401</v>
      </c>
      <c r="AD58" s="22">
        <f>AD56-7</f>
        <v>44281.625</v>
      </c>
      <c r="AE58">
        <f>DMAX(_xlnm.Database,"n",AD57:AD58)</f>
        <v>688</v>
      </c>
      <c r="AF58" s="16">
        <f>AF57-7</f>
        <v>44253.625</v>
      </c>
      <c r="AG58">
        <f>AE66</f>
        <v>689</v>
      </c>
      <c r="AH58" s="16"/>
      <c r="AI58"/>
      <c r="AK58" s="16"/>
      <c r="AL58"/>
      <c r="AN58" s="16"/>
      <c r="AO58"/>
      <c r="AQ58" s="16"/>
      <c r="AR58"/>
      <c r="AT58" s="16"/>
    </row>
    <row r="59" spans="2:46">
      <c r="B59" s="13" t="s">
        <v>7</v>
      </c>
      <c r="D59" s="16">
        <f t="shared" si="8"/>
        <v>44253.625</v>
      </c>
      <c r="E59">
        <f>C68</f>
        <v>689</v>
      </c>
      <c r="F59" s="13" t="s">
        <v>7</v>
      </c>
      <c r="H59" s="16">
        <f t="shared" si="9"/>
        <v>44252.625</v>
      </c>
      <c r="I59">
        <f>G68</f>
        <v>619</v>
      </c>
      <c r="J59" s="13" t="s">
        <v>7</v>
      </c>
      <c r="L59" s="16">
        <f t="shared" si="10"/>
        <v>44251.625</v>
      </c>
      <c r="M59">
        <f>K68</f>
        <v>598</v>
      </c>
      <c r="N59" t="s">
        <v>7</v>
      </c>
      <c r="P59" s="16">
        <f t="shared" si="11"/>
        <v>44250.625</v>
      </c>
      <c r="Q59">
        <f>O68</f>
        <v>626</v>
      </c>
      <c r="R59" t="s">
        <v>7</v>
      </c>
      <c r="T59" s="16">
        <f t="shared" si="12"/>
        <v>44249.625</v>
      </c>
      <c r="U59">
        <f>S68</f>
        <v>623</v>
      </c>
      <c r="V59" t="s">
        <v>7</v>
      </c>
      <c r="W59"/>
      <c r="X59" s="16">
        <f t="shared" si="13"/>
        <v>44248.625</v>
      </c>
      <c r="Y59">
        <f>W68</f>
        <v>356</v>
      </c>
      <c r="Z59" t="s">
        <v>7</v>
      </c>
      <c r="AB59" s="16">
        <f t="shared" si="14"/>
        <v>44247.625</v>
      </c>
      <c r="AC59">
        <f>AA68</f>
        <v>318</v>
      </c>
      <c r="AD59" t="s">
        <v>7</v>
      </c>
      <c r="AF59" s="16">
        <f t="shared" si="15"/>
        <v>44246.625</v>
      </c>
      <c r="AG59">
        <f>AE68</f>
        <v>571</v>
      </c>
      <c r="AH59" s="16"/>
      <c r="AI59"/>
      <c r="AK59" s="16"/>
      <c r="AL59"/>
      <c r="AN59" s="16"/>
      <c r="AO59"/>
      <c r="AQ59" s="16"/>
      <c r="AR59"/>
      <c r="AT59" s="16"/>
    </row>
    <row r="60" spans="2:46">
      <c r="B60" s="13">
        <f>B58-7</f>
        <v>44281.625</v>
      </c>
      <c r="C60">
        <f>DMAX(_xlnm.Database,"n",B59:B60)</f>
        <v>688</v>
      </c>
      <c r="D60" s="16"/>
      <c r="F60" s="13">
        <f>F58-7</f>
        <v>44280.625</v>
      </c>
      <c r="G60">
        <f>DMAX(_xlnm.Database,"n",F59:F60)</f>
        <v>607</v>
      </c>
      <c r="H60" s="16"/>
      <c r="J60" s="13">
        <f>J58-7</f>
        <v>44279.625</v>
      </c>
      <c r="K60">
        <f>DMAX(_xlnm.Database,"n",J59:J60)</f>
        <v>694</v>
      </c>
      <c r="L60" s="16"/>
      <c r="N60" s="22">
        <f>N58-7</f>
        <v>44278.625</v>
      </c>
      <c r="O60">
        <f>DMAX(_xlnm.Database,"n",N59:N60)</f>
        <v>703</v>
      </c>
      <c r="P60" s="16"/>
      <c r="Q60"/>
      <c r="R60" s="22">
        <f>R58-7</f>
        <v>44277.625</v>
      </c>
      <c r="S60">
        <f>DMAX(_xlnm.Database,"n",R59:R60)</f>
        <v>768</v>
      </c>
      <c r="V60" s="22">
        <f>V58-7</f>
        <v>44276.625</v>
      </c>
      <c r="W60">
        <f>DMAX(_xlnm.Database,"n",V59:V60)</f>
        <v>417</v>
      </c>
      <c r="X60" s="16"/>
      <c r="Z60" s="22">
        <f>Z58-7</f>
        <v>44275.625</v>
      </c>
      <c r="AA60">
        <f>DMAX(_xlnm.Database,"n",Z59:Z60)</f>
        <v>404</v>
      </c>
      <c r="AB60" s="16"/>
      <c r="AC60"/>
      <c r="AD60" s="22">
        <f>AD58-7</f>
        <v>44274.625</v>
      </c>
      <c r="AE60">
        <f>DMAX(_xlnm.Database,"n",AD59:AD60)</f>
        <v>744</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44274.625</v>
      </c>
      <c r="C62">
        <f>DMAX(_xlnm.Database,"n",B61:B62)</f>
        <v>744</v>
      </c>
      <c r="D62" s="16"/>
      <c r="F62" s="13">
        <f>F60-7</f>
        <v>44273.625</v>
      </c>
      <c r="G62">
        <f>DMAX(_xlnm.Database,"n",F61:F62)</f>
        <v>736</v>
      </c>
      <c r="H62" s="16"/>
      <c r="J62" s="13">
        <f>J60-7</f>
        <v>44272.625</v>
      </c>
      <c r="K62">
        <f>DMAX(_xlnm.Database,"n",J61:J62)</f>
        <v>743</v>
      </c>
      <c r="L62" s="16"/>
      <c r="N62" s="22">
        <f>N60-7</f>
        <v>44271.625</v>
      </c>
      <c r="O62">
        <f>DMAX(_xlnm.Database,"n",N61:N62)</f>
        <v>763</v>
      </c>
      <c r="P62" s="16"/>
      <c r="Q62"/>
      <c r="R62" s="22">
        <f>R60-7</f>
        <v>44270.625</v>
      </c>
      <c r="S62">
        <f>DMAX(_xlnm.Database,"n",R61:R62)</f>
        <v>892</v>
      </c>
      <c r="V62" s="22">
        <f>V60-7</f>
        <v>44269.625</v>
      </c>
      <c r="W62">
        <f>DMAX(_xlnm.Database,"n",V61:V62)</f>
        <v>433</v>
      </c>
      <c r="X62" s="16"/>
      <c r="Z62" s="22">
        <f>Z60-7</f>
        <v>44268.625</v>
      </c>
      <c r="AA62">
        <f>DMAX(_xlnm.Database,"n",Z61:Z62)</f>
        <v>491</v>
      </c>
      <c r="AB62" s="16"/>
      <c r="AC62"/>
      <c r="AD62" s="22">
        <f>AD60-7</f>
        <v>44267.625</v>
      </c>
      <c r="AE62">
        <f>DMAX(_xlnm.Database,"n",AD61:AD62)</f>
        <v>808</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44267.625</v>
      </c>
      <c r="C64">
        <f>DMAX(_xlnm.Database,"n",B63:B64)</f>
        <v>808</v>
      </c>
      <c r="D64" s="16"/>
      <c r="F64" s="13">
        <f>F62-7</f>
        <v>44266.625</v>
      </c>
      <c r="G64">
        <f>DMAX(_xlnm.Database,"n",F63:F64)</f>
        <v>779</v>
      </c>
      <c r="H64" s="16"/>
      <c r="J64" s="13">
        <f>J62-7</f>
        <v>44265.625</v>
      </c>
      <c r="K64">
        <f>DMAX(_xlnm.Database,"n",J63:J64)</f>
        <v>822</v>
      </c>
      <c r="L64" s="16"/>
      <c r="N64" s="22">
        <f>N62-7</f>
        <v>44264.625</v>
      </c>
      <c r="O64">
        <f>DMAX(_xlnm.Database,"n",N63:N64)</f>
        <v>774</v>
      </c>
      <c r="P64" s="16"/>
      <c r="Q64"/>
      <c r="R64" s="22">
        <f>R62-7</f>
        <v>44263.625</v>
      </c>
      <c r="S64">
        <f>DMAX(_xlnm.Database,"n",R63:R64)</f>
        <v>834</v>
      </c>
      <c r="V64" s="22">
        <f>V62-7</f>
        <v>44262.625</v>
      </c>
      <c r="W64">
        <f>DMAX(_xlnm.Database,"n",V63:V64)</f>
        <v>396</v>
      </c>
      <c r="X64" s="16"/>
      <c r="Z64" s="22">
        <f>Z62-7</f>
        <v>44261.625</v>
      </c>
      <c r="AA64">
        <f>DMAX(_xlnm.Database,"n",Z63:Z64)</f>
        <v>431</v>
      </c>
      <c r="AB64" s="16"/>
      <c r="AC64"/>
      <c r="AD64" s="22">
        <f>AD62-7</f>
        <v>44260.625</v>
      </c>
      <c r="AE64">
        <f>DMAX(_xlnm.Database,"n",AD63:AD64)</f>
        <v>630</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44260.625</v>
      </c>
      <c r="C66">
        <f>DMAX(_xlnm.Database,"n",B65:B66)</f>
        <v>630</v>
      </c>
      <c r="D66" s="16"/>
      <c r="F66" s="13">
        <f>F64-7</f>
        <v>44259.625</v>
      </c>
      <c r="G66">
        <f>DMAX(_xlnm.Database,"n",F65:F66)</f>
        <v>640</v>
      </c>
      <c r="H66" s="16"/>
      <c r="J66" s="13">
        <f>J64-7</f>
        <v>44258.625</v>
      </c>
      <c r="K66">
        <f>DMAX(_xlnm.Database,"n",J65:J66)</f>
        <v>732</v>
      </c>
      <c r="L66" s="16"/>
      <c r="N66" s="22">
        <f>N64-7</f>
        <v>44257.625</v>
      </c>
      <c r="O66">
        <f>DMAX(_xlnm.Database,"n",N65:N66)</f>
        <v>759</v>
      </c>
      <c r="P66" s="16"/>
      <c r="Q66"/>
      <c r="R66" s="22">
        <f>R64-7</f>
        <v>44256.625</v>
      </c>
      <c r="S66">
        <f>DMAX(_xlnm.Database,"n",R65:R66)</f>
        <v>871</v>
      </c>
      <c r="V66" s="22">
        <f>V64-7</f>
        <v>44255.625</v>
      </c>
      <c r="W66">
        <f>DMAX(_xlnm.Database,"n",V65:V66)</f>
        <v>420</v>
      </c>
      <c r="X66" s="16"/>
      <c r="Z66" s="22">
        <f>Z64-7</f>
        <v>44254.625</v>
      </c>
      <c r="AA66">
        <f>DMAX(_xlnm.Database,"n",Z65:Z66)</f>
        <v>401</v>
      </c>
      <c r="AB66" s="16"/>
      <c r="AC66"/>
      <c r="AD66" s="22">
        <f>AD64-7</f>
        <v>44253.625</v>
      </c>
      <c r="AE66">
        <f>DMAX(_xlnm.Database,"n",AD65:AD66)</f>
        <v>689</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44253.625</v>
      </c>
      <c r="C68">
        <f>DMAX(_xlnm.Database,"n",B67:B68)</f>
        <v>689</v>
      </c>
      <c r="D68" s="16"/>
      <c r="F68" s="13">
        <f>F66-7</f>
        <v>44252.625</v>
      </c>
      <c r="G68">
        <f>DMAX(_xlnm.Database,"n",F67:F68)</f>
        <v>619</v>
      </c>
      <c r="H68" s="16"/>
      <c r="J68" s="13">
        <f>J66-7</f>
        <v>44251.625</v>
      </c>
      <c r="K68">
        <f>DMAX(_xlnm.Database,"n",J67:J68)</f>
        <v>598</v>
      </c>
      <c r="L68" s="16"/>
      <c r="N68" s="22">
        <f>N66-7</f>
        <v>44250.625</v>
      </c>
      <c r="O68">
        <f>DMAX(_xlnm.Database,"n",N67:N68)</f>
        <v>626</v>
      </c>
      <c r="P68" s="16"/>
      <c r="Q68"/>
      <c r="R68" s="22">
        <f>R66-7</f>
        <v>44249.625</v>
      </c>
      <c r="S68">
        <f>DMAX(_xlnm.Database,"n",R67:R68)</f>
        <v>623</v>
      </c>
      <c r="V68" s="22">
        <f>V66-7</f>
        <v>44248.625</v>
      </c>
      <c r="W68">
        <f>DMAX(_xlnm.Database,"n",V67:V68)</f>
        <v>356</v>
      </c>
      <c r="X68" s="16"/>
      <c r="Z68" s="22">
        <f>Z66-7</f>
        <v>44247.625</v>
      </c>
      <c r="AA68">
        <f>DMAX(_xlnm.Database,"n",Z67:Z68)</f>
        <v>318</v>
      </c>
      <c r="AB68" s="16"/>
      <c r="AC68"/>
      <c r="AD68" s="22">
        <f>AD66-7</f>
        <v>44246.625</v>
      </c>
      <c r="AE68">
        <f>DMAX(_xlnm.Database,"n",AD67:AD68)</f>
        <v>571</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44316.625</v>
      </c>
      <c r="C73">
        <f>DMAX(_xlnm.Database,"n",B72:B73)</f>
        <v>183</v>
      </c>
      <c r="D73" s="21">
        <f>B73</f>
        <v>44316.625</v>
      </c>
      <c r="E73">
        <f>C73</f>
        <v>183</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44315.625</v>
      </c>
      <c r="E74">
        <f>C75</f>
        <v>184</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44315.625</v>
      </c>
      <c r="C75">
        <f>DMAX(_xlnm.Database,"n",B74:B75)</f>
        <v>184</v>
      </c>
      <c r="D75" s="16">
        <f t="shared" ref="D75:D109" si="16">D74-1</f>
        <v>44314.625</v>
      </c>
      <c r="E75">
        <f>C77</f>
        <v>275</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44313.625</v>
      </c>
      <c r="E76">
        <f>C79</f>
        <v>229</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44314.625</v>
      </c>
      <c r="C77">
        <f>DMAX(_xlnm.Database,"n",B76:B77)</f>
        <v>275</v>
      </c>
      <c r="D77" s="16">
        <f t="shared" si="16"/>
        <v>44312.625</v>
      </c>
      <c r="E77">
        <f>C81</f>
        <v>241</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44311.625</v>
      </c>
      <c r="E78">
        <f>C83</f>
        <v>142</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44313.625</v>
      </c>
      <c r="C79">
        <f>DMAX(_xlnm.Database,"n",B78:B79)</f>
        <v>229</v>
      </c>
      <c r="D79" s="16">
        <f t="shared" si="16"/>
        <v>44310.625</v>
      </c>
      <c r="E79">
        <f>C85</f>
        <v>153</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44309.625</v>
      </c>
      <c r="E80">
        <f>C87</f>
        <v>257</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44312.625</v>
      </c>
      <c r="C81">
        <f>DMAX(_xlnm.Database,"n",B80:B81)</f>
        <v>241</v>
      </c>
      <c r="D81" s="16">
        <f t="shared" si="16"/>
        <v>44308.625</v>
      </c>
      <c r="E81">
        <f>C89</f>
        <v>260</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44307.625</v>
      </c>
      <c r="E82">
        <f>C91</f>
        <v>240</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44311.625</v>
      </c>
      <c r="C83">
        <f>DMAX(_xlnm.Database,"n",B82:B83)</f>
        <v>142</v>
      </c>
      <c r="D83" s="16">
        <f t="shared" si="16"/>
        <v>44306.625</v>
      </c>
      <c r="E83">
        <f>C93</f>
        <v>285</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44305.625</v>
      </c>
      <c r="E84">
        <f>C95</f>
        <v>284</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44310.625</v>
      </c>
      <c r="C85">
        <f>DMAX(_xlnm.Database,"n",B84:B85)</f>
        <v>153</v>
      </c>
      <c r="D85" s="16">
        <f t="shared" si="16"/>
        <v>44304.625</v>
      </c>
      <c r="E85">
        <f>C97</f>
        <v>155</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44303.625</v>
      </c>
      <c r="E86">
        <f>C99</f>
        <v>170</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44309.625</v>
      </c>
      <c r="C87">
        <f>DMAX(_xlnm.Database,"n",B86:B87)</f>
        <v>257</v>
      </c>
      <c r="D87" s="16">
        <f t="shared" si="16"/>
        <v>44302.625</v>
      </c>
      <c r="E87">
        <f>C101</f>
        <v>264</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44301.625</v>
      </c>
      <c r="E88">
        <f>C103</f>
        <v>275</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44308.625</v>
      </c>
      <c r="C89">
        <f>DMAX(_xlnm.Database,"n",B88:B89)</f>
        <v>260</v>
      </c>
      <c r="D89" s="16">
        <f t="shared" si="16"/>
        <v>44300.625</v>
      </c>
      <c r="E89">
        <f>C105</f>
        <v>345</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44299.625</v>
      </c>
      <c r="E90">
        <f>C107</f>
        <v>325</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44307.625</v>
      </c>
      <c r="C91">
        <f>DMAX(_xlnm.Database,"n",B90:B91)</f>
        <v>240</v>
      </c>
      <c r="D91" s="16">
        <f t="shared" si="16"/>
        <v>44298.625</v>
      </c>
      <c r="E91">
        <f>C109</f>
        <v>396</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44297.625</v>
      </c>
      <c r="E92">
        <f>C111</f>
        <v>238</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44306.625</v>
      </c>
      <c r="C93">
        <f>DMAX(_xlnm.Database,"n",B92:B93)</f>
        <v>285</v>
      </c>
      <c r="D93" s="16">
        <f t="shared" si="16"/>
        <v>44296.625</v>
      </c>
      <c r="E93">
        <f>C113</f>
        <v>225</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44295.625</v>
      </c>
      <c r="E94">
        <f>C115</f>
        <v>348</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44305.625</v>
      </c>
      <c r="C95">
        <f>DMAX(_xlnm.Database,"n",B94:B95)</f>
        <v>284</v>
      </c>
      <c r="D95" s="16">
        <f t="shared" si="16"/>
        <v>44294.625</v>
      </c>
      <c r="E95">
        <f>C117</f>
        <v>403</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44293.625</v>
      </c>
      <c r="E96">
        <f>C119</f>
        <v>425</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44304.625</v>
      </c>
      <c r="C97">
        <f>DMAX(_xlnm.Database,"n",B96:B97)</f>
        <v>155</v>
      </c>
      <c r="D97" s="16">
        <f t="shared" si="16"/>
        <v>44292.625</v>
      </c>
      <c r="E97">
        <f>C121</f>
        <v>544</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44291.625</v>
      </c>
      <c r="E98">
        <f>C123</f>
        <v>359</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44303.625</v>
      </c>
      <c r="C99">
        <f>DMAX(_xlnm.Database,"n",B98:B99)</f>
        <v>170</v>
      </c>
      <c r="D99" s="16">
        <f t="shared" si="16"/>
        <v>44290.625</v>
      </c>
      <c r="E99">
        <f>C125</f>
        <v>320</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44289.625</v>
      </c>
      <c r="E100">
        <f>C127</f>
        <v>319</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44302.625</v>
      </c>
      <c r="C101">
        <f>DMAX(_xlnm.Database,"n",B100:B101)</f>
        <v>264</v>
      </c>
      <c r="D101" s="16">
        <f t="shared" si="16"/>
        <v>44288.625</v>
      </c>
      <c r="E101">
        <f>C129</f>
        <v>361</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44287.625</v>
      </c>
      <c r="E102">
        <f>C131</f>
        <v>487</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44301.625</v>
      </c>
      <c r="C103">
        <f>DMAX(_xlnm.Database,"n",B102:B103)</f>
        <v>275</v>
      </c>
      <c r="D103" s="16">
        <f t="shared" si="16"/>
        <v>44286.625</v>
      </c>
      <c r="E103">
        <f>C133</f>
        <v>550</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44285.625</v>
      </c>
      <c r="E104">
        <f>C135</f>
        <v>570</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44300.625</v>
      </c>
      <c r="C105">
        <f>DMAX(_xlnm.Database,"n",B104:B105)</f>
        <v>345</v>
      </c>
      <c r="D105" s="16">
        <f t="shared" si="16"/>
        <v>44284.625</v>
      </c>
      <c r="E105">
        <f>C137</f>
        <v>653</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44283.625</v>
      </c>
      <c r="E106">
        <f>C139</f>
        <v>370</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44299.625</v>
      </c>
      <c r="C107">
        <f>DMAX(_xlnm.Database,"n",B106:B107)</f>
        <v>325</v>
      </c>
      <c r="D107" s="16">
        <f t="shared" si="16"/>
        <v>44282.625</v>
      </c>
      <c r="E107">
        <f>C141</f>
        <v>351</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44281.625</v>
      </c>
      <c r="E108">
        <f>C143</f>
        <v>688</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44298.625</v>
      </c>
      <c r="C109">
        <f>DMAX(_xlnm.Database,"n",B108:B109)</f>
        <v>396</v>
      </c>
      <c r="D109" s="16">
        <f t="shared" si="16"/>
        <v>44280.625</v>
      </c>
      <c r="E109">
        <f>C145</f>
        <v>607</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44297.625</v>
      </c>
      <c r="C111">
        <f>DMAX(_xlnm.Database,"n",B110:B111)</f>
        <v>238</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44296.625</v>
      </c>
      <c r="C113">
        <f>DMAX(_xlnm.Database,"n",B112:B113)</f>
        <v>225</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44295.625</v>
      </c>
      <c r="C115">
        <f>DMAX(_xlnm.Database,"n",B114:B115)</f>
        <v>348</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44294.625</v>
      </c>
      <c r="C117">
        <f>DMAX(_xlnm.Database,"n",B116:B117)</f>
        <v>403</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44293.625</v>
      </c>
      <c r="C119">
        <f>DMAX(_xlnm.Database,"n",B118:B119)</f>
        <v>425</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44292.625</v>
      </c>
      <c r="C121">
        <f>DMAX(_xlnm.Database,"n",B120:B121)</f>
        <v>544</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44291.625</v>
      </c>
      <c r="C123">
        <f>DMAX(_xlnm.Database,"n",B122:B123)</f>
        <v>359</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44290.625</v>
      </c>
      <c r="C125">
        <f>DMAX(_xlnm.Database,"n",B124:B125)</f>
        <v>320</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44289.625</v>
      </c>
      <c r="C127">
        <f>DMAX(_xlnm.Database,"n",B126:B127)</f>
        <v>319</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44288.625</v>
      </c>
      <c r="C129">
        <f>DMAX(_xlnm.Database,"n",B128:B129)</f>
        <v>361</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44287.625</v>
      </c>
      <c r="C131">
        <f>DMAX(_xlnm.Database,"n",B130:B131)</f>
        <v>487</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44286.625</v>
      </c>
      <c r="C133">
        <f>DMAX(_xlnm.Database,"n",B132:B133)</f>
        <v>550</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44285.625</v>
      </c>
      <c r="C135">
        <f>DMAX(_xlnm.Database,"n",B134:B135)</f>
        <v>570</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44284.625</v>
      </c>
      <c r="C137">
        <f>DMAX(_xlnm.Database,"n",B136:B137)</f>
        <v>653</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44283.625</v>
      </c>
      <c r="C139">
        <f>DMAX(_xlnm.Database,"n",B138:B139)</f>
        <v>370</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44282.625</v>
      </c>
      <c r="C141">
        <f>DMAX(_xlnm.Database,"n",B140:B141)</f>
        <v>351</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44281.625</v>
      </c>
      <c r="C143">
        <f>DMAX(_xlnm.Database,"n",B142:B143)</f>
        <v>688</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44280.625</v>
      </c>
      <c r="C145">
        <f>DMAX(_xlnm.Database,"n",B144:B145)</f>
        <v>607</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79" workbookViewId="0">
      <selection activeCell="A100" sqref="A100"/>
    </sheetView>
  </sheetViews>
  <sheetFormatPr defaultRowHeight="15"/>
  <cols>
    <col min="1" max="1" width="6.140625" customWidth="1"/>
    <col min="16" max="17" width="10.140625" bestFit="1" customWidth="1"/>
    <col min="18" max="18" width="9.85546875" customWidth="1"/>
    <col min="19" max="19" width="10.14062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231.68571428571428</v>
      </c>
      <c r="O25" s="32">
        <f>T25</f>
        <v>892</v>
      </c>
      <c r="P25" s="13">
        <f>S25</f>
        <v>44270.625</v>
      </c>
      <c r="R25" s="13"/>
      <c r="S25" s="30">
        <f>DMAX(_xlnm.Database,"aika",T24:U25)</f>
        <v>44270.625</v>
      </c>
      <c r="T25" s="3">
        <f>DMAX(_xlnm.Database,"n",U24:U25)</f>
        <v>892</v>
      </c>
      <c r="U25">
        <v>1</v>
      </c>
      <c r="V25" s="3"/>
    </row>
    <row r="26" spans="2:22">
      <c r="L26">
        <v>2</v>
      </c>
      <c r="M26" t="s">
        <v>431</v>
      </c>
      <c r="N26" s="29">
        <f>AVERAGEIF(Kaikki!E:E,L26,DataN)</f>
        <v>199.91428571428571</v>
      </c>
      <c r="O26" s="32">
        <f>T27</f>
        <v>774</v>
      </c>
      <c r="P26" s="13">
        <f>S27</f>
        <v>44264.625</v>
      </c>
      <c r="R26" s="13"/>
      <c r="T26" s="3" t="s">
        <v>290</v>
      </c>
      <c r="U26" t="s">
        <v>299</v>
      </c>
    </row>
    <row r="27" spans="2:22">
      <c r="L27">
        <v>3</v>
      </c>
      <c r="M27" t="s">
        <v>432</v>
      </c>
      <c r="N27" s="29">
        <f>AVERAGEIF(Kaikki!E:E,L27,DataN)</f>
        <v>201.81428571428572</v>
      </c>
      <c r="O27" s="32">
        <f>T29</f>
        <v>822</v>
      </c>
      <c r="P27" s="13">
        <f>S29</f>
        <v>44265.625</v>
      </c>
      <c r="R27" s="13"/>
      <c r="S27" s="30">
        <f>DMAX(_xlnm.Database,"aika",T26:U27)</f>
        <v>44264.625</v>
      </c>
      <c r="T27" s="3">
        <f>DMAX(_xlnm.Database,"n",U26:U27)</f>
        <v>774</v>
      </c>
      <c r="U27">
        <v>2</v>
      </c>
      <c r="V27" s="3"/>
    </row>
    <row r="28" spans="2:22">
      <c r="L28">
        <v>4</v>
      </c>
      <c r="M28" t="s">
        <v>433</v>
      </c>
      <c r="N28" s="29">
        <f>AVERAGEIF(Kaikki!E:E,L28,DataN)</f>
        <v>192.68571428571428</v>
      </c>
      <c r="O28" s="32">
        <f>T31</f>
        <v>779</v>
      </c>
      <c r="P28" s="13">
        <f>S31</f>
        <v>44266.625</v>
      </c>
      <c r="R28" s="13"/>
      <c r="T28" s="3" t="s">
        <v>290</v>
      </c>
      <c r="U28" t="s">
        <v>299</v>
      </c>
    </row>
    <row r="29" spans="2:22">
      <c r="L29">
        <v>5</v>
      </c>
      <c r="M29" t="s">
        <v>434</v>
      </c>
      <c r="N29" s="29">
        <f>AVERAGEIF(Kaikki!E:E,L29,DataN)</f>
        <v>185.4</v>
      </c>
      <c r="O29" s="32">
        <f>T33</f>
        <v>808</v>
      </c>
      <c r="P29" s="13">
        <f>S33</f>
        <v>44267.625</v>
      </c>
      <c r="R29" s="13"/>
      <c r="S29" s="30">
        <f>DMAX(_xlnm.Database,"aika",T28:U29)</f>
        <v>44265.625</v>
      </c>
      <c r="T29" s="3">
        <f>DMAX(_xlnm.Database,"n",U28:U29)</f>
        <v>822</v>
      </c>
      <c r="U29">
        <v>3</v>
      </c>
      <c r="V29" s="3"/>
    </row>
    <row r="30" spans="2:22">
      <c r="L30">
        <v>6</v>
      </c>
      <c r="M30" t="s">
        <v>435</v>
      </c>
      <c r="N30" s="29">
        <f>AVERAGEIF(Kaikki!E:E,L30,DataN)</f>
        <v>115.97142857142858</v>
      </c>
      <c r="O30" s="32">
        <f>T35</f>
        <v>491</v>
      </c>
      <c r="P30" s="13">
        <f>S35</f>
        <v>44268.625</v>
      </c>
      <c r="R30" s="13"/>
      <c r="T30" s="3" t="s">
        <v>290</v>
      </c>
      <c r="U30" t="s">
        <v>299</v>
      </c>
    </row>
    <row r="31" spans="2:22">
      <c r="L31">
        <v>7</v>
      </c>
      <c r="M31" t="s">
        <v>436</v>
      </c>
      <c r="N31" s="29">
        <f>AVERAGEIF(Kaikki!E:E,L31,DataN)</f>
        <v>122.94285714285714</v>
      </c>
      <c r="O31" s="32">
        <f>T37</f>
        <v>433</v>
      </c>
      <c r="P31" s="13">
        <f>S37</f>
        <v>44269.625</v>
      </c>
      <c r="R31" s="13"/>
      <c r="S31" s="30">
        <f>DMAX(_xlnm.Database,"aika",T30:U31)</f>
        <v>44266.625</v>
      </c>
      <c r="T31" s="3">
        <f>DMAX(_xlnm.Database,"n",U30:U31)</f>
        <v>779</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491</v>
      </c>
      <c r="U35">
        <v>6</v>
      </c>
    </row>
    <row r="36" spans="2:21">
      <c r="M36" s="33">
        <f>MAX(Kaikki!H$2:H10000)</f>
        <v>4941</v>
      </c>
      <c r="N36" s="30">
        <f>DMAX(_xlnm.Database,"aika",M35:M36)</f>
        <v>44263.625</v>
      </c>
      <c r="O36" s="37"/>
      <c r="R36" s="13"/>
      <c r="T36" s="3" t="s">
        <v>290</v>
      </c>
      <c r="U36" t="s">
        <v>299</v>
      </c>
    </row>
    <row r="37" spans="2:21">
      <c r="R37" s="13"/>
      <c r="S37" s="30">
        <f>DMAX(_xlnm.Database,"aika",T36:U37)</f>
        <v>44269.625</v>
      </c>
      <c r="T37" s="3">
        <f>DMAX(_xlnm.Database,"n",U36:U37)</f>
        <v>433</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2)</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4.5 n=184 (joista vanhoja yli 28 päivän takaisia kirjauksia 2). Yhteensä N=87529. Edelliset 7 päivää 1177 (päivittyy), 1578 (muutos -13 %), 1818 (-30 %) ja 2579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N=87529. Uusimmat 4.5.2021 lisäykset 184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4.5.2021 n=184 (joista vanhoja yli 28 päivän takaisia kirjauksia 2). Yhteensä N=87529. Melko pysyvät 7 päivää 24.4-30.4 yhteensä 1407 (muutos -15 %), aiemmat 7 päivää 1651 (-20 %) ja 2068 https://github.com/jussivirkkala/excel/tree/master/hs-koronavirus-avoindata</v>
      </c>
    </row>
    <row r="80" spans="2:2" ht="18.75">
      <c r="B80" s="23" t="str">
        <f>" COVID-19 tapauksia 7 päivän välein "&amp;TEXT(Lisäys!B73,"p.k.vvvv")&amp;" saakka (- uusin ... vanhin)."</f>
        <v xml:space="preserve"> COVID-19 tapauksia 7 päivän välein 30.4.2021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104775</xdr:colOff>
                    <xdr:row>1</xdr:row>
                    <xdr:rowOff>76200</xdr:rowOff>
                  </from>
                  <to>
                    <xdr:col>2</xdr:col>
                    <xdr:colOff>447675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2021-05-04T09:13:19Z</dcterms:modified>
</cp:coreProperties>
</file>