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7066" documentId="11_E6ACB8829D68BC21C24BF1830EBD540578DA94A9" xr6:coauthVersionLast="46" xr6:coauthVersionMax="46" xr10:uidLastSave="{E9DC0F9C-A7AE-4D4E-ABD4-F6A0D6979FAA}"/>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B37" i="2" l="1"/>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79" i="7" l="1"/>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<sst xmlns="http://schemas.openxmlformats.org/spreadsheetml/2006/main" count="2617" uniqueCount="550">
  <si>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</si>
  <si>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</si>
  <si>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</si>
  <si>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</si>
  <si>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</si>
  <si>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</si>
  <si>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</si>
  <si>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</si>
  <si>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</si>
  <si>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</si>
  <si>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</si>
  <si>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</si>
  <si>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</si>
  <si>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</si>
  <si>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</si>
  <si>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</si>
  <si>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</si>
  <si>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</si>
  <si>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</si>
  <si>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</si>
  <si>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</si>
  <si>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</si>
  <si>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</si>
  <si>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</si>
  <si>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</si>
  <si>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</si>
  <si>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</si>
  <si>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</si>
  <si>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</si>
  <si>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</si>
  <si>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</si>
  <si>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</si>
  <si>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</si>
  <si>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</si>
  <si>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</si>
  <si>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</si>
  <si>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</si>
  <si>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</si>
  <si>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</si>
  <si>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</si>
  <si>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</si>
  <si>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</si>
  <si>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</si>
  <si>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</si>
  <si>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</si>
  <si>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</si>
  <si>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</si>
  <si>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</si>
  <si>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</si>
  <si>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</si>
  <si>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</si>
  <si>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</si>
  <si>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</si>
  <si>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</si>
  <si>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</si>
  <si>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</si>
  <si>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</si>
  <si>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</si>
  <si>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</si>
  <si>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</si>
  <si>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</si>
  <si>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</si>
  <si>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</si>
  <si>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</si>
  <si>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</si>
  <si>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</si>
  <si>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</si>
  <si>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</si>
  <si>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</si>
  <si>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</si>
  <si>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</si>
  <si>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</si>
  <si>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</si>
  <si>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</si>
  <si>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</si>
  <si>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</si>
  <si>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</si>
  <si>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</si>
  <si>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</si>
  <si>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</si>
  <si>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</si>
  <si>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</si>
  <si>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</si>
  <si>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</si>
  <si>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</si>
  <si>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</si>
  <si>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</si>
  <si>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</si>
  <si>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</si>
  <si>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</si>
  <si>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</si>
  <si>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</si>
  <si>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</si>
  <si>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</si>
  <si>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</si>
  <si>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</si>
  <si>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</si>
  <si>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</si>
  <si>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</si>
  <si>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</si>
  <si>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</si>
  <si>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</si>
  <si>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</si>
  <si>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</si>
  <si>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</si>
  <si>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</si>
  <si>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</si>
  <si>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</si>
  <si>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</si>
  <si>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</si>
  <si>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</si>
  <si>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</si>
  <si>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</si>
  <si>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</si>
  <si>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</si>
  <si>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</si>
  <si>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</si>
  <si>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</si>
  <si>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</si>
  <si>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</si>
  <si>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</si>
  <si>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</si>
  <si>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</si>
  <si>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</si>
  <si>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</si>
  <si>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</si>
  <si>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</si>
  <si>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</si>
  <si>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</si>
  <si>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</si>
  <si>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</si>
  <si>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</si>
  <si>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</si>
  <si>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</si>
  <si>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</si>
  <si>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</si>
  <si>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</si>
  <si>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</si>
  <si>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</si>
  <si>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</si>
  <si>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</si>
  <si>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</si>
  <si>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</si>
  <si>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</si>
  <si>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</si>
  <si>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</si>
  <si>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</si>
  <si>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</si>
  <si>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</si>
  <si>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</si>
  <si>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</si>
  <si>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</si>
  <si>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</si>
  <si>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</si>
  <si>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</si>
  <si>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</si>
  <si>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</si>
  <si>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</si>
  <si>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</si>
  <si>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</si>
  <si>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</si>
  <si>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</si>
  <si>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</si>
  <si>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</si>
  <si>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</si>
  <si>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</si>
  <si>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</si>
  <si>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</si>
  <si>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</si>
  <si>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</si>
  <si>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</si>
  <si>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</si>
  <si>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</si>
  <si>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</si>
  <si>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</si>
  <si>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</si>
  <si>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</si>
  <si>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</si>
  <si>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</si>
  <si>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</si>
  <si>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</si>
  <si>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</si>
  <si>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</si>
  <si>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</si>
  <si>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</si>
  <si>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</si>
  <si>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</si>
  <si>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</si>
  <si>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</si>
  <si>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</si>
  <si>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</si>
  <si>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</si>
  <si>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</si>
  <si>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</si>
  <si>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</si>
  <si>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</si>
  <si>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</si>
  <si>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</si>
  <si>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</si>
  <si>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</si>
  <si>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</si>
  <si>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</si>
  <si>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</si>
  <si>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</si>
  <si>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</si>
  <si>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</si>
  <si>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</si>
  <si>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</si>
  <si>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</si>
  <si>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</si>
  <si>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</si>
  <si>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</si>
  <si>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</si>
  <si>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</si>
  <si>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</si>
  <si>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</si>
  <si>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</si>
  <si>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</si>
  <si>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</si>
  <si>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</si>
  <si>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</si>
  <si>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</si>
  <si>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</si>
  <si>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</si>
  <si>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</si>
  <si>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</si>
  <si>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</si>
  <si>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</si>
  <si>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</si>
  <si>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</si>
  <si>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</si>
  <si>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</si>
  <si>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</si>
  <si>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</si>
  <si>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</si>
  <si>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</si>
  <si>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</si>
  <si>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</si>
  <si>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</si>
  <si>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</si>
  <si>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</si>
  <si>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</si>
  <si>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</si>
  <si>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</si>
  <si>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</si>
  <si>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</si>
  <si>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</si>
  <si>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</si>
  <si>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</si>
  <si>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</si>
  <si>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</si>
  <si>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</si>
  <si>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</si>
  <si>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</si>
  <si>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</si>
  <si>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</si>
  <si>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</si>
  <si>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</si>
  <si>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</si>
  <si>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</si>
  <si>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</si>
  <si>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</si>
  <si>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</si>
  <si>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</si>
  <si>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</si>
  <si>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</si>
  <si>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</si>
  <si>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</si>
  <si>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</si>
  <si>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</si>
  <si>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</si>
  <si>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</si>
  <si>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</si>
  <si>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</si>
  <si>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</si>
  <si>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</si>
  <si>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</si>
  <si>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</si>
  <si>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</si>
  <si>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</si>
  <si>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</si>
  <si>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</si>
  <si>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</si>
  <si>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</si>
  <si>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</si>
  <si>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</si>
  <si>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</si>
  <si>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</si>
  <si>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</si>
  <si>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</si>
  <si>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</si>
  <si>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</si>
  <si>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</si>
  <si>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</si>
  <si>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</si>
  <si>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</si>
  <si>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</si>
  <si>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</si>
  <si>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</si>
  <si>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</si>
  <si>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</si>
  <si>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</si>
  <si>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</si>
  <si>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</si>
  <si>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</si>
  <si>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</si>
  <si>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</si>
  <si>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</si>
  <si>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</si>
  <si>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</si>
  <si>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</si>
  <si>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</si>
  <si>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</si>
  <si>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</si>
  <si>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</si>
  <si>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</si>
  <si>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</si>
  <si>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</si>
  <si>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</si>
  <si>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</si>
  <si>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</si>
  <si>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</si>
  <si>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</si>
  <si>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</si>
  <si>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</si>
  <si>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</si>
  <si>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</si>
  <si>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</si>
  <si>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</si>
  <si>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</si>
  <si>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</si>
  <si>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</si>
  <si>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</si>
  <si>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</si>
  <si>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</si>
  <si>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</si>
  <si>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</si>
  <si>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</si>
  <si>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</si>
  <si>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</si>
  <si>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</si>
  <si>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</si>
  <si>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</si>
  <si>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</si>
  <si>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</si>
  <si>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</si>
  <si>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</si>
  <si>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</si>
  <si>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</si>
  <si>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</si>
  <si>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</si>
  <si>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</si>
  <si>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</si>
  <si>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</si>
  <si>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</si>
  <si>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</si>
  <si>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</si>
  <si>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</si>
  <si>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</si>
  <si>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</si>
  <si>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</si>
  <si>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</si>
  <si>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</si>
  <si>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</si>
  <si>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</si>
  <si>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</si>
  <si>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</si>
  <si>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</si>
  <si>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</si>
  <si>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</si>
  <si>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</si>
  <si>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</si>
  <si>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</si>
  <si>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</si>
  <si>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</si>
  <si>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</si>
  <si>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</si>
  <si>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</si>
  <si>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</si>
  <si>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</si>
  <si>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</si>
  <si>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</si>
  <si>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</si>
  <si>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</si>
  <si>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</si>
  <si>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</si>
  <si>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</si>
  <si>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</si>
  <si>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</si>
  <si>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</si>
  <si>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</si>
  <si>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</si>
  <si>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</si>
  <si>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</si>
  <si>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</si>
  <si>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</si>
  <si>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</si>
  <si>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</si>
  <si>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</si>
  <si>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</si>
  <si>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</si>
  <si>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</si>
  <si>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</si>
  <si>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</si>
  <si>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</si>
  <si>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</si>
  <si>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</si>
  <si>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</si>
  <si>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</si>
  <si>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</si>
  <si>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</si>
  <si>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</si>
  <si>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</si>
  <si>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</si>
  <si>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</si>
  <si>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</si>
  <si>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</si>
  <si>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</si>
  <si>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</si>
  <si>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</si>
  <si>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</si>
  <si>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</si>
  <si>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</si>
  <si>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</si>
  <si>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</si>
  <si>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</si>
  <si>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</si>
  <si>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</si>
  <si>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</si>
  <si>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</si>
  <si>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</si>
  <si>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</si>
  <si>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</si>
  <si>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</si>
  <si>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</si>
  <si>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</si>
  <si>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</si>
  <si>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</si>
  <si>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</si>
  <si>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</si>
  <si>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</si>
  <si>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</si>
  <si>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</si>
  <si>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</si>
  <si>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</si>
  <si>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</si>
  <si>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</si>
  <si>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</si>
  <si>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</si>
  <si>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</si>
  <si>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</si>
  <si>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</si>
  <si>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</si>
  <si>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</si>
  <si>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</si>
  <si>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</si>
  <si>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</si>
  <si>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</si>
  <si>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</si>
  <si>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</si>
  <si>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</si>
  <si>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</si>
  <si>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</si>
  <si>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</si>
  <si>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</si>
  <si>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</si>
  <si>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</si>
  <si>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</si>
  <si>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</si>
  <si>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</si>
  <si>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</si>
  <si>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</si>
  <si>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</si>
  <si>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</si>
  <si>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</si>
  <si>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</si>
  <si>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</si>
  <si>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</si>
  <si>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</si>
  <si>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</si>
  <si>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</si>
  <si>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</si>
  <si>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</si>
  <si>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</si>
  <si>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</si>
  <si>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</si>
  <si>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</si>
  <si>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</si>
  <si>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</si>
  <si>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</si>
  <si>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</si>
  <si>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</si>
  <si>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</si>
  <si>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</si>
  <si>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</si>
  <si>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</si>
  <si>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</si>
  <si>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</si>
  <si>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</si>
  <si>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</si>
  <si>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</si>
  <si>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</si>
  <si>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</si>
  <si>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</si>
  <si>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</si>
  <si>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</si>
  <si>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</si>
  <si>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</si>
  <si>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</si>
  <si>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</si>
  <si>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</si>
  <si>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</si>
  <si>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</si>
  <si>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</si>
  <si>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</si>
  <si>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</si>
  <si>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</si>
  <si>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</si>
  <si>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</si>
  <si>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</si>
  <si>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</si>
  <si>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</si>
  <si>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</si>
  <si>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</si>
  <si>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</si>
  <si>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</si>
  <si>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</si>
  <si>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</si>
  <si>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</si>
  <si>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</si>
  <si>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</si>
  <si>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</si>
  <si>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</si>
  <si>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</si>
  <si>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</si>
  <si>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</si>
  <si>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</si>
  <si>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</si>
  <si>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</si>
  <si>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</si>
  <si>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</si>
  <si>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</si>
  <si>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</si>
  <si>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</si>
  <si>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</si>
  <si>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</si>
  <si>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</si>
  <si>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</si>
  <si>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</si>
  <si>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2021-05-16T08:36:40.716Z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</si>
</sst>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166</c:v>
                </c:pt>
                <c:pt idx="268">
                  <c:v>191</c:v>
                </c:pt>
                <c:pt idx="269">
                  <c:v>188</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193</c:v>
                </c:pt>
                <c:pt idx="291">
                  <c:v>107</c:v>
                </c:pt>
                <c:pt idx="292">
                  <c:v>124</c:v>
                </c:pt>
                <c:pt idx="293">
                  <c:v>255</c:v>
                </c:pt>
                <c:pt idx="294">
                  <c:v>232</c:v>
                </c:pt>
                <c:pt idx="295">
                  <c:v>240</c:v>
                </c:pt>
                <c:pt idx="296">
                  <c:v>237</c:v>
                </c:pt>
                <c:pt idx="297">
                  <c:v>220</c:v>
                </c:pt>
                <c:pt idx="298">
                  <c:v>121</c:v>
                </c:pt>
                <c:pt idx="299">
                  <c:v>151</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456</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249</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377</c:v>
                </c:pt>
                <c:pt idx="381">
                  <c:v>361</c:v>
                </c:pt>
                <c:pt idx="382">
                  <c:v>168</c:v>
                </c:pt>
                <c:pt idx="383">
                  <c:v>247</c:v>
                </c:pt>
                <c:pt idx="384">
                  <c:v>605</c:v>
                </c:pt>
                <c:pt idx="385">
                  <c:v>397</c:v>
                </c:pt>
                <c:pt idx="386">
                  <c:v>382</c:v>
                </c:pt>
                <c:pt idx="387">
                  <c:v>435</c:v>
                </c:pt>
                <c:pt idx="388">
                  <c:v>377</c:v>
                </c:pt>
                <c:pt idx="389">
                  <c:v>232</c:v>
                </c:pt>
                <c:pt idx="390">
                  <c:v>273</c:v>
                </c:pt>
                <c:pt idx="391">
                  <c:v>534</c:v>
                </c:pt>
                <c:pt idx="392">
                  <c:v>396</c:v>
                </c:pt>
                <c:pt idx="393">
                  <c:v>441</c:v>
                </c:pt>
                <c:pt idx="394">
                  <c:v>372</c:v>
                </c:pt>
                <c:pt idx="395">
                  <c:v>368</c:v>
                </c:pt>
                <c:pt idx="396">
                  <c:v>239</c:v>
                </c:pt>
                <c:pt idx="397">
                  <c:v>264</c:v>
                </c:pt>
                <c:pt idx="398">
                  <c:v>462</c:v>
                </c:pt>
                <c:pt idx="399">
                  <c:v>372</c:v>
                </c:pt>
                <c:pt idx="400">
                  <c:v>383</c:v>
                </c:pt>
                <c:pt idx="401">
                  <c:v>361</c:v>
                </c:pt>
                <c:pt idx="402">
                  <c:v>418</c:v>
                </c:pt>
                <c:pt idx="403">
                  <c:v>278</c:v>
                </c:pt>
                <c:pt idx="404">
                  <c:v>282</c:v>
                </c:pt>
                <c:pt idx="405">
                  <c:v>616</c:v>
                </c:pt>
                <c:pt idx="406">
                  <c:v>515</c:v>
                </c:pt>
                <c:pt idx="407">
                  <c:v>553</c:v>
                </c:pt>
                <c:pt idx="408">
                  <c:v>611</c:v>
                </c:pt>
                <c:pt idx="409">
                  <c:v>571</c:v>
                </c:pt>
                <c:pt idx="410">
                  <c:v>318</c:v>
                </c:pt>
                <c:pt idx="411">
                  <c:v>356</c:v>
                </c:pt>
                <c:pt idx="412">
                  <c:v>623</c:v>
                </c:pt>
                <c:pt idx="413">
                  <c:v>626</c:v>
                </c:pt>
                <c:pt idx="414">
                  <c:v>598</c:v>
                </c:pt>
                <c:pt idx="415">
                  <c:v>627</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2.1054575676424415E-2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2.0207975986277871E-2</c:v>
                </c:pt>
                <c:pt idx="389">
                  <c:v>1.8759602167057493E-2</c:v>
                </c:pt>
                <c:pt idx="390">
                  <c:v>2.5796088065765849E-2</c:v>
                </c:pt>
                <c:pt idx="391">
                  <c:v>4.1695947528695244E-2</c:v>
                </c:pt>
                <c:pt idx="392">
                  <c:v>2.0205112505740089E-2</c:v>
                </c:pt>
                <c:pt idx="393">
                  <c:v>1.9340408736075784E-2</c:v>
                </c:pt>
                <c:pt idx="394">
                  <c:v>1.91980182690819E-2</c:v>
                </c:pt>
                <c:pt idx="395">
                  <c:v>2.0494542214301626E-2</c:v>
                </c:pt>
                <c:pt idx="396">
                  <c:v>1.6970815877298873E-2</c:v>
                </c:pt>
                <c:pt idx="397">
                  <c:v>2.9310536249583657E-2</c:v>
                </c:pt>
                <c:pt idx="398">
                  <c:v>3.3144414950857307E-2</c:v>
                </c:pt>
                <c:pt idx="399">
                  <c:v>1.7008046817849305E-2</c:v>
                </c:pt>
                <c:pt idx="400">
                  <c:v>1.8576001552041903E-2</c:v>
                </c:pt>
                <c:pt idx="401">
                  <c:v>1.9286248530825945E-2</c:v>
                </c:pt>
                <c:pt idx="402">
                  <c:v>2.2690261643686895E-2</c:v>
                </c:pt>
                <c:pt idx="403">
                  <c:v>2.1807342328208346E-2</c:v>
                </c:pt>
                <c:pt idx="404">
                  <c:v>2.9313929313929316E-2</c:v>
                </c:pt>
                <c:pt idx="405">
                  <c:v>4.2612064194798009E-2</c:v>
                </c:pt>
                <c:pt idx="406">
                  <c:v>2.3891259974021153E-2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12.5.2021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9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strCache>
            </c:strRef>
          </c:cat>
          <c:val>
            <c:numRef>
              <c:f>[0]!PlotY</c:f>
              <c:numCache>
                <c:formatCode>General</c:formatCode>
                <c:ptCount val="4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456</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377</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418</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627</c:v>
                </c:pt>
                <c:pt idx="422">
                  <c:v>687</c:v>
                </c:pt>
                <c:pt idx="423">
                  <c:v>401</c:v>
                </c:pt>
                <c:pt idx="424">
                  <c:v>419</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767</c:v>
                </c:pt>
                <c:pt idx="441">
                  <c:v>743</c:v>
                </c:pt>
                <c:pt idx="442">
                  <c:v>735</c:v>
                </c:pt>
                <c:pt idx="443">
                  <c:v>744</c:v>
                </c:pt>
                <c:pt idx="444">
                  <c:v>404</c:v>
                </c:pt>
                <c:pt idx="445">
                  <c:v>417</c:v>
                </c:pt>
                <c:pt idx="446">
                  <c:v>768</c:v>
                </c:pt>
                <c:pt idx="447">
                  <c:v>703</c:v>
                </c:pt>
                <c:pt idx="448">
                  <c:v>694</c:v>
                </c:pt>
                <c:pt idx="449">
                  <c:v>606</c:v>
                </c:pt>
                <c:pt idx="450">
                  <c:v>688</c:v>
                </c:pt>
                <c:pt idx="451">
                  <c:v>351</c:v>
                </c:pt>
                <c:pt idx="452">
                  <c:v>370</c:v>
                </c:pt>
                <c:pt idx="453">
                  <c:v>654</c:v>
                </c:pt>
                <c:pt idx="454">
                  <c:v>570</c:v>
                </c:pt>
                <c:pt idx="455">
                  <c:v>550</c:v>
                </c:pt>
                <c:pt idx="456">
                  <c:v>486</c:v>
                </c:pt>
                <c:pt idx="457">
                  <c:v>361</c:v>
                </c:pt>
                <c:pt idx="458">
                  <c:v>320</c:v>
                </c:pt>
                <c:pt idx="459">
                  <c:v>322</c:v>
                </c:pt>
                <c:pt idx="460">
                  <c:v>359</c:v>
                </c:pt>
                <c:pt idx="461">
                  <c:v>545</c:v>
                </c:pt>
                <c:pt idx="462">
                  <c:v>426</c:v>
                </c:pt>
                <c:pt idx="463">
                  <c:v>405</c:v>
                </c:pt>
                <c:pt idx="464">
                  <c:v>350</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154</c:v>
                </c:pt>
                <c:pt idx="480">
                  <c:v>141</c:v>
                </c:pt>
                <c:pt idx="481">
                  <c:v>243</c:v>
                </c:pt>
                <c:pt idx="482">
                  <c:v>228</c:v>
                </c:pt>
                <c:pt idx="483">
                  <c:v>273</c:v>
                </c:pt>
                <c:pt idx="484">
                  <c:v>200</c:v>
                </c:pt>
                <c:pt idx="485">
                  <c:v>195</c:v>
                </c:pt>
                <c:pt idx="486">
                  <c:v>105</c:v>
                </c:pt>
                <c:pt idx="487">
                  <c:v>135</c:v>
                </c:pt>
                <c:pt idx="488">
                  <c:v>318</c:v>
                </c:pt>
                <c:pt idx="489">
                  <c:v>206</c:v>
                </c:pt>
                <c:pt idx="490">
                  <c:v>268</c:v>
                </c:pt>
                <c:pt idx="491">
                  <c:v>238</c:v>
                </c:pt>
                <c:pt idx="492">
                  <c:v>216</c:v>
                </c:pt>
                <c:pt idx="493">
                  <c:v>130</c:v>
                </c:pt>
                <c:pt idx="494">
                  <c:v>130</c:v>
                </c:pt>
                <c:pt idx="495">
                  <c:v>255</c:v>
                </c:pt>
                <c:pt idx="496">
                  <c:v>210</c:v>
                </c:pt>
                <c:pt idx="497">
                  <c:v>220</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12.5.2021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9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strCache>
            </c:strRef>
          </c:cat>
          <c:val>
            <c:numRef>
              <c:f>HUS!PlotY</c:f>
              <c:numCache>
                <c:formatCode>General</c:formatCode>
                <c:ptCount val="4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242</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190</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360</c:v>
                </c:pt>
                <c:pt idx="422">
                  <c:v>429</c:v>
                </c:pt>
                <c:pt idx="423">
                  <c:v>266</c:v>
                </c:pt>
                <c:pt idx="424">
                  <c:v>264</c:v>
                </c:pt>
                <c:pt idx="425">
                  <c:v>481</c:v>
                </c:pt>
                <c:pt idx="426">
                  <c:v>492</c:v>
                </c:pt>
                <c:pt idx="427">
                  <c:v>475</c:v>
                </c:pt>
                <c:pt idx="428">
                  <c:v>389</c:v>
                </c:pt>
                <c:pt idx="429">
                  <c:v>420</c:v>
                </c:pt>
                <c:pt idx="430">
                  <c:v>275</c:v>
                </c:pt>
                <c:pt idx="431">
                  <c:v>255</c:v>
                </c:pt>
                <c:pt idx="432">
                  <c:v>502</c:v>
                </c:pt>
                <c:pt idx="433">
                  <c:v>507</c:v>
                </c:pt>
                <c:pt idx="434">
                  <c:v>504</c:v>
                </c:pt>
                <c:pt idx="435">
                  <c:v>477</c:v>
                </c:pt>
                <c:pt idx="436">
                  <c:v>517</c:v>
                </c:pt>
                <c:pt idx="437">
                  <c:v>327</c:v>
                </c:pt>
                <c:pt idx="438">
                  <c:v>261</c:v>
                </c:pt>
                <c:pt idx="439">
                  <c:v>508</c:v>
                </c:pt>
                <c:pt idx="440">
                  <c:v>454</c:v>
                </c:pt>
                <c:pt idx="441">
                  <c:v>417</c:v>
                </c:pt>
                <c:pt idx="442">
                  <c:v>455</c:v>
                </c:pt>
                <c:pt idx="443">
                  <c:v>444</c:v>
                </c:pt>
                <c:pt idx="444">
                  <c:v>287</c:v>
                </c:pt>
                <c:pt idx="445">
                  <c:v>286</c:v>
                </c:pt>
                <c:pt idx="446">
                  <c:v>451</c:v>
                </c:pt>
                <c:pt idx="447">
                  <c:v>452</c:v>
                </c:pt>
                <c:pt idx="448">
                  <c:v>393</c:v>
                </c:pt>
                <c:pt idx="449">
                  <c:v>355</c:v>
                </c:pt>
                <c:pt idx="450">
                  <c:v>407</c:v>
                </c:pt>
                <c:pt idx="451">
                  <c:v>199</c:v>
                </c:pt>
                <c:pt idx="452">
                  <c:v>245</c:v>
                </c:pt>
                <c:pt idx="453">
                  <c:v>378</c:v>
                </c:pt>
                <c:pt idx="454">
                  <c:v>322</c:v>
                </c:pt>
                <c:pt idx="455">
                  <c:v>330</c:v>
                </c:pt>
                <c:pt idx="456">
                  <c:v>252</c:v>
                </c:pt>
                <c:pt idx="457">
                  <c:v>222</c:v>
                </c:pt>
                <c:pt idx="458">
                  <c:v>188</c:v>
                </c:pt>
                <c:pt idx="459">
                  <c:v>206</c:v>
                </c:pt>
                <c:pt idx="460">
                  <c:v>232</c:v>
                </c:pt>
                <c:pt idx="461">
                  <c:v>305</c:v>
                </c:pt>
                <c:pt idx="462">
                  <c:v>246</c:v>
                </c:pt>
                <c:pt idx="463">
                  <c:v>211</c:v>
                </c:pt>
                <c:pt idx="464">
                  <c:v>175</c:v>
                </c:pt>
                <c:pt idx="465">
                  <c:v>136</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86</c:v>
                </c:pt>
                <c:pt idx="480">
                  <c:v>84</c:v>
                </c:pt>
                <c:pt idx="481">
                  <c:v>120</c:v>
                </c:pt>
                <c:pt idx="482">
                  <c:v>108</c:v>
                </c:pt>
                <c:pt idx="483">
                  <c:v>142</c:v>
                </c:pt>
                <c:pt idx="484">
                  <c:v>94</c:v>
                </c:pt>
                <c:pt idx="485">
                  <c:v>97</c:v>
                </c:pt>
                <c:pt idx="486">
                  <c:v>51</c:v>
                </c:pt>
                <c:pt idx="487">
                  <c:v>81</c:v>
                </c:pt>
                <c:pt idx="488">
                  <c:v>155</c:v>
                </c:pt>
                <c:pt idx="489">
                  <c:v>112</c:v>
                </c:pt>
                <c:pt idx="490">
                  <c:v>127</c:v>
                </c:pt>
                <c:pt idx="491">
                  <c:v>112</c:v>
                </c:pt>
                <c:pt idx="492">
                  <c:v>93</c:v>
                </c:pt>
                <c:pt idx="493">
                  <c:v>68</c:v>
                </c:pt>
                <c:pt idx="494">
                  <c:v>68</c:v>
                </c:pt>
                <c:pt idx="495">
                  <c:v>138</c:v>
                </c:pt>
                <c:pt idx="496">
                  <c:v>107</c:v>
                </c:pt>
                <c:pt idx="497">
                  <c:v>114</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0.56024096385542166</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0.54166666666666663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0.5307017543859649</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0.59036144578313254</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0.47214854111405835</c:v>
                </c:pt>
                <c:pt idx="387">
                  <c:v>0.54293628808864269</c:v>
                </c:pt>
                <c:pt idx="388">
                  <c:v>0.5535714285714286</c:v>
                </c:pt>
                <c:pt idx="389">
                  <c:v>0.61943319838056676</c:v>
                </c:pt>
                <c:pt idx="390">
                  <c:v>0.42314049586776858</c:v>
                </c:pt>
                <c:pt idx="391">
                  <c:v>0.53400503778337527</c:v>
                </c:pt>
                <c:pt idx="392">
                  <c:v>0.49214659685863876</c:v>
                </c:pt>
                <c:pt idx="393">
                  <c:v>0.52643678160919538</c:v>
                </c:pt>
                <c:pt idx="394">
                  <c:v>0.50397877984084882</c:v>
                </c:pt>
                <c:pt idx="395">
                  <c:v>0.56896551724137934</c:v>
                </c:pt>
                <c:pt idx="396">
                  <c:v>0.60805860805860801</c:v>
                </c:pt>
                <c:pt idx="397">
                  <c:v>0.5561797752808989</c:v>
                </c:pt>
                <c:pt idx="398">
                  <c:v>0.63131313131313127</c:v>
                </c:pt>
                <c:pt idx="399">
                  <c:v>0.59637188208616776</c:v>
                </c:pt>
                <c:pt idx="400">
                  <c:v>0.60215053763440862</c:v>
                </c:pt>
                <c:pt idx="401">
                  <c:v>0.58967391304347827</c:v>
                </c:pt>
                <c:pt idx="402">
                  <c:v>0.64016736401673635</c:v>
                </c:pt>
                <c:pt idx="403">
                  <c:v>0.65530303030303028</c:v>
                </c:pt>
                <c:pt idx="404">
                  <c:v>0.64069264069264065</c:v>
                </c:pt>
                <c:pt idx="405">
                  <c:v>0.64516129032258063</c:v>
                </c:pt>
                <c:pt idx="406">
                  <c:v>0.59791122715404699</c:v>
                </c:pt>
                <c:pt idx="407">
                  <c:v>0.65650969529085867</c:v>
                </c:pt>
                <c:pt idx="408">
                  <c:v>0.62200956937799046</c:v>
                </c:pt>
                <c:pt idx="409">
                  <c:v>0.68345323741007191</c:v>
                </c:pt>
                <c:pt idx="410">
                  <c:v>0.64539007092198586</c:v>
                </c:pt>
                <c:pt idx="411">
                  <c:v>0.58441558441558439</c:v>
                </c:pt>
                <c:pt idx="412">
                  <c:v>0.63883495145631064</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0.57416267942583732</c:v>
                </c:pt>
                <c:pt idx="422">
                  <c:v>0.62445414847161573</c:v>
                </c:pt>
                <c:pt idx="423">
                  <c:v>0.66334164588528677</c:v>
                </c:pt>
                <c:pt idx="424">
                  <c:v>0.63007159904534604</c:v>
                </c:pt>
                <c:pt idx="425">
                  <c:v>0.55223880597014929</c:v>
                </c:pt>
                <c:pt idx="426">
                  <c:v>0.64822134387351782</c:v>
                </c:pt>
                <c:pt idx="427">
                  <c:v>0.64890710382513661</c:v>
                </c:pt>
                <c:pt idx="428">
                  <c:v>0.60781249999999998</c:v>
                </c:pt>
                <c:pt idx="429">
                  <c:v>0.66666666666666663</c:v>
                </c:pt>
                <c:pt idx="430">
                  <c:v>0.63805104408352664</c:v>
                </c:pt>
                <c:pt idx="431">
                  <c:v>0.64393939393939392</c:v>
                </c:pt>
                <c:pt idx="432">
                  <c:v>0.60191846522781778</c:v>
                </c:pt>
                <c:pt idx="433">
                  <c:v>0.65503875968992253</c:v>
                </c:pt>
                <c:pt idx="434">
                  <c:v>0.61313868613138689</c:v>
                </c:pt>
                <c:pt idx="435">
                  <c:v>0.61232349165596922</c:v>
                </c:pt>
                <c:pt idx="436">
                  <c:v>0.63985148514851486</c:v>
                </c:pt>
                <c:pt idx="437">
                  <c:v>0.66598778004073322</c:v>
                </c:pt>
                <c:pt idx="438">
                  <c:v>0.60277136258660513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242</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190</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456</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377</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418</c:v>
                </c:pt>
                <c:pt idx="409">
                  <c:v>278</c:v>
                </c:pt>
                <c:pt idx="410">
                  <c:v>282</c:v>
                </c:pt>
                <c:pt idx="411">
                  <c:v>616</c:v>
                </c:pt>
                <c:pt idx="412">
                  <c:v>515</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12.5.2021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9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strCache>
            </c:strRef>
          </c:cat>
          <c:val>
            <c:numRef>
              <c:f>[0]!PlotY</c:f>
              <c:numCache>
                <c:formatCode>General</c:formatCode>
                <c:ptCount val="4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456</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377</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418</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627</c:v>
                </c:pt>
                <c:pt idx="422">
                  <c:v>687</c:v>
                </c:pt>
                <c:pt idx="423">
                  <c:v>401</c:v>
                </c:pt>
                <c:pt idx="424">
                  <c:v>419</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767</c:v>
                </c:pt>
                <c:pt idx="441">
                  <c:v>743</c:v>
                </c:pt>
                <c:pt idx="442">
                  <c:v>735</c:v>
                </c:pt>
                <c:pt idx="443">
                  <c:v>744</c:v>
                </c:pt>
                <c:pt idx="444">
                  <c:v>404</c:v>
                </c:pt>
                <c:pt idx="445">
                  <c:v>417</c:v>
                </c:pt>
                <c:pt idx="446">
                  <c:v>768</c:v>
                </c:pt>
                <c:pt idx="447">
                  <c:v>703</c:v>
                </c:pt>
                <c:pt idx="448">
                  <c:v>694</c:v>
                </c:pt>
                <c:pt idx="449">
                  <c:v>606</c:v>
                </c:pt>
                <c:pt idx="450">
                  <c:v>688</c:v>
                </c:pt>
                <c:pt idx="451">
                  <c:v>351</c:v>
                </c:pt>
                <c:pt idx="452">
                  <c:v>370</c:v>
                </c:pt>
                <c:pt idx="453">
                  <c:v>654</c:v>
                </c:pt>
                <c:pt idx="454">
                  <c:v>570</c:v>
                </c:pt>
                <c:pt idx="455">
                  <c:v>550</c:v>
                </c:pt>
                <c:pt idx="456">
                  <c:v>486</c:v>
                </c:pt>
                <c:pt idx="457">
                  <c:v>361</c:v>
                </c:pt>
                <c:pt idx="458">
                  <c:v>320</c:v>
                </c:pt>
                <c:pt idx="459">
                  <c:v>322</c:v>
                </c:pt>
                <c:pt idx="460">
                  <c:v>359</c:v>
                </c:pt>
                <c:pt idx="461">
                  <c:v>545</c:v>
                </c:pt>
                <c:pt idx="462">
                  <c:v>426</c:v>
                </c:pt>
                <c:pt idx="463">
                  <c:v>405</c:v>
                </c:pt>
                <c:pt idx="464">
                  <c:v>350</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154</c:v>
                </c:pt>
                <c:pt idx="480">
                  <c:v>141</c:v>
                </c:pt>
                <c:pt idx="481">
                  <c:v>243</c:v>
                </c:pt>
                <c:pt idx="482">
                  <c:v>228</c:v>
                </c:pt>
                <c:pt idx="483">
                  <c:v>273</c:v>
                </c:pt>
                <c:pt idx="484">
                  <c:v>200</c:v>
                </c:pt>
                <c:pt idx="485">
                  <c:v>195</c:v>
                </c:pt>
                <c:pt idx="486">
                  <c:v>105</c:v>
                </c:pt>
                <c:pt idx="487">
                  <c:v>135</c:v>
                </c:pt>
                <c:pt idx="488">
                  <c:v>318</c:v>
                </c:pt>
                <c:pt idx="489">
                  <c:v>206</c:v>
                </c:pt>
                <c:pt idx="490">
                  <c:v>268</c:v>
                </c:pt>
                <c:pt idx="491">
                  <c:v>238</c:v>
                </c:pt>
                <c:pt idx="492">
                  <c:v>216</c:v>
                </c:pt>
                <c:pt idx="493">
                  <c:v>130</c:v>
                </c:pt>
                <c:pt idx="494">
                  <c:v>130</c:v>
                </c:pt>
                <c:pt idx="495">
                  <c:v>255</c:v>
                </c:pt>
                <c:pt idx="496">
                  <c:v>210</c:v>
                </c:pt>
                <c:pt idx="497">
                  <c:v>220</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234.98591549295776</c:v>
                </c:pt>
                <c:pt idx="1">
                  <c:v>203.02816901408451</c:v>
                </c:pt>
                <c:pt idx="2">
                  <c:v>202.86111111111111</c:v>
                </c:pt>
                <c:pt idx="3">
                  <c:v>192.90277777777777</c:v>
                </c:pt>
                <c:pt idx="4">
                  <c:v>185.97222222222223</c:v>
                </c:pt>
                <c:pt idx="5">
                  <c:v>115.97222222222223</c:v>
                </c:pt>
                <c:pt idx="6">
                  <c:v>121.81944444444444</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N=90105. Uusimmat 16.5.2021 lisäykset 227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18.4</c:v>
                </c:pt>
                <c:pt idx="1">
                  <c:v>Ma 19</c:v>
                </c:pt>
                <c:pt idx="2">
                  <c:v>20.4</c:v>
                </c:pt>
                <c:pt idx="3">
                  <c:v>21.4</c:v>
                </c:pt>
                <c:pt idx="4">
                  <c:v>22.4</c:v>
                </c:pt>
                <c:pt idx="5">
                  <c:v>23.4</c:v>
                </c:pt>
                <c:pt idx="6">
                  <c:v>24.4</c:v>
                </c:pt>
                <c:pt idx="7">
                  <c:v>25.4</c:v>
                </c:pt>
                <c:pt idx="8">
                  <c:v>Ma 26</c:v>
                </c:pt>
                <c:pt idx="9">
                  <c:v>27.4</c:v>
                </c:pt>
                <c:pt idx="10">
                  <c:v>28.4</c:v>
                </c:pt>
                <c:pt idx="11">
                  <c:v>29.4</c:v>
                </c:pt>
                <c:pt idx="12">
                  <c:v>30.4</c:v>
                </c:pt>
                <c:pt idx="13">
                  <c:v>1.5</c:v>
                </c:pt>
                <c:pt idx="14">
                  <c:v>2.5</c:v>
                </c:pt>
                <c:pt idx="15">
                  <c:v>Ma 3</c:v>
                </c:pt>
                <c:pt idx="16">
                  <c:v>4.5</c:v>
                </c:pt>
                <c:pt idx="17">
                  <c:v>5.5</c:v>
                </c:pt>
                <c:pt idx="18">
                  <c:v>6.5</c:v>
                </c:pt>
                <c:pt idx="19">
                  <c:v>7.5</c:v>
                </c:pt>
                <c:pt idx="20">
                  <c:v>8.5</c:v>
                </c:pt>
                <c:pt idx="21">
                  <c:v>9.5</c:v>
                </c:pt>
                <c:pt idx="22">
                  <c:v>Ma 10</c:v>
                </c:pt>
                <c:pt idx="23">
                  <c:v>11.5</c:v>
                </c:pt>
                <c:pt idx="24">
                  <c:v>12.5</c:v>
                </c:pt>
                <c:pt idx="25">
                  <c:v>13.5</c:v>
                </c:pt>
                <c:pt idx="26">
                  <c:v>14.5</c:v>
                </c:pt>
                <c:pt idx="27">
                  <c:v>15.5</c:v>
                </c:pt>
              </c:strCache>
            </c:strRef>
          </c:cat>
          <c:val>
            <c:numRef>
              <c:f>Lisäys!$E$7:$E$34</c:f>
              <c:numCache>
                <c:formatCode>General</c:formatCode>
                <c:ptCount val="28"/>
                <c:pt idx="0">
                  <c:v>156</c:v>
                </c:pt>
                <c:pt idx="1">
                  <c:v>283</c:v>
                </c:pt>
                <c:pt idx="2">
                  <c:v>285</c:v>
                </c:pt>
                <c:pt idx="3">
                  <c:v>233</c:v>
                </c:pt>
                <c:pt idx="4">
                  <c:v>258</c:v>
                </c:pt>
                <c:pt idx="5">
                  <c:v>255</c:v>
                </c:pt>
                <c:pt idx="6">
                  <c:v>154</c:v>
                </c:pt>
                <c:pt idx="7">
                  <c:v>141</c:v>
                </c:pt>
                <c:pt idx="8">
                  <c:v>243</c:v>
                </c:pt>
                <c:pt idx="9">
                  <c:v>228</c:v>
                </c:pt>
                <c:pt idx="10">
                  <c:v>273</c:v>
                </c:pt>
                <c:pt idx="11">
                  <c:v>200</c:v>
                </c:pt>
                <c:pt idx="12">
                  <c:v>195</c:v>
                </c:pt>
                <c:pt idx="13">
                  <c:v>105</c:v>
                </c:pt>
                <c:pt idx="14">
                  <c:v>135</c:v>
                </c:pt>
                <c:pt idx="15">
                  <c:v>318</c:v>
                </c:pt>
                <c:pt idx="16">
                  <c:v>206</c:v>
                </c:pt>
                <c:pt idx="17">
                  <c:v>268</c:v>
                </c:pt>
                <c:pt idx="18">
                  <c:v>238</c:v>
                </c:pt>
                <c:pt idx="19">
                  <c:v>216</c:v>
                </c:pt>
                <c:pt idx="20">
                  <c:v>130</c:v>
                </c:pt>
                <c:pt idx="21">
                  <c:v>130</c:v>
                </c:pt>
                <c:pt idx="22">
                  <c:v>255</c:v>
                </c:pt>
                <c:pt idx="23">
                  <c:v>210</c:v>
                </c:pt>
                <c:pt idx="24">
                  <c:v>220</c:v>
                </c:pt>
                <c:pt idx="25">
                  <c:v>143</c:v>
                </c:pt>
                <c:pt idx="26">
                  <c:v>185</c:v>
                </c:pt>
                <c:pt idx="27">
                  <c:v>90</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18.4</c:v>
                </c:pt>
                <c:pt idx="1">
                  <c:v>Ma 19</c:v>
                </c:pt>
                <c:pt idx="2">
                  <c:v>20.4</c:v>
                </c:pt>
                <c:pt idx="3">
                  <c:v>21.4</c:v>
                </c:pt>
                <c:pt idx="4">
                  <c:v>22.4</c:v>
                </c:pt>
                <c:pt idx="5">
                  <c:v>23.4</c:v>
                </c:pt>
                <c:pt idx="6">
                  <c:v>24.4</c:v>
                </c:pt>
                <c:pt idx="7">
                  <c:v>25.4</c:v>
                </c:pt>
                <c:pt idx="8">
                  <c:v>Ma 26</c:v>
                </c:pt>
                <c:pt idx="9">
                  <c:v>27.4</c:v>
                </c:pt>
                <c:pt idx="10">
                  <c:v>28.4</c:v>
                </c:pt>
                <c:pt idx="11">
                  <c:v>29.4</c:v>
                </c:pt>
                <c:pt idx="12">
                  <c:v>30.4</c:v>
                </c:pt>
                <c:pt idx="13">
                  <c:v>1.5</c:v>
                </c:pt>
                <c:pt idx="14">
                  <c:v>2.5</c:v>
                </c:pt>
                <c:pt idx="15">
                  <c:v>Ma 3</c:v>
                </c:pt>
                <c:pt idx="16">
                  <c:v>4.5</c:v>
                </c:pt>
                <c:pt idx="17">
                  <c:v>5.5</c:v>
                </c:pt>
                <c:pt idx="18">
                  <c:v>6.5</c:v>
                </c:pt>
                <c:pt idx="19">
                  <c:v>7.5</c:v>
                </c:pt>
                <c:pt idx="20">
                  <c:v>8.5</c:v>
                </c:pt>
                <c:pt idx="21">
                  <c:v>9.5</c:v>
                </c:pt>
                <c:pt idx="22">
                  <c:v>Ma 10</c:v>
                </c:pt>
                <c:pt idx="23">
                  <c:v>11.5</c:v>
                </c:pt>
                <c:pt idx="24">
                  <c:v>12.5</c:v>
                </c:pt>
                <c:pt idx="25">
                  <c:v>13.5</c:v>
                </c:pt>
                <c:pt idx="26">
                  <c:v>14.5</c:v>
                </c:pt>
                <c:pt idx="27">
                  <c:v>15.5</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-2</c:v>
                </c:pt>
                <c:pt idx="18">
                  <c:v>0</c:v>
                </c:pt>
                <c:pt idx="19">
                  <c:v>0</c:v>
                </c:pt>
                <c:pt idx="20">
                  <c:v>0</c:v>
                </c:pt>
                <c:pt idx="21">
                  <c:v>0</c:v>
                </c:pt>
                <c:pt idx="22">
                  <c:v>0</c:v>
                </c:pt>
                <c:pt idx="23">
                  <c:v>0</c:v>
                </c:pt>
                <c:pt idx="24">
                  <c:v>1</c:v>
                </c:pt>
                <c:pt idx="25">
                  <c:v>19</c:v>
                </c:pt>
                <c:pt idx="26">
                  <c:v>120</c:v>
                </c:pt>
                <c:pt idx="27">
                  <c:v>90</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12.5.2021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44328.625</c:v>
                </c:pt>
                <c:pt idx="1">
                  <c:v>44321.625</c:v>
                </c:pt>
                <c:pt idx="2">
                  <c:v>44314.625</c:v>
                </c:pt>
                <c:pt idx="3">
                  <c:v>44307.625</c:v>
                </c:pt>
                <c:pt idx="4">
                  <c:v>44300.625</c:v>
                </c:pt>
                <c:pt idx="5">
                  <c:v>44293.625</c:v>
                </c:pt>
                <c:pt idx="6">
                  <c:v>44286.625</c:v>
                </c:pt>
                <c:pt idx="7">
                  <c:v>44279.625</c:v>
                </c:pt>
                <c:pt idx="8">
                  <c:v>44272.625</c:v>
                </c:pt>
                <c:pt idx="9">
                  <c:v>44265.625</c:v>
                </c:pt>
              </c:numCache>
            </c:numRef>
          </c:xVal>
          <c:yVal>
            <c:numRef>
              <c:f>Lisäys!$E$50:$E$59</c:f>
              <c:numCache>
                <c:formatCode>General</c:formatCode>
                <c:ptCount val="10"/>
                <c:pt idx="0">
                  <c:v>220</c:v>
                </c:pt>
                <c:pt idx="1">
                  <c:v>268</c:v>
                </c:pt>
                <c:pt idx="2">
                  <c:v>273</c:v>
                </c:pt>
                <c:pt idx="3">
                  <c:v>233</c:v>
                </c:pt>
                <c:pt idx="4">
                  <c:v>345</c:v>
                </c:pt>
                <c:pt idx="5">
                  <c:v>426</c:v>
                </c:pt>
                <c:pt idx="6">
                  <c:v>550</c:v>
                </c:pt>
                <c:pt idx="7">
                  <c:v>694</c:v>
                </c:pt>
                <c:pt idx="8">
                  <c:v>743</c:v>
                </c:pt>
                <c:pt idx="9">
                  <c:v>822</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44327.625</c:v>
                </c:pt>
                <c:pt idx="1">
                  <c:v>44320.625</c:v>
                </c:pt>
                <c:pt idx="2">
                  <c:v>44313.625</c:v>
                </c:pt>
                <c:pt idx="3">
                  <c:v>44306.625</c:v>
                </c:pt>
                <c:pt idx="4">
                  <c:v>44299.625</c:v>
                </c:pt>
                <c:pt idx="5">
                  <c:v>44292.625</c:v>
                </c:pt>
                <c:pt idx="6">
                  <c:v>44285.625</c:v>
                </c:pt>
                <c:pt idx="7">
                  <c:v>44278.625</c:v>
                </c:pt>
                <c:pt idx="8">
                  <c:v>44271.625</c:v>
                </c:pt>
                <c:pt idx="9">
                  <c:v>44264.625</c:v>
                </c:pt>
              </c:numCache>
            </c:numRef>
          </c:xVal>
          <c:yVal>
            <c:numRef>
              <c:f>Lisäys!$I$50:$I$59</c:f>
              <c:numCache>
                <c:formatCode>General</c:formatCode>
                <c:ptCount val="10"/>
                <c:pt idx="0">
                  <c:v>210</c:v>
                </c:pt>
                <c:pt idx="1">
                  <c:v>206</c:v>
                </c:pt>
                <c:pt idx="2">
                  <c:v>228</c:v>
                </c:pt>
                <c:pt idx="3">
                  <c:v>285</c:v>
                </c:pt>
                <c:pt idx="4">
                  <c:v>325</c:v>
                </c:pt>
                <c:pt idx="5">
                  <c:v>545</c:v>
                </c:pt>
                <c:pt idx="6">
                  <c:v>570</c:v>
                </c:pt>
                <c:pt idx="7">
                  <c:v>703</c:v>
                </c:pt>
                <c:pt idx="8">
                  <c:v>767</c:v>
                </c:pt>
                <c:pt idx="9">
                  <c:v>774</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44326.625</c:v>
                </c:pt>
                <c:pt idx="1">
                  <c:v>44319.625</c:v>
                </c:pt>
                <c:pt idx="2">
                  <c:v>44312.625</c:v>
                </c:pt>
                <c:pt idx="3">
                  <c:v>44305.625</c:v>
                </c:pt>
                <c:pt idx="4">
                  <c:v>44298.625</c:v>
                </c:pt>
                <c:pt idx="5">
                  <c:v>44291.625</c:v>
                </c:pt>
                <c:pt idx="6">
                  <c:v>44284.625</c:v>
                </c:pt>
                <c:pt idx="7">
                  <c:v>44277.625</c:v>
                </c:pt>
                <c:pt idx="8">
                  <c:v>44270.625</c:v>
                </c:pt>
                <c:pt idx="9">
                  <c:v>44263.625</c:v>
                </c:pt>
              </c:numCache>
            </c:numRef>
          </c:xVal>
          <c:yVal>
            <c:numRef>
              <c:f>Lisäys!$M$50:$M$59</c:f>
              <c:numCache>
                <c:formatCode>General</c:formatCode>
                <c:ptCount val="10"/>
                <c:pt idx="0">
                  <c:v>255</c:v>
                </c:pt>
                <c:pt idx="1">
                  <c:v>318</c:v>
                </c:pt>
                <c:pt idx="2">
                  <c:v>243</c:v>
                </c:pt>
                <c:pt idx="3">
                  <c:v>283</c:v>
                </c:pt>
                <c:pt idx="4">
                  <c:v>396</c:v>
                </c:pt>
                <c:pt idx="5">
                  <c:v>359</c:v>
                </c:pt>
                <c:pt idx="6">
                  <c:v>654</c:v>
                </c:pt>
                <c:pt idx="7">
                  <c:v>768</c:v>
                </c:pt>
                <c:pt idx="8">
                  <c:v>892</c:v>
                </c:pt>
                <c:pt idx="9">
                  <c:v>834</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44325.625</c:v>
                </c:pt>
                <c:pt idx="1">
                  <c:v>44318.625</c:v>
                </c:pt>
                <c:pt idx="2">
                  <c:v>44311.625</c:v>
                </c:pt>
                <c:pt idx="3">
                  <c:v>44304.625</c:v>
                </c:pt>
                <c:pt idx="4">
                  <c:v>44297.625</c:v>
                </c:pt>
                <c:pt idx="5">
                  <c:v>44290.625</c:v>
                </c:pt>
                <c:pt idx="6">
                  <c:v>44283.625</c:v>
                </c:pt>
                <c:pt idx="7">
                  <c:v>44276.625</c:v>
                </c:pt>
                <c:pt idx="8">
                  <c:v>44269.625</c:v>
                </c:pt>
                <c:pt idx="9">
                  <c:v>44262.625</c:v>
                </c:pt>
              </c:numCache>
            </c:numRef>
          </c:xVal>
          <c:yVal>
            <c:numRef>
              <c:f>Lisäys!$Q$50:$Q$59</c:f>
              <c:numCache>
                <c:formatCode>General</c:formatCode>
                <c:ptCount val="10"/>
                <c:pt idx="0">
                  <c:v>130</c:v>
                </c:pt>
                <c:pt idx="1">
                  <c:v>135</c:v>
                </c:pt>
                <c:pt idx="2">
                  <c:v>141</c:v>
                </c:pt>
                <c:pt idx="3">
                  <c:v>156</c:v>
                </c:pt>
                <c:pt idx="4">
                  <c:v>239</c:v>
                </c:pt>
                <c:pt idx="5">
                  <c:v>322</c:v>
                </c:pt>
                <c:pt idx="6">
                  <c:v>370</c:v>
                </c:pt>
                <c:pt idx="7">
                  <c:v>417</c:v>
                </c:pt>
                <c:pt idx="8">
                  <c:v>433</c:v>
                </c:pt>
                <c:pt idx="9">
                  <c:v>396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44324.625</c:v>
                </c:pt>
                <c:pt idx="1">
                  <c:v>44317.625</c:v>
                </c:pt>
                <c:pt idx="2">
                  <c:v>44310.625</c:v>
                </c:pt>
                <c:pt idx="3">
                  <c:v>44303.625</c:v>
                </c:pt>
                <c:pt idx="4">
                  <c:v>44296.625</c:v>
                </c:pt>
                <c:pt idx="5">
                  <c:v>44289.625</c:v>
                </c:pt>
                <c:pt idx="6">
                  <c:v>44282.625</c:v>
                </c:pt>
                <c:pt idx="7">
                  <c:v>44275.625</c:v>
                </c:pt>
                <c:pt idx="8">
                  <c:v>44268.625</c:v>
                </c:pt>
                <c:pt idx="9">
                  <c:v>44261.625</c:v>
                </c:pt>
              </c:numCache>
            </c:numRef>
          </c:xVal>
          <c:yVal>
            <c:numRef>
              <c:f>Lisäys!$U$50:$U$59</c:f>
              <c:numCache>
                <c:formatCode>General</c:formatCode>
                <c:ptCount val="10"/>
                <c:pt idx="0">
                  <c:v>130</c:v>
                </c:pt>
                <c:pt idx="1">
                  <c:v>105</c:v>
                </c:pt>
                <c:pt idx="2">
                  <c:v>154</c:v>
                </c:pt>
                <c:pt idx="3">
                  <c:v>171</c:v>
                </c:pt>
                <c:pt idx="4">
                  <c:v>225</c:v>
                </c:pt>
                <c:pt idx="5">
                  <c:v>320</c:v>
                </c:pt>
                <c:pt idx="6">
                  <c:v>351</c:v>
                </c:pt>
                <c:pt idx="7">
                  <c:v>404</c:v>
                </c:pt>
                <c:pt idx="8">
                  <c:v>491</c:v>
                </c:pt>
                <c:pt idx="9">
                  <c:v>431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44323.625</c:v>
                </c:pt>
                <c:pt idx="1">
                  <c:v>44316.625</c:v>
                </c:pt>
                <c:pt idx="2">
                  <c:v>44309.625</c:v>
                </c:pt>
                <c:pt idx="3">
                  <c:v>44302.625</c:v>
                </c:pt>
                <c:pt idx="4">
                  <c:v>44295.625</c:v>
                </c:pt>
                <c:pt idx="5">
                  <c:v>44288.625</c:v>
                </c:pt>
                <c:pt idx="6">
                  <c:v>44281.625</c:v>
                </c:pt>
                <c:pt idx="7">
                  <c:v>44274.625</c:v>
                </c:pt>
                <c:pt idx="8">
                  <c:v>44267.625</c:v>
                </c:pt>
                <c:pt idx="9">
                  <c:v>44260.625</c:v>
                </c:pt>
              </c:numCache>
            </c:numRef>
          </c:xVal>
          <c:yVal>
            <c:numRef>
              <c:f>Lisäys!$Y$50:$Y$59</c:f>
              <c:numCache>
                <c:formatCode>General</c:formatCode>
                <c:ptCount val="10"/>
                <c:pt idx="0">
                  <c:v>216</c:v>
                </c:pt>
                <c:pt idx="1">
                  <c:v>195</c:v>
                </c:pt>
                <c:pt idx="2">
                  <c:v>255</c:v>
                </c:pt>
                <c:pt idx="3">
                  <c:v>264</c:v>
                </c:pt>
                <c:pt idx="4">
                  <c:v>350</c:v>
                </c:pt>
                <c:pt idx="5">
                  <c:v>361</c:v>
                </c:pt>
                <c:pt idx="6">
                  <c:v>688</c:v>
                </c:pt>
                <c:pt idx="7">
                  <c:v>744</c:v>
                </c:pt>
                <c:pt idx="8">
                  <c:v>808</c:v>
                </c:pt>
                <c:pt idx="9">
                  <c:v>630</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44322.625</c:v>
                </c:pt>
                <c:pt idx="1">
                  <c:v>44315.625</c:v>
                </c:pt>
                <c:pt idx="2">
                  <c:v>44308.625</c:v>
                </c:pt>
                <c:pt idx="3">
                  <c:v>44301.625</c:v>
                </c:pt>
                <c:pt idx="4">
                  <c:v>44294.625</c:v>
                </c:pt>
                <c:pt idx="5">
                  <c:v>44287.625</c:v>
                </c:pt>
                <c:pt idx="6">
                  <c:v>44280.625</c:v>
                </c:pt>
                <c:pt idx="7">
                  <c:v>44273.625</c:v>
                </c:pt>
                <c:pt idx="8">
                  <c:v>44266.625</c:v>
                </c:pt>
                <c:pt idx="9">
                  <c:v>44259.625</c:v>
                </c:pt>
              </c:numCache>
            </c:numRef>
          </c:xVal>
          <c:yVal>
            <c:numRef>
              <c:f>Lisäys!$AC$50:$AC$59</c:f>
              <c:numCache>
                <c:formatCode>General</c:formatCode>
                <c:ptCount val="10"/>
                <c:pt idx="0">
                  <c:v>238</c:v>
                </c:pt>
                <c:pt idx="1">
                  <c:v>200</c:v>
                </c:pt>
                <c:pt idx="2">
                  <c:v>258</c:v>
                </c:pt>
                <c:pt idx="3">
                  <c:v>274</c:v>
                </c:pt>
                <c:pt idx="4">
                  <c:v>405</c:v>
                </c:pt>
                <c:pt idx="5">
                  <c:v>486</c:v>
                </c:pt>
                <c:pt idx="6">
                  <c:v>606</c:v>
                </c:pt>
                <c:pt idx="7">
                  <c:v>735</c:v>
                </c:pt>
                <c:pt idx="8">
                  <c:v>779</c:v>
                </c:pt>
                <c:pt idx="9">
                  <c:v>640</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822</c:v>
                </c:pt>
                <c:pt idx="3">
                  <c:v>779</c:v>
                </c:pt>
                <c:pt idx="4">
                  <c:v>808</c:v>
                </c:pt>
                <c:pt idx="5">
                  <c:v>491</c:v>
                </c:pt>
                <c:pt idx="6">
                  <c:v>433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DC869A14-AC86-4A64-962C-9A6D7CAA9F5D}" type="CELLRANGE">
                      <a:rPr lang="en-US"/>
                      <a:pPr/>
                      <a:t>[CELLRANGE]</a:t>
                    </a:fld>
                    <a:r>
                      <a:rPr lang="en-US" baseline="0"/>
                      <a:t>; </a:t>
                    </a:r>
                    <a:fld id="{4034E1FA-B985-42D2-A3D6-01C6C4E346A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03EDC2F7-03B7-4D57-97EF-ED00816246E4}" type="CELLRANGE">
                      <a:rPr lang="en-US"/>
                      <a:pPr/>
                      <a:t>[CELLRANGE]</a:t>
                    </a:fld>
                    <a:r>
                      <a:rPr lang="en-US" baseline="0"/>
                      <a:t>; </a:t>
                    </a:r>
                    <a:fld id="{9C570E43-0949-407A-A95C-5B316534695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1270CE29-79DA-4A8E-807C-F32F8037DA43}" type="CELLRANGE">
                      <a:rPr lang="en-US"/>
                      <a:pPr/>
                      <a:t>[CELLRANGE]</a:t>
                    </a:fld>
                    <a:r>
                      <a:rPr lang="en-US" baseline="0"/>
                      <a:t>; </a:t>
                    </a:r>
                    <a:fld id="{3D85A792-E09A-4DAD-B8FF-8D10B028C69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DD532857-FD08-4200-ACE1-5D109B03041F}" type="CELLRANGE">
                      <a:rPr lang="en-US"/>
                      <a:pPr/>
                      <a:t>[CELLRANGE]</a:t>
                    </a:fld>
                    <a:r>
                      <a:rPr lang="en-US" baseline="0"/>
                      <a:t>; </a:t>
                    </a:r>
                    <a:fld id="{DD5490BB-2757-427F-87BC-8D454CC3167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F87EAA04-EE02-452E-9365-6BC6F4A9C7F0}" type="CELLRANGE">
                      <a:rPr lang="en-US"/>
                      <a:pPr/>
                      <a:t>[CELLRANGE]</a:t>
                    </a:fld>
                    <a:r>
                      <a:rPr lang="en-US" baseline="0"/>
                      <a:t>; </a:t>
                    </a:r>
                    <a:fld id="{382FC04C-F71D-4F83-93B8-3681E3F5C49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000802BF-6BC2-4D7D-A05E-8A79FE202EA0}" type="CELLRANGE">
                      <a:rPr lang="en-US"/>
                      <a:pPr/>
                      <a:t>[CELLRANGE]</a:t>
                    </a:fld>
                    <a:r>
                      <a:rPr lang="en-US" baseline="0"/>
                      <a:t>; </a:t>
                    </a:r>
                    <a:fld id="{52D585D6-D1BC-4BC3-A349-7BB39E30516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9E6C5CB0-B17B-4CB2-A53B-F797EE44B4A7}" type="CELLRANGE">
                      <a:rPr lang="en-US"/>
                      <a:pPr/>
                      <a:t>[CELLRANGE]</a:t>
                    </a:fld>
                    <a:r>
                      <a:rPr lang="en-US" baseline="0"/>
                      <a:t>; </a:t>
                    </a:r>
                    <a:fld id="{04F852CC-DFF7-45E4-A97D-40D24E127EB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822</c:v>
                </c:pt>
                <c:pt idx="3">
                  <c:v>779</c:v>
                </c:pt>
                <c:pt idx="4">
                  <c:v>808</c:v>
                </c:pt>
                <c:pt idx="5">
                  <c:v>491</c:v>
                </c:pt>
                <c:pt idx="6">
                  <c:v>433</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12.5.2021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49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strCache>
            </c:strRef>
          </c:cat>
          <c:val>
            <c:numRef>
              <c:f>HUS!PlotY</c:f>
              <c:numCache>
                <c:formatCode>General</c:formatCode>
                <c:ptCount val="4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242</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190</c:v>
                </c:pt>
                <c:pt idx="395">
                  <c:v>132</c:v>
                </c:pt>
                <c:pt idx="396">
                  <c:v>166</c:v>
                </c:pt>
                <c:pt idx="397">
                  <c:v>297</c:v>
                </c:pt>
                <c:pt idx="398">
                  <c:v>250</c:v>
                </c:pt>
                <c:pt idx="399">
                  <c:v>263</c:v>
                </c:pt>
                <c:pt idx="400">
                  <c:v>224</c:v>
                </c:pt>
                <c:pt idx="401">
                  <c:v>217</c:v>
                </c:pt>
                <c:pt idx="402">
                  <c:v>153</c:v>
                </c:pt>
                <c:pt idx="403">
                  <c:v>173</c:v>
                </c:pt>
                <c:pt idx="404">
                  <c:v>296</c:v>
                </c:pt>
                <c:pt idx="405">
                  <c:v>240</c:v>
                </c:pt>
                <c:pt idx="406">
                  <c:v>229</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360</c:v>
                </c:pt>
                <c:pt idx="422">
                  <c:v>429</c:v>
                </c:pt>
                <c:pt idx="423">
                  <c:v>266</c:v>
                </c:pt>
                <c:pt idx="424">
                  <c:v>264</c:v>
                </c:pt>
                <c:pt idx="425">
                  <c:v>481</c:v>
                </c:pt>
                <c:pt idx="426">
                  <c:v>492</c:v>
                </c:pt>
                <c:pt idx="427">
                  <c:v>475</c:v>
                </c:pt>
                <c:pt idx="428">
                  <c:v>389</c:v>
                </c:pt>
                <c:pt idx="429">
                  <c:v>420</c:v>
                </c:pt>
                <c:pt idx="430">
                  <c:v>275</c:v>
                </c:pt>
                <c:pt idx="431">
                  <c:v>255</c:v>
                </c:pt>
                <c:pt idx="432">
                  <c:v>502</c:v>
                </c:pt>
                <c:pt idx="433">
                  <c:v>507</c:v>
                </c:pt>
                <c:pt idx="434">
                  <c:v>504</c:v>
                </c:pt>
                <c:pt idx="435">
                  <c:v>477</c:v>
                </c:pt>
                <c:pt idx="436">
                  <c:v>517</c:v>
                </c:pt>
                <c:pt idx="437">
                  <c:v>327</c:v>
                </c:pt>
                <c:pt idx="438">
                  <c:v>261</c:v>
                </c:pt>
                <c:pt idx="439">
                  <c:v>508</c:v>
                </c:pt>
                <c:pt idx="440">
                  <c:v>454</c:v>
                </c:pt>
                <c:pt idx="441">
                  <c:v>417</c:v>
                </c:pt>
                <c:pt idx="442">
                  <c:v>455</c:v>
                </c:pt>
                <c:pt idx="443">
                  <c:v>444</c:v>
                </c:pt>
                <c:pt idx="444">
                  <c:v>287</c:v>
                </c:pt>
                <c:pt idx="445">
                  <c:v>286</c:v>
                </c:pt>
                <c:pt idx="446">
                  <c:v>451</c:v>
                </c:pt>
                <c:pt idx="447">
                  <c:v>452</c:v>
                </c:pt>
                <c:pt idx="448">
                  <c:v>393</c:v>
                </c:pt>
                <c:pt idx="449">
                  <c:v>355</c:v>
                </c:pt>
                <c:pt idx="450">
                  <c:v>407</c:v>
                </c:pt>
                <c:pt idx="451">
                  <c:v>199</c:v>
                </c:pt>
                <c:pt idx="452">
                  <c:v>245</c:v>
                </c:pt>
                <c:pt idx="453">
                  <c:v>378</c:v>
                </c:pt>
                <c:pt idx="454">
                  <c:v>322</c:v>
                </c:pt>
                <c:pt idx="455">
                  <c:v>330</c:v>
                </c:pt>
                <c:pt idx="456">
                  <c:v>252</c:v>
                </c:pt>
                <c:pt idx="457">
                  <c:v>222</c:v>
                </c:pt>
                <c:pt idx="458">
                  <c:v>188</c:v>
                </c:pt>
                <c:pt idx="459">
                  <c:v>206</c:v>
                </c:pt>
                <c:pt idx="460">
                  <c:v>232</c:v>
                </c:pt>
                <c:pt idx="461">
                  <c:v>305</c:v>
                </c:pt>
                <c:pt idx="462">
                  <c:v>246</c:v>
                </c:pt>
                <c:pt idx="463">
                  <c:v>211</c:v>
                </c:pt>
                <c:pt idx="464">
                  <c:v>175</c:v>
                </c:pt>
                <c:pt idx="465">
                  <c:v>136</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86</c:v>
                </c:pt>
                <c:pt idx="480">
                  <c:v>84</c:v>
                </c:pt>
                <c:pt idx="481">
                  <c:v>120</c:v>
                </c:pt>
                <c:pt idx="482">
                  <c:v>108</c:v>
                </c:pt>
                <c:pt idx="483">
                  <c:v>142</c:v>
                </c:pt>
                <c:pt idx="484">
                  <c:v>94</c:v>
                </c:pt>
                <c:pt idx="485">
                  <c:v>97</c:v>
                </c:pt>
                <c:pt idx="486">
                  <c:v>51</c:v>
                </c:pt>
                <c:pt idx="487">
                  <c:v>81</c:v>
                </c:pt>
                <c:pt idx="488">
                  <c:v>155</c:v>
                </c:pt>
                <c:pt idx="489">
                  <c:v>112</c:v>
                </c:pt>
                <c:pt idx="490">
                  <c:v>127</c:v>
                </c:pt>
                <c:pt idx="491">
                  <c:v>112</c:v>
                </c:pt>
                <c:pt idx="492">
                  <c:v>93</c:v>
                </c:pt>
                <c:pt idx="493">
                  <c:v>68</c:v>
                </c:pt>
                <c:pt idx="494">
                  <c:v>68</c:v>
                </c:pt>
                <c:pt idx="495">
                  <c:v>138</c:v>
                </c:pt>
                <c:pt idx="496">
                  <c:v>107</c:v>
                </c:pt>
                <c:pt idx="497">
                  <c:v>114</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49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strCache>
            </c:strRef>
          </c:cat>
          <c:val>
            <c:numRef>
              <c:f>[0]!PlotY</c:f>
              <c:numCache>
                <c:formatCode>General</c:formatCode>
                <c:ptCount val="4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456</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377</c:v>
                </c:pt>
                <c:pt idx="395">
                  <c:v>232</c:v>
                </c:pt>
                <c:pt idx="396">
                  <c:v>273</c:v>
                </c:pt>
                <c:pt idx="397">
                  <c:v>534</c:v>
                </c:pt>
                <c:pt idx="398">
                  <c:v>396</c:v>
                </c:pt>
                <c:pt idx="399">
                  <c:v>441</c:v>
                </c:pt>
                <c:pt idx="400">
                  <c:v>372</c:v>
                </c:pt>
                <c:pt idx="401">
                  <c:v>368</c:v>
                </c:pt>
                <c:pt idx="402">
                  <c:v>239</c:v>
                </c:pt>
                <c:pt idx="403">
                  <c:v>264</c:v>
                </c:pt>
                <c:pt idx="404">
                  <c:v>462</c:v>
                </c:pt>
                <c:pt idx="405">
                  <c:v>372</c:v>
                </c:pt>
                <c:pt idx="406">
                  <c:v>383</c:v>
                </c:pt>
                <c:pt idx="407">
                  <c:v>361</c:v>
                </c:pt>
                <c:pt idx="408">
                  <c:v>418</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627</c:v>
                </c:pt>
                <c:pt idx="422">
                  <c:v>687</c:v>
                </c:pt>
                <c:pt idx="423">
                  <c:v>401</c:v>
                </c:pt>
                <c:pt idx="424">
                  <c:v>419</c:v>
                </c:pt>
                <c:pt idx="425">
                  <c:v>871</c:v>
                </c:pt>
                <c:pt idx="426">
                  <c:v>759</c:v>
                </c:pt>
                <c:pt idx="427">
                  <c:v>732</c:v>
                </c:pt>
                <c:pt idx="428">
                  <c:v>640</c:v>
                </c:pt>
                <c:pt idx="429">
                  <c:v>630</c:v>
                </c:pt>
                <c:pt idx="430">
                  <c:v>431</c:v>
                </c:pt>
                <c:pt idx="431">
                  <c:v>396</c:v>
                </c:pt>
                <c:pt idx="432">
                  <c:v>834</c:v>
                </c:pt>
                <c:pt idx="433">
                  <c:v>774</c:v>
                </c:pt>
                <c:pt idx="434">
                  <c:v>822</c:v>
                </c:pt>
                <c:pt idx="435">
                  <c:v>779</c:v>
                </c:pt>
                <c:pt idx="436">
                  <c:v>808</c:v>
                </c:pt>
                <c:pt idx="437">
                  <c:v>491</c:v>
                </c:pt>
                <c:pt idx="438">
                  <c:v>433</c:v>
                </c:pt>
                <c:pt idx="439">
                  <c:v>892</c:v>
                </c:pt>
                <c:pt idx="440">
                  <c:v>767</c:v>
                </c:pt>
                <c:pt idx="441">
                  <c:v>743</c:v>
                </c:pt>
                <c:pt idx="442">
                  <c:v>735</c:v>
                </c:pt>
                <c:pt idx="443">
                  <c:v>744</c:v>
                </c:pt>
                <c:pt idx="444">
                  <c:v>404</c:v>
                </c:pt>
                <c:pt idx="445">
                  <c:v>417</c:v>
                </c:pt>
                <c:pt idx="446">
                  <c:v>768</c:v>
                </c:pt>
                <c:pt idx="447">
                  <c:v>703</c:v>
                </c:pt>
                <c:pt idx="448">
                  <c:v>694</c:v>
                </c:pt>
                <c:pt idx="449">
                  <c:v>606</c:v>
                </c:pt>
                <c:pt idx="450">
                  <c:v>688</c:v>
                </c:pt>
                <c:pt idx="451">
                  <c:v>351</c:v>
                </c:pt>
                <c:pt idx="452">
                  <c:v>370</c:v>
                </c:pt>
                <c:pt idx="453">
                  <c:v>654</c:v>
                </c:pt>
                <c:pt idx="454">
                  <c:v>570</c:v>
                </c:pt>
                <c:pt idx="455">
                  <c:v>550</c:v>
                </c:pt>
                <c:pt idx="456">
                  <c:v>486</c:v>
                </c:pt>
                <c:pt idx="457">
                  <c:v>361</c:v>
                </c:pt>
                <c:pt idx="458">
                  <c:v>320</c:v>
                </c:pt>
                <c:pt idx="459">
                  <c:v>322</c:v>
                </c:pt>
                <c:pt idx="460">
                  <c:v>359</c:v>
                </c:pt>
                <c:pt idx="461">
                  <c:v>545</c:v>
                </c:pt>
                <c:pt idx="462">
                  <c:v>426</c:v>
                </c:pt>
                <c:pt idx="463">
                  <c:v>405</c:v>
                </c:pt>
                <c:pt idx="464">
                  <c:v>350</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154</c:v>
                </c:pt>
                <c:pt idx="480">
                  <c:v>141</c:v>
                </c:pt>
                <c:pt idx="481">
                  <c:v>243</c:v>
                </c:pt>
                <c:pt idx="482">
                  <c:v>228</c:v>
                </c:pt>
                <c:pt idx="483">
                  <c:v>273</c:v>
                </c:pt>
                <c:pt idx="484">
                  <c:v>200</c:v>
                </c:pt>
                <c:pt idx="485">
                  <c:v>195</c:v>
                </c:pt>
                <c:pt idx="486">
                  <c:v>105</c:v>
                </c:pt>
                <c:pt idx="487">
                  <c:v>135</c:v>
                </c:pt>
                <c:pt idx="488">
                  <c:v>318</c:v>
                </c:pt>
                <c:pt idx="489">
                  <c:v>206</c:v>
                </c:pt>
                <c:pt idx="490">
                  <c:v>268</c:v>
                </c:pt>
                <c:pt idx="491">
                  <c:v>238</c:v>
                </c:pt>
                <c:pt idx="492">
                  <c:v>216</c:v>
                </c:pt>
                <c:pt idx="493">
                  <c:v>130</c:v>
                </c:pt>
                <c:pt idx="494">
                  <c:v>130</c:v>
                </c:pt>
                <c:pt idx="495">
                  <c:v>255</c:v>
                </c:pt>
                <c:pt idx="496">
                  <c:v>210</c:v>
                </c:pt>
                <c:pt idx="497">
                  <c:v>220</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60960</xdr:colOff>
      <xdr:row>504</xdr:row>
      <xdr:rowOff>148590</xdr:rowOff>
    </xdr:from>
    <xdr:to>
      <xdr:col>12</xdr:col>
      <xdr:colOff>457200</xdr:colOff>
      <xdr:row>522</xdr:row>
      <xdr:rowOff>96883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123824</xdr:colOff>
      <xdr:row>3</xdr:row>
      <xdr:rowOff>180975</xdr:rowOff>
    </xdr:from>
    <xdr:to>
      <xdr:col>17</xdr:col>
      <xdr:colOff>152399</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17" sqref="B17"/>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8" workbookViewId="0">
      <selection activeCell="A425" sqref="A425"/>
    </sheetView>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10</v>
      </c>
      <c r="D237" s="39">
        <f t="shared" si="3"/>
        <v>7.8585461689587423E-4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166</v>
      </c>
      <c r="D275" s="39">
        <f t="shared" si="4"/>
        <v>1.0778520875267841E-2</v>
      </c>
    </row>
    <row r="276" spans="1:4">
      <c r="A276" t="s">
        <v>230</v>
      </c>
      <c r="B276">
        <v>12134</v>
      </c>
      <c r="C276">
        <f>Kaikki!A276</f>
        <v>191</v>
      </c>
      <c r="D276" s="39">
        <f t="shared" si="4"/>
        <v>1.5740893357507828E-2</v>
      </c>
    </row>
    <row r="277" spans="1:4">
      <c r="A277" t="s">
        <v>231</v>
      </c>
      <c r="B277">
        <v>12512</v>
      </c>
      <c r="C277">
        <f>Kaikki!A277</f>
        <v>188</v>
      </c>
      <c r="D277" s="39">
        <f t="shared" si="4"/>
        <v>1.5025575447570333E-2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288</v>
      </c>
      <c r="D308" s="39">
        <f t="shared" si="4"/>
        <v>2.9523321373654536E-2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268</v>
      </c>
      <c r="D327" s="39">
        <f t="shared" si="4"/>
        <v>2.0541120564114355E-2</v>
      </c>
    </row>
    <row r="328" spans="1:4">
      <c r="A328" t="s">
        <v>348</v>
      </c>
      <c r="B328">
        <v>8718</v>
      </c>
      <c r="C328">
        <f>Kaikki!A328</f>
        <v>266</v>
      </c>
      <c r="D328" s="39">
        <f t="shared" ref="D328:D391" si="5">C328/B328</f>
        <v>3.0511585225969258E-2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510</v>
      </c>
      <c r="D332" s="39">
        <f t="shared" si="5"/>
        <v>2.3257935060197008E-2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439</v>
      </c>
      <c r="D337" s="39">
        <f t="shared" si="5"/>
        <v>2.1015845660395424E-2</v>
      </c>
    </row>
    <row r="338" spans="1:4">
      <c r="A338" t="s">
        <v>361</v>
      </c>
      <c r="B338">
        <v>23756</v>
      </c>
      <c r="C338">
        <f>Kaikki!A338</f>
        <v>495</v>
      </c>
      <c r="D338" s="39">
        <f t="shared" si="5"/>
        <v>2.0836841219060449E-2</v>
      </c>
    </row>
    <row r="339" spans="1:4">
      <c r="A339" t="s">
        <v>362</v>
      </c>
      <c r="B339">
        <v>21894</v>
      </c>
      <c r="C339">
        <f>Kaikki!A339</f>
        <v>477</v>
      </c>
      <c r="D339" s="39">
        <f t="shared" si="5"/>
        <v>2.1786790901616882E-2</v>
      </c>
    </row>
    <row r="340" spans="1:4">
      <c r="A340" t="s">
        <v>363</v>
      </c>
      <c r="B340">
        <v>21704</v>
      </c>
      <c r="C340">
        <f>Kaikki!A340</f>
        <v>472</v>
      </c>
      <c r="D340" s="39">
        <f t="shared" si="5"/>
        <v>2.1747143383708072E-2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393</v>
      </c>
      <c r="D354" s="39">
        <f t="shared" si="5"/>
        <v>1.9894704869899766E-2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253</v>
      </c>
      <c r="D367" s="39">
        <f t="shared" si="5"/>
        <v>2.1129113078336394E-2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196</v>
      </c>
      <c r="D384" s="39">
        <f t="shared" si="5"/>
        <v>3.7984496124031007E-2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377</v>
      </c>
      <c r="D396" s="39">
        <f t="shared" si="6"/>
        <v>2.0207975986277871E-2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368</v>
      </c>
      <c r="D403" s="39">
        <f t="shared" si="6"/>
        <v>2.0494542214301626E-2</v>
      </c>
    </row>
    <row r="404" spans="1:4">
      <c r="A404" t="s">
        <v>428</v>
      </c>
      <c r="B404">
        <v>14083</v>
      </c>
      <c r="C404">
        <f>Kaikki!A404</f>
        <v>239</v>
      </c>
      <c r="D404" s="39">
        <f t="shared" si="6"/>
        <v>1.6970815877298873E-2</v>
      </c>
    </row>
    <row r="405" spans="1:4">
      <c r="A405" t="s">
        <v>429</v>
      </c>
      <c r="B405">
        <v>9007</v>
      </c>
      <c r="C405">
        <f>Kaikki!A405</f>
        <v>264</v>
      </c>
      <c r="D405" s="39">
        <f t="shared" si="6"/>
        <v>2.9310536249583657E-2</v>
      </c>
    </row>
    <row r="406" spans="1:4">
      <c r="A406" t="s">
        <v>437</v>
      </c>
      <c r="B406">
        <v>13939</v>
      </c>
      <c r="C406">
        <f>Kaikki!A406</f>
        <v>462</v>
      </c>
      <c r="D406" s="39">
        <f t="shared" si="6"/>
        <v>3.3144414950857307E-2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418</v>
      </c>
      <c r="D410" s="39">
        <f t="shared" si="7"/>
        <v>2.2690261643686895E-2</v>
      </c>
    </row>
    <row r="411" spans="1:4">
      <c r="A411" t="s">
        <v>442</v>
      </c>
      <c r="B411">
        <v>12748</v>
      </c>
      <c r="C411">
        <f>Kaikki!A411</f>
        <v>278</v>
      </c>
      <c r="D411" s="39">
        <f t="shared" si="7"/>
        <v>2.1807342328208346E-2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515</v>
      </c>
      <c r="D414" s="39">
        <f t="shared" si="7"/>
        <v>2.3891259974021153E-2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571</v>
      </c>
      <c r="D417" s="39">
        <f t="shared" si="7"/>
        <v>2.9639242148974825E-2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627</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78" activePane="bottomLeft" state="frozen"/>
      <selection pane="bottomLeft" activeCell="A497" sqref="A497"/>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90105</v>
      </c>
      <c r="J1" s="8">
        <v>44332.70820601852</v>
      </c>
      <c r="K1" s="7">
        <f>MAX(A:A)</f>
        <v>892</v>
      </c>
      <c r="L1" s="15">
        <f>VLOOKUP(K1,A:F,6,FALSE)</f>
        <v>44270.625</v>
      </c>
      <c r="M1" s="7">
        <f>COUNT(DataN)-5</f>
        <v>497</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12.5.2021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67</v>
      </c>
      <c r="B111" t="s">
        <v>65</v>
      </c>
      <c r="C111" t="s">
        <v>8</v>
      </c>
      <c r="E111" s="3">
        <f t="shared" si="3"/>
        <v>7</v>
      </c>
      <c r="F111" s="5">
        <v>43940.625</v>
      </c>
      <c r="G111" s="19" t="str">
        <f t="shared" si="4"/>
        <v/>
      </c>
      <c r="J111" s="28">
        <f t="shared" si="5"/>
        <v>-0.16249999999999998</v>
      </c>
    </row>
    <row r="112" spans="1:10" s="41" customFormat="1">
      <c r="A112" s="40">
        <v>143</v>
      </c>
      <c r="B112" s="41" t="s">
        <v>66</v>
      </c>
      <c r="C112" s="41" t="s">
        <v>8</v>
      </c>
      <c r="E112" s="40">
        <f t="shared" si="3"/>
        <v>1</v>
      </c>
      <c r="F112" s="42">
        <v>43941.625</v>
      </c>
      <c r="G112" s="43" t="str">
        <f t="shared" si="4"/>
        <v>2020-W17</v>
      </c>
      <c r="H112" s="41">
        <f>SUM(A112:A118)</f>
        <v>736</v>
      </c>
      <c r="I112" s="44">
        <f>H112/H105-1</f>
        <v>-6.8354430379746867E-2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8.9552238805970186E-2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s="41" customFormat="1">
      <c r="A138" s="40">
        <v>25</v>
      </c>
      <c r="B138" s="41" t="s">
        <v>92</v>
      </c>
      <c r="C138" s="41" t="s">
        <v>8</v>
      </c>
      <c r="E138" s="40">
        <f t="shared" si="6"/>
        <v>6</v>
      </c>
      <c r="F138" s="42">
        <v>43967.625</v>
      </c>
      <c r="G138" s="43" t="str">
        <f t="shared" si="7"/>
        <v/>
      </c>
      <c r="J138" s="44">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c r="A172" s="3">
        <v>0</v>
      </c>
      <c r="B172" t="s">
        <v>288</v>
      </c>
      <c r="C172" t="s">
        <v>8</v>
      </c>
      <c r="E172" s="3">
        <f t="shared" si="6"/>
        <v>5</v>
      </c>
      <c r="F172" s="5">
        <v>44001.625</v>
      </c>
      <c r="G172" s="19" t="str">
        <f t="shared" si="7"/>
        <v/>
      </c>
      <c r="J172" s="28">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c r="A189" s="3">
        <v>8</v>
      </c>
      <c r="B189" t="s">
        <v>142</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10</v>
      </c>
      <c r="B237" t="s">
        <v>189</v>
      </c>
      <c r="C237" t="s">
        <v>8</v>
      </c>
      <c r="E237" s="3">
        <f t="shared" si="9"/>
        <v>7</v>
      </c>
      <c r="F237" s="5">
        <v>44066.625</v>
      </c>
      <c r="G237" s="19" t="str">
        <f t="shared" si="10"/>
        <v/>
      </c>
      <c r="J237" s="28">
        <f t="shared" si="11"/>
        <v>-0.76744186046511631</v>
      </c>
    </row>
    <row r="238" spans="1:10">
      <c r="A238" s="3">
        <v>17</v>
      </c>
      <c r="B238" t="s">
        <v>190</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0.8</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355</v>
      </c>
      <c r="I252" s="28">
        <f>H252/H245-1</f>
        <v>0.5106382978723405</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54</v>
      </c>
      <c r="B255" t="s">
        <v>207</v>
      </c>
      <c r="C255" t="s">
        <v>8</v>
      </c>
      <c r="E255" s="3">
        <f t="shared" si="9"/>
        <v>4</v>
      </c>
      <c r="F255" s="5">
        <v>44084.625</v>
      </c>
      <c r="G255" s="19" t="str">
        <f t="shared" si="10"/>
        <v/>
      </c>
      <c r="J255" s="28">
        <f t="shared" si="11"/>
        <v>0.54285714285714293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469</v>
      </c>
      <c r="I259" s="28">
        <f>H259/H252-1</f>
        <v>0.3211267605633803</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0.57407407407407418</v>
      </c>
    </row>
    <row r="263" spans="1:10">
      <c r="A263" s="3">
        <v>77</v>
      </c>
      <c r="B263" t="s">
        <v>215</v>
      </c>
      <c r="C263" t="s">
        <v>8</v>
      </c>
      <c r="E263" s="3">
        <f t="shared" si="12"/>
        <v>5</v>
      </c>
      <c r="F263" s="5">
        <v>44092.625</v>
      </c>
      <c r="G263" s="19" t="str">
        <f t="shared" si="13"/>
        <v/>
      </c>
      <c r="J263" s="28">
        <f t="shared" si="11"/>
        <v>0.32758620689655182</v>
      </c>
    </row>
    <row r="264" spans="1:10">
      <c r="A264" s="3">
        <v>64</v>
      </c>
      <c r="B264" t="s">
        <v>216</v>
      </c>
      <c r="C264" t="s">
        <v>8</v>
      </c>
      <c r="E264" s="3">
        <f t="shared" si="12"/>
        <v>6</v>
      </c>
      <c r="F264" s="5">
        <v>44093.625</v>
      </c>
      <c r="G264" s="19" t="str">
        <f t="shared" si="13"/>
        <v/>
      </c>
      <c r="J264" s="28">
        <f t="shared" si="11"/>
        <v>0.60000000000000009</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0.52878464818763327</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0.15625</v>
      </c>
    </row>
    <row r="272" spans="1:10">
      <c r="A272" s="3">
        <v>70</v>
      </c>
      <c r="B272" t="s">
        <v>224</v>
      </c>
      <c r="C272" t="s">
        <v>8</v>
      </c>
      <c r="E272" s="3">
        <f t="shared" si="12"/>
        <v>7</v>
      </c>
      <c r="F272" s="5">
        <v>44101.625</v>
      </c>
      <c r="G272" s="19" t="str">
        <f t="shared" si="13"/>
        <v/>
      </c>
      <c r="J272" s="28">
        <f t="shared" si="14"/>
        <v>-5.4054054054054057E-2</v>
      </c>
    </row>
    <row r="273" spans="1:10">
      <c r="A273" s="3">
        <v>124</v>
      </c>
      <c r="B273" t="s">
        <v>225</v>
      </c>
      <c r="C273" t="s">
        <v>8</v>
      </c>
      <c r="E273" s="3">
        <f t="shared" si="12"/>
        <v>1</v>
      </c>
      <c r="F273" s="5">
        <v>44102.625</v>
      </c>
      <c r="G273" s="19" t="str">
        <f t="shared" si="13"/>
        <v>2020-W40</v>
      </c>
      <c r="H273">
        <f>SUM(A273:A279)</f>
        <v>1129</v>
      </c>
      <c r="I273" s="28">
        <f>H273/H266-1</f>
        <v>0.57461645746164569</v>
      </c>
      <c r="J273" s="28">
        <f t="shared" si="14"/>
        <v>3.3333333333333437E-2</v>
      </c>
    </row>
    <row r="274" spans="1:10">
      <c r="A274" s="3">
        <v>134</v>
      </c>
      <c r="B274" t="s">
        <v>226</v>
      </c>
      <c r="C274" t="s">
        <v>8</v>
      </c>
      <c r="E274" s="3">
        <f t="shared" si="12"/>
        <v>2</v>
      </c>
      <c r="F274" s="5">
        <v>44103.625</v>
      </c>
      <c r="G274" s="19" t="str">
        <f t="shared" si="13"/>
        <v/>
      </c>
      <c r="J274" s="28">
        <f t="shared" si="14"/>
        <v>0.21818181818181825</v>
      </c>
    </row>
    <row r="275" spans="1:10">
      <c r="A275" s="3">
        <v>166</v>
      </c>
      <c r="B275" t="s">
        <v>228</v>
      </c>
      <c r="C275" t="s">
        <v>8</v>
      </c>
      <c r="E275" s="3">
        <f t="shared" si="12"/>
        <v>3</v>
      </c>
      <c r="F275" s="5">
        <v>44104.625</v>
      </c>
      <c r="G275" s="19" t="str">
        <f t="shared" si="13"/>
        <v/>
      </c>
      <c r="J275" s="28">
        <f t="shared" si="14"/>
        <v>0.41880341880341887</v>
      </c>
    </row>
    <row r="276" spans="1:10">
      <c r="A276" s="3">
        <v>191</v>
      </c>
      <c r="B276" t="s">
        <v>230</v>
      </c>
      <c r="C276" t="s">
        <v>8</v>
      </c>
      <c r="E276" s="3">
        <f t="shared" si="12"/>
        <v>4</v>
      </c>
      <c r="F276" s="5">
        <v>44105.625</v>
      </c>
      <c r="G276" s="19" t="str">
        <f t="shared" si="13"/>
        <v/>
      </c>
      <c r="J276" s="28">
        <f t="shared" si="14"/>
        <v>0.94897959183673475</v>
      </c>
    </row>
    <row r="277" spans="1:10">
      <c r="A277" s="3">
        <v>188</v>
      </c>
      <c r="B277" t="s">
        <v>231</v>
      </c>
      <c r="C277" t="s">
        <v>8</v>
      </c>
      <c r="E277" s="3">
        <f t="shared" si="12"/>
        <v>5</v>
      </c>
      <c r="F277" s="5">
        <v>44106.625</v>
      </c>
      <c r="G277" s="19" t="str">
        <f t="shared" si="13"/>
        <v/>
      </c>
      <c r="J277" s="28">
        <f t="shared" si="14"/>
        <v>0.46875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1625</v>
      </c>
      <c r="I280" s="28">
        <f>H280/H273-1</f>
        <v>0.43932683790965465</v>
      </c>
      <c r="J280" s="28">
        <f t="shared" si="14"/>
        <v>1.346774193548387</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0.84337349397590367</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0.2021276595744681</v>
      </c>
    </row>
    <row r="285" spans="1:10">
      <c r="A285" s="3">
        <v>110</v>
      </c>
      <c r="B285" t="s">
        <v>300</v>
      </c>
      <c r="C285" t="s">
        <v>8</v>
      </c>
      <c r="E285" s="3">
        <f t="shared" si="12"/>
        <v>6</v>
      </c>
      <c r="F285" s="5">
        <v>44114.625</v>
      </c>
      <c r="G285" s="19" t="str">
        <f t="shared" si="13"/>
        <v/>
      </c>
      <c r="J285" s="28">
        <f t="shared" si="14"/>
        <v>-0.3820224719101124</v>
      </c>
    </row>
    <row r="286" spans="1:10">
      <c r="A286" s="3">
        <v>131</v>
      </c>
      <c r="B286" t="s">
        <v>301</v>
      </c>
      <c r="C286" t="s">
        <v>8</v>
      </c>
      <c r="E286" s="3">
        <f t="shared" si="12"/>
        <v>7</v>
      </c>
      <c r="F286" s="5">
        <v>44115.625</v>
      </c>
      <c r="G286" s="19" t="str">
        <f t="shared" si="13"/>
        <v/>
      </c>
      <c r="J286" s="28">
        <f t="shared" si="14"/>
        <v>-0.11486486486486491</v>
      </c>
    </row>
    <row r="287" spans="1:10" s="10" customFormat="1">
      <c r="A287" s="14">
        <v>256</v>
      </c>
      <c r="B287" s="10" t="s">
        <v>305</v>
      </c>
      <c r="C287" s="10" t="s">
        <v>8</v>
      </c>
      <c r="E287" s="14">
        <f t="shared" si="12"/>
        <v>1</v>
      </c>
      <c r="F287" s="18">
        <v>44116.625</v>
      </c>
      <c r="G287" s="19" t="str">
        <f t="shared" si="13"/>
        <v>2020-W42</v>
      </c>
      <c r="H287">
        <f>SUM(A287:A293)</f>
        <v>1275</v>
      </c>
      <c r="I287" s="28">
        <f>H287/H280-1</f>
        <v>-0.2153846153846154</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129</v>
      </c>
      <c r="B293" t="s">
        <v>311</v>
      </c>
      <c r="C293" t="s">
        <v>8</v>
      </c>
      <c r="E293" s="3">
        <f t="shared" si="12"/>
        <v>7</v>
      </c>
      <c r="F293" s="5">
        <v>44122.625</v>
      </c>
      <c r="G293" s="19" t="str">
        <f t="shared" si="13"/>
        <v/>
      </c>
      <c r="J293" s="28">
        <f t="shared" si="14"/>
        <v>-1.5267175572519109E-2</v>
      </c>
    </row>
    <row r="294" spans="1:10" s="10" customFormat="1">
      <c r="A294" s="14">
        <v>243</v>
      </c>
      <c r="B294" s="10" t="s">
        <v>312</v>
      </c>
      <c r="C294" s="10" t="s">
        <v>8</v>
      </c>
      <c r="E294" s="14">
        <f t="shared" si="12"/>
        <v>1</v>
      </c>
      <c r="F294" s="18">
        <v>44123.625</v>
      </c>
      <c r="G294" s="19" t="str">
        <f t="shared" si="13"/>
        <v>2020-W43</v>
      </c>
      <c r="H294">
        <f>SUM(A294:A300)</f>
        <v>1242</v>
      </c>
      <c r="I294" s="28">
        <f>H294/H287-1</f>
        <v>-2.5882352941176467E-2</v>
      </c>
      <c r="J294" s="28">
        <f t="shared" si="14"/>
        <v>-5.078125E-2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-3.8759689922480578E-2</v>
      </c>
    </row>
    <row r="301" spans="1:10" s="10" customFormat="1">
      <c r="A301" s="14">
        <v>255</v>
      </c>
      <c r="B301" s="10" t="s">
        <v>319</v>
      </c>
      <c r="C301" s="10" t="s">
        <v>8</v>
      </c>
      <c r="E301" s="14">
        <f t="shared" si="12"/>
        <v>1</v>
      </c>
      <c r="F301" s="18">
        <v>44130.625</v>
      </c>
      <c r="G301" s="19" t="str">
        <f t="shared" si="13"/>
        <v>2020-W44</v>
      </c>
      <c r="H301">
        <f>SUM(A301:A307)</f>
        <v>1456</v>
      </c>
      <c r="I301" s="28">
        <f>H301/H294-1</f>
        <v>0.17230273752012892</v>
      </c>
      <c r="J301" s="28">
        <f t="shared" si="14"/>
        <v>4.9382716049382713E-2</v>
      </c>
    </row>
    <row r="302" spans="1:10">
      <c r="A302" s="3">
        <v>232</v>
      </c>
      <c r="B302" t="s">
        <v>320</v>
      </c>
      <c r="C302" t="s">
        <v>8</v>
      </c>
      <c r="E302" s="3">
        <f t="shared" si="12"/>
        <v>2</v>
      </c>
      <c r="F302" s="5">
        <v>44131.625</v>
      </c>
      <c r="G302" s="19" t="str">
        <f t="shared" si="13"/>
        <v/>
      </c>
      <c r="J302" s="28">
        <f t="shared" si="14"/>
        <v>0.38922155688622762</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151</v>
      </c>
      <c r="B307" t="s">
        <v>325</v>
      </c>
      <c r="C307" t="s">
        <v>8</v>
      </c>
      <c r="E307" s="3">
        <f t="shared" si="12"/>
        <v>7</v>
      </c>
      <c r="F307" s="5">
        <v>44136.625</v>
      </c>
      <c r="G307" s="19" t="str">
        <f t="shared" si="13"/>
        <v/>
      </c>
      <c r="J307" s="28">
        <f t="shared" si="14"/>
        <v>0.217741935483871</v>
      </c>
    </row>
    <row r="308" spans="1:10" s="10" customFormat="1">
      <c r="A308" s="14">
        <v>288</v>
      </c>
      <c r="B308" s="10" t="s">
        <v>326</v>
      </c>
      <c r="C308" s="10" t="s">
        <v>8</v>
      </c>
      <c r="E308" s="14">
        <f t="shared" si="12"/>
        <v>1</v>
      </c>
      <c r="F308" s="18">
        <v>44137.625</v>
      </c>
      <c r="G308" s="19" t="str">
        <f t="shared" si="13"/>
        <v>2020-W45</v>
      </c>
      <c r="H308">
        <f>SUM(A308:A314)</f>
        <v>1417</v>
      </c>
      <c r="I308" s="28">
        <f>H308/H301-1</f>
        <v>-2.6785714285714302E-2</v>
      </c>
      <c r="J308" s="28">
        <f t="shared" si="14"/>
        <v>0.12941176470588234</v>
      </c>
    </row>
    <row r="309" spans="1:10">
      <c r="A309" s="3">
        <v>241</v>
      </c>
      <c r="B309" t="s">
        <v>327</v>
      </c>
      <c r="C309" t="s">
        <v>8</v>
      </c>
      <c r="E309" s="3">
        <f t="shared" si="12"/>
        <v>2</v>
      </c>
      <c r="F309" s="5">
        <v>44138.625</v>
      </c>
      <c r="G309" s="19" t="str">
        <f t="shared" si="13"/>
        <v/>
      </c>
      <c r="J309" s="28">
        <f t="shared" si="14"/>
        <v>3.8793103448275801E-2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-0.1258278145695364</v>
      </c>
    </row>
    <row r="315" spans="1:10">
      <c r="A315" s="3">
        <v>273</v>
      </c>
      <c r="B315" t="s">
        <v>333</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268</v>
      </c>
      <c r="B327" t="s">
        <v>347</v>
      </c>
      <c r="C327" t="s">
        <v>8</v>
      </c>
      <c r="E327" s="3">
        <f t="shared" si="17"/>
        <v>6</v>
      </c>
      <c r="F327" s="5">
        <v>44156.625</v>
      </c>
      <c r="G327" s="19" t="str">
        <f t="shared" si="16"/>
        <v/>
      </c>
      <c r="J327" s="28">
        <f t="shared" si="14"/>
        <v>0.84827586206896544</v>
      </c>
    </row>
    <row r="328" spans="1:10">
      <c r="A328" s="3">
        <v>266</v>
      </c>
      <c r="B328" t="s">
        <v>348</v>
      </c>
      <c r="C328" t="s">
        <v>8</v>
      </c>
      <c r="E328" s="3">
        <f t="shared" si="17"/>
        <v>7</v>
      </c>
      <c r="F328" s="5">
        <v>44157.625</v>
      </c>
      <c r="G328" s="19" t="str">
        <f t="shared" si="16"/>
        <v/>
      </c>
      <c r="J328" s="28">
        <f t="shared" si="14"/>
        <v>0.46961325966850831</v>
      </c>
    </row>
    <row r="329" spans="1:10">
      <c r="A329" s="3">
        <v>504</v>
      </c>
      <c r="B329" t="s">
        <v>349</v>
      </c>
      <c r="C329" t="s">
        <v>8</v>
      </c>
      <c r="E329" s="3">
        <f t="shared" si="17"/>
        <v>1</v>
      </c>
      <c r="F329" s="5">
        <v>44158.625</v>
      </c>
      <c r="G329" s="19" t="str">
        <f t="shared" si="16"/>
        <v>2020-W48</v>
      </c>
      <c r="H329">
        <f>SUM(A329:A335)</f>
        <v>3137</v>
      </c>
      <c r="I329" s="28">
        <f>H329/H322-1</f>
        <v>0.20793222949557189</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510</v>
      </c>
      <c r="B332" t="s">
        <v>354</v>
      </c>
      <c r="C332" t="s">
        <v>8</v>
      </c>
      <c r="E332" s="3">
        <f t="shared" si="17"/>
        <v>4</v>
      </c>
      <c r="F332" s="5">
        <v>44161.625</v>
      </c>
      <c r="G332" s="19" t="str">
        <f t="shared" si="16"/>
        <v/>
      </c>
      <c r="J332" s="28">
        <f t="shared" si="18"/>
        <v>6.6945606694560622E-2</v>
      </c>
    </row>
    <row r="333" spans="1:10">
      <c r="A333" s="3">
        <v>456</v>
      </c>
      <c r="B333" t="s">
        <v>355</v>
      </c>
      <c r="C333" t="s">
        <v>8</v>
      </c>
      <c r="E333" s="3">
        <f t="shared" si="17"/>
        <v>5</v>
      </c>
      <c r="F333" s="5">
        <v>44162.625</v>
      </c>
      <c r="G333" s="19" t="str">
        <f t="shared" si="16"/>
        <v/>
      </c>
      <c r="J333" s="28">
        <f t="shared" si="18"/>
        <v>6.5420560747663448E-2</v>
      </c>
    </row>
    <row r="334" spans="1:10">
      <c r="A334" s="3">
        <v>284</v>
      </c>
      <c r="B334" t="s">
        <v>356</v>
      </c>
      <c r="C334" t="s">
        <v>8</v>
      </c>
      <c r="E334" s="3">
        <f t="shared" si="17"/>
        <v>6</v>
      </c>
      <c r="F334" s="5">
        <v>44163.625</v>
      </c>
      <c r="G334" s="19" t="str">
        <f t="shared" si="16"/>
        <v/>
      </c>
      <c r="J334" s="28">
        <f t="shared" si="18"/>
        <v>5.9701492537313383E-2</v>
      </c>
    </row>
    <row r="335" spans="1:10">
      <c r="A335" s="3">
        <v>293</v>
      </c>
      <c r="B335" t="s">
        <v>357</v>
      </c>
      <c r="C335" t="s">
        <v>8</v>
      </c>
      <c r="E335" s="3">
        <f t="shared" si="17"/>
        <v>7</v>
      </c>
      <c r="F335" s="5">
        <v>44164.625</v>
      </c>
      <c r="G335" s="19" t="str">
        <f t="shared" si="16"/>
        <v/>
      </c>
      <c r="J335" s="28">
        <f t="shared" si="18"/>
        <v>0.10150375939849621</v>
      </c>
    </row>
    <row r="336" spans="1:10">
      <c r="A336" s="3">
        <v>595</v>
      </c>
      <c r="B336" t="s">
        <v>358</v>
      </c>
      <c r="C336" t="s">
        <v>8</v>
      </c>
      <c r="E336" s="3">
        <f t="shared" si="17"/>
        <v>1</v>
      </c>
      <c r="F336" s="5">
        <v>44165.625</v>
      </c>
      <c r="G336" s="19" t="str">
        <f t="shared" si="16"/>
        <v>2020-W49</v>
      </c>
      <c r="H336">
        <f>SUM(A336:A342)</f>
        <v>3011</v>
      </c>
      <c r="I336" s="28">
        <f>H336/H329-1</f>
        <v>-4.0165763468281823E-2</v>
      </c>
      <c r="J336" s="28">
        <f t="shared" si="18"/>
        <v>0.18055555555555558</v>
      </c>
    </row>
    <row r="337" spans="1:10">
      <c r="A337" s="3">
        <v>439</v>
      </c>
      <c r="B337" t="s">
        <v>360</v>
      </c>
      <c r="C337" t="s">
        <v>8</v>
      </c>
      <c r="E337" s="3">
        <f t="shared" si="17"/>
        <v>2</v>
      </c>
      <c r="F337" s="5">
        <v>44166.625</v>
      </c>
      <c r="G337" s="19" t="str">
        <f t="shared" si="16"/>
        <v/>
      </c>
      <c r="J337" s="28">
        <f t="shared" si="18"/>
        <v>-6.7940552016985123E-2</v>
      </c>
    </row>
    <row r="338" spans="1:10">
      <c r="A338" s="3">
        <v>495</v>
      </c>
      <c r="B338" t="s">
        <v>361</v>
      </c>
      <c r="C338" t="s">
        <v>8</v>
      </c>
      <c r="E338" s="3">
        <f t="shared" si="17"/>
        <v>3</v>
      </c>
      <c r="F338" s="5">
        <v>44167.625</v>
      </c>
      <c r="G338" s="19" t="str">
        <f t="shared" si="16"/>
        <v/>
      </c>
      <c r="J338" s="28">
        <f t="shared" si="18"/>
        <v>-0.20032310177705981</v>
      </c>
    </row>
    <row r="339" spans="1:10">
      <c r="A339" s="3">
        <v>477</v>
      </c>
      <c r="B339" t="s">
        <v>362</v>
      </c>
      <c r="C339" t="s">
        <v>8</v>
      </c>
      <c r="E339" s="3">
        <f t="shared" si="17"/>
        <v>4</v>
      </c>
      <c r="F339" s="5">
        <v>44168.625</v>
      </c>
      <c r="G339" s="19" t="str">
        <f t="shared" si="16"/>
        <v/>
      </c>
      <c r="J339" s="28">
        <f t="shared" si="18"/>
        <v>-6.4705882352941169E-2</v>
      </c>
    </row>
    <row r="340" spans="1:10">
      <c r="A340" s="3">
        <v>472</v>
      </c>
      <c r="B340" t="s">
        <v>363</v>
      </c>
      <c r="C340" t="s">
        <v>8</v>
      </c>
      <c r="E340" s="3">
        <f t="shared" si="17"/>
        <v>5</v>
      </c>
      <c r="F340" s="5">
        <v>44169.625</v>
      </c>
      <c r="G340" s="19" t="str">
        <f t="shared" si="16"/>
        <v/>
      </c>
      <c r="J340" s="28">
        <f t="shared" si="18"/>
        <v>3.5087719298245723E-2</v>
      </c>
    </row>
    <row r="341" spans="1:10">
      <c r="A341" s="3">
        <v>250</v>
      </c>
      <c r="B341" t="s">
        <v>364</v>
      </c>
      <c r="C341" t="s">
        <v>8</v>
      </c>
      <c r="E341" s="3">
        <f t="shared" si="17"/>
        <v>6</v>
      </c>
      <c r="F341" s="5">
        <v>44170.625</v>
      </c>
      <c r="G341" s="19" t="str">
        <f t="shared" si="16"/>
        <v/>
      </c>
      <c r="J341" s="28">
        <f t="shared" si="18"/>
        <v>-0.11971830985915488</v>
      </c>
    </row>
    <row r="342" spans="1:10">
      <c r="A342" s="3">
        <v>283</v>
      </c>
      <c r="B342" t="s">
        <v>365</v>
      </c>
      <c r="C342" t="s">
        <v>8</v>
      </c>
      <c r="E342" s="3">
        <f t="shared" si="17"/>
        <v>7</v>
      </c>
      <c r="F342" s="5">
        <v>44171.625</v>
      </c>
      <c r="G342" s="19" t="str">
        <f t="shared" si="16"/>
        <v/>
      </c>
      <c r="J342" s="28">
        <f t="shared" si="18"/>
        <v>-3.4129692832764458E-2</v>
      </c>
    </row>
    <row r="343" spans="1:10">
      <c r="A343" s="3">
        <v>587</v>
      </c>
      <c r="B343" t="s">
        <v>366</v>
      </c>
      <c r="C343" t="s">
        <v>8</v>
      </c>
      <c r="E343" s="3">
        <f t="shared" si="17"/>
        <v>1</v>
      </c>
      <c r="F343" s="5">
        <v>44172.625</v>
      </c>
      <c r="G343" s="19" t="str">
        <f t="shared" si="16"/>
        <v>2020-W50</v>
      </c>
      <c r="H343">
        <f>SUM(A343:A349)</f>
        <v>2904</v>
      </c>
      <c r="I343" s="28">
        <f>H343/H336-1</f>
        <v>-3.5536366655596119E-2</v>
      </c>
      <c r="J343" s="28">
        <f t="shared" si="18"/>
        <v>-1.3445378151260456E-2</v>
      </c>
    </row>
    <row r="344" spans="1:10">
      <c r="A344" s="3">
        <v>478</v>
      </c>
      <c r="B344" t="s">
        <v>367</v>
      </c>
      <c r="C344" t="s">
        <v>8</v>
      </c>
      <c r="E344" s="3">
        <f t="shared" si="17"/>
        <v>2</v>
      </c>
      <c r="F344" s="5">
        <v>44173.625</v>
      </c>
      <c r="G344" s="19" t="str">
        <f t="shared" si="16"/>
        <v/>
      </c>
      <c r="J344" s="28">
        <f t="shared" si="18"/>
        <v>8.8838268792710728E-2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-0.14675052410901468</v>
      </c>
    </row>
    <row r="347" spans="1:10">
      <c r="A347" s="3">
        <v>445</v>
      </c>
      <c r="B347" t="s">
        <v>370</v>
      </c>
      <c r="C347" t="s">
        <v>8</v>
      </c>
      <c r="E347" s="3">
        <f t="shared" si="17"/>
        <v>5</v>
      </c>
      <c r="F347" s="5">
        <v>44176.625</v>
      </c>
      <c r="G347" s="19" t="str">
        <f t="shared" si="16"/>
        <v/>
      </c>
      <c r="J347" s="28">
        <f t="shared" si="18"/>
        <v>-5.7203389830508433E-2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-2.4734982332155431E-2</v>
      </c>
    </row>
    <row r="350" spans="1:10">
      <c r="A350" s="3">
        <v>463</v>
      </c>
      <c r="B350" t="s">
        <v>373</v>
      </c>
      <c r="C350" t="s">
        <v>8</v>
      </c>
      <c r="E350" s="3">
        <f t="shared" si="17"/>
        <v>1</v>
      </c>
      <c r="F350" s="5">
        <v>44179.625</v>
      </c>
      <c r="G350" s="19" t="str">
        <f t="shared" si="16"/>
        <v>2020-W51</v>
      </c>
      <c r="H350">
        <f>SUM(A350:A356)</f>
        <v>2326</v>
      </c>
      <c r="I350" s="28">
        <f>H350/H343-1</f>
        <v>-0.19903581267217629</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393</v>
      </c>
      <c r="B354" t="s">
        <v>377</v>
      </c>
      <c r="C354" t="s">
        <v>8</v>
      </c>
      <c r="E354" s="3">
        <f t="shared" si="17"/>
        <v>5</v>
      </c>
      <c r="F354" s="5">
        <v>44183.625</v>
      </c>
      <c r="G354" s="19" t="str">
        <f t="shared" si="16"/>
        <v/>
      </c>
      <c r="J354" s="28">
        <f t="shared" si="18"/>
        <v>-0.11685393258426968</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277</v>
      </c>
      <c r="B359" t="s">
        <v>382</v>
      </c>
      <c r="C359" t="s">
        <v>8</v>
      </c>
      <c r="E359" s="3">
        <f t="shared" si="17"/>
        <v>3</v>
      </c>
      <c r="F359" s="5">
        <v>44188.625</v>
      </c>
      <c r="G359" s="19" t="str">
        <f t="shared" si="16"/>
        <v/>
      </c>
      <c r="J359" s="28">
        <f t="shared" si="18"/>
        <v>-0.2152974504249292</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-0.60050890585241734</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1754</v>
      </c>
      <c r="I364" s="28">
        <f>H364/H357-1</f>
        <v>6.1101028433151905E-2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255</v>
      </c>
      <c r="B366" t="s">
        <v>389</v>
      </c>
      <c r="C366" t="s">
        <v>8</v>
      </c>
      <c r="E366" s="3">
        <f t="shared" si="17"/>
        <v>3</v>
      </c>
      <c r="F366" s="5">
        <v>44195.625</v>
      </c>
      <c r="G366" s="19" t="str">
        <f t="shared" si="16"/>
        <v/>
      </c>
      <c r="J366" s="28">
        <f t="shared" si="18"/>
        <v>-7.9422382671480163E-2</v>
      </c>
    </row>
    <row r="367" spans="1:10">
      <c r="A367" s="3">
        <v>253</v>
      </c>
      <c r="B367" t="s">
        <v>390</v>
      </c>
      <c r="C367" t="s">
        <v>8</v>
      </c>
      <c r="E367" s="3">
        <f t="shared" si="17"/>
        <v>4</v>
      </c>
      <c r="F367" s="5">
        <v>44196.625</v>
      </c>
      <c r="G367" s="19" t="str">
        <f t="shared" si="16"/>
        <v/>
      </c>
      <c r="J367" s="28">
        <f t="shared" si="18"/>
        <v>0.83333333333333326</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4.5610034207525629E-2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-0.18039215686274512</v>
      </c>
    </row>
    <row r="374" spans="1:10">
      <c r="A374" s="3">
        <v>332</v>
      </c>
      <c r="B374" t="s">
        <v>397</v>
      </c>
      <c r="C374" t="s">
        <v>8</v>
      </c>
      <c r="E374" s="3">
        <f t="shared" si="17"/>
        <v>4</v>
      </c>
      <c r="F374" s="5">
        <v>44203.625</v>
      </c>
      <c r="G374" s="19" t="str">
        <f t="shared" si="16"/>
        <v/>
      </c>
      <c r="J374" s="28">
        <f t="shared" si="18"/>
        <v>0.31225296442687744</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1756</v>
      </c>
      <c r="I378" s="28">
        <f>H378/H371-1</f>
        <v>-4.2529989094874598E-2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259</v>
      </c>
      <c r="B380" t="s">
        <v>403</v>
      </c>
      <c r="C380" t="s">
        <v>8</v>
      </c>
      <c r="E380" s="3">
        <f t="shared" si="17"/>
        <v>3</v>
      </c>
      <c r="F380" s="5">
        <v>44209.625</v>
      </c>
      <c r="G380" s="19" t="str">
        <f t="shared" si="16"/>
        <v/>
      </c>
      <c r="J380" s="28">
        <f t="shared" si="18"/>
        <v>0.23923444976076547</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196</v>
      </c>
      <c r="B384" t="s">
        <v>407</v>
      </c>
      <c r="C384" t="s">
        <v>8</v>
      </c>
      <c r="E384" s="3">
        <f t="shared" si="19"/>
        <v>7</v>
      </c>
      <c r="F384" s="5">
        <v>44213.625</v>
      </c>
      <c r="G384" s="19" t="str">
        <f t="shared" si="16"/>
        <v/>
      </c>
      <c r="J384" s="28">
        <f t="shared" si="18"/>
        <v>5.3763440860215006E-2</v>
      </c>
    </row>
    <row r="385" spans="1:10">
      <c r="A385" s="3">
        <v>448</v>
      </c>
      <c r="B385" t="s">
        <v>408</v>
      </c>
      <c r="C385" t="s">
        <v>8</v>
      </c>
      <c r="E385" s="3">
        <f t="shared" si="19"/>
        <v>1</v>
      </c>
      <c r="F385" s="5">
        <v>44214.625</v>
      </c>
      <c r="G385" s="19" t="str">
        <f t="shared" si="16"/>
        <v>2021-W03</v>
      </c>
      <c r="H385">
        <f>SUM(A385:A391)</f>
        <v>2349</v>
      </c>
      <c r="I385" s="28">
        <f>H385/H378-1</f>
        <v>0.33769931662870167</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0.56756756756756754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0.26020408163265296</v>
      </c>
    </row>
    <row r="392" spans="1:10">
      <c r="A392" s="3">
        <v>605</v>
      </c>
      <c r="B392" t="s">
        <v>415</v>
      </c>
      <c r="C392" t="s">
        <v>8</v>
      </c>
      <c r="E392" s="3">
        <f t="shared" si="19"/>
        <v>1</v>
      </c>
      <c r="F392" s="5">
        <v>44221.625</v>
      </c>
      <c r="G392" s="19" t="str">
        <f t="shared" si="20"/>
        <v>2021-W04</v>
      </c>
      <c r="H392">
        <f>SUM(A392:A398)</f>
        <v>2701</v>
      </c>
      <c r="I392" s="28">
        <f>H392/H385-1</f>
        <v>0.14985100042571298</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377</v>
      </c>
      <c r="B396" t="s">
        <v>419</v>
      </c>
      <c r="C396" t="s">
        <v>8</v>
      </c>
      <c r="E396" s="3">
        <f t="shared" si="19"/>
        <v>5</v>
      </c>
      <c r="F396" s="5">
        <v>44225.625</v>
      </c>
      <c r="G396" s="19" t="str">
        <f t="shared" si="20"/>
        <v/>
      </c>
      <c r="J396" s="28">
        <f t="shared" si="21"/>
        <v>4.4321329639889218E-2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2614</v>
      </c>
      <c r="I399" s="28">
        <f>H399/H392-1</f>
        <v>-3.2210292484265102E-2</v>
      </c>
      <c r="J399" s="28">
        <f t="shared" si="21"/>
        <v>-0.11735537190082646</v>
      </c>
    </row>
    <row r="400" spans="1:10">
      <c r="A400" s="3">
        <v>396</v>
      </c>
      <c r="B400" t="s">
        <v>424</v>
      </c>
      <c r="C400" t="s">
        <v>8</v>
      </c>
      <c r="E400" s="3">
        <f t="shared" si="19"/>
        <v>2</v>
      </c>
      <c r="F400" s="5">
        <v>44229.625</v>
      </c>
      <c r="G400" s="19" t="str">
        <f t="shared" si="20"/>
        <v/>
      </c>
      <c r="J400" s="28">
        <f t="shared" si="21"/>
        <v>-2.5188916876573986E-3</v>
      </c>
    </row>
    <row r="401" spans="1:10">
      <c r="A401" s="3">
        <v>441</v>
      </c>
      <c r="B401" t="s">
        <v>425</v>
      </c>
      <c r="C401" t="s">
        <v>8</v>
      </c>
      <c r="E401" s="3">
        <f t="shared" si="19"/>
        <v>3</v>
      </c>
      <c r="F401" s="5">
        <v>44230.625</v>
      </c>
      <c r="G401" s="19" t="str">
        <f t="shared" si="20"/>
        <v/>
      </c>
      <c r="J401" s="28">
        <f t="shared" si="21"/>
        <v>0.15445026178010468</v>
      </c>
    </row>
    <row r="402" spans="1:10">
      <c r="A402" s="3">
        <v>372</v>
      </c>
      <c r="B402" t="s">
        <v>426</v>
      </c>
      <c r="C402" t="s">
        <v>8</v>
      </c>
      <c r="E402" s="3">
        <f t="shared" si="19"/>
        <v>4</v>
      </c>
      <c r="F402" s="5">
        <v>44231.625</v>
      </c>
      <c r="G402" s="19" t="str">
        <f t="shared" si="20"/>
        <v/>
      </c>
      <c r="J402" s="28">
        <f t="shared" si="21"/>
        <v>-0.14482758620689651</v>
      </c>
    </row>
    <row r="403" spans="1:10">
      <c r="A403" s="3">
        <v>368</v>
      </c>
      <c r="B403" t="s">
        <v>427</v>
      </c>
      <c r="C403" t="s">
        <v>8</v>
      </c>
      <c r="E403" s="3">
        <f t="shared" si="19"/>
        <v>5</v>
      </c>
      <c r="F403" s="5">
        <v>44232.625</v>
      </c>
      <c r="G403" s="19" t="str">
        <f t="shared" si="20"/>
        <v/>
      </c>
      <c r="J403" s="28">
        <f t="shared" si="21"/>
        <v>-2.3872679045092826E-2</v>
      </c>
    </row>
    <row r="404" spans="1:10">
      <c r="A404" s="3">
        <v>239</v>
      </c>
      <c r="B404" t="s">
        <v>428</v>
      </c>
      <c r="C404" t="s">
        <v>8</v>
      </c>
      <c r="E404" s="3">
        <f t="shared" si="19"/>
        <v>6</v>
      </c>
      <c r="F404" s="5">
        <v>44233.625</v>
      </c>
      <c r="G404" s="19" t="str">
        <f t="shared" si="20"/>
        <v/>
      </c>
      <c r="J404" s="28">
        <f t="shared" si="21"/>
        <v>3.0172413793103425E-2</v>
      </c>
    </row>
    <row r="405" spans="1:10">
      <c r="A405" s="3">
        <v>264</v>
      </c>
      <c r="B405" t="s">
        <v>429</v>
      </c>
      <c r="C405" t="s">
        <v>8</v>
      </c>
      <c r="E405" s="3">
        <f t="shared" si="19"/>
        <v>7</v>
      </c>
      <c r="F405" s="5">
        <v>44234.625</v>
      </c>
      <c r="G405" s="19" t="str">
        <f t="shared" si="20"/>
        <v/>
      </c>
      <c r="J405" s="28">
        <f t="shared" si="21"/>
        <v>-3.2967032967032961E-2</v>
      </c>
    </row>
    <row r="406" spans="1:10">
      <c r="A406" s="3">
        <v>462</v>
      </c>
      <c r="B406" t="s">
        <v>437</v>
      </c>
      <c r="C406" t="s">
        <v>8</v>
      </c>
      <c r="E406" s="3">
        <f t="shared" si="19"/>
        <v>1</v>
      </c>
      <c r="F406" s="5">
        <v>44235.625</v>
      </c>
      <c r="G406" s="19" t="str">
        <f t="shared" si="20"/>
        <v>2021-W06</v>
      </c>
      <c r="H406">
        <f>SUM(A406:A412)</f>
        <v>2556</v>
      </c>
      <c r="I406" s="28">
        <f>H406/H399-1</f>
        <v>-2.2188217291507217E-2</v>
      </c>
      <c r="J406" s="28">
        <f t="shared" si="21"/>
        <v>-0.1348314606741573</v>
      </c>
    </row>
    <row r="407" spans="1:10">
      <c r="A407" s="3">
        <v>372</v>
      </c>
      <c r="B407" t="s">
        <v>438</v>
      </c>
      <c r="C407" t="s">
        <v>8</v>
      </c>
      <c r="E407" s="3">
        <f t="shared" si="19"/>
        <v>2</v>
      </c>
      <c r="F407" s="5">
        <v>44236.625</v>
      </c>
      <c r="G407" s="19" t="str">
        <f t="shared" si="20"/>
        <v/>
      </c>
      <c r="J407" s="28">
        <f t="shared" si="21"/>
        <v>-6.0606060606060552E-2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-2.9569892473118253E-2</v>
      </c>
    </row>
    <row r="410" spans="1:10">
      <c r="A410" s="3">
        <v>418</v>
      </c>
      <c r="B410" t="s">
        <v>441</v>
      </c>
      <c r="C410" t="s">
        <v>8</v>
      </c>
      <c r="E410" s="3">
        <f t="shared" si="19"/>
        <v>5</v>
      </c>
      <c r="F410" s="5">
        <v>44239.625</v>
      </c>
      <c r="G410" s="19" t="str">
        <f t="shared" si="20"/>
        <v/>
      </c>
      <c r="J410" s="28">
        <f t="shared" si="21"/>
        <v>0.13586956521739135</v>
      </c>
    </row>
    <row r="411" spans="1:10">
      <c r="A411" s="3">
        <v>278</v>
      </c>
      <c r="B411" t="s">
        <v>442</v>
      </c>
      <c r="C411" t="s">
        <v>8</v>
      </c>
      <c r="E411" s="3">
        <f t="shared" si="19"/>
        <v>6</v>
      </c>
      <c r="F411" s="5">
        <v>44240.625</v>
      </c>
      <c r="G411" s="19" t="str">
        <f t="shared" si="20"/>
        <v/>
      </c>
      <c r="J411" s="28">
        <f t="shared" si="21"/>
        <v>0.16317991631799167</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3540</v>
      </c>
      <c r="I413" s="34">
        <f>H413/H406-1</f>
        <v>0.38497652582159625</v>
      </c>
      <c r="J413" s="28">
        <f t="shared" si="21"/>
        <v>0.33333333333333326</v>
      </c>
    </row>
    <row r="414" spans="1:10">
      <c r="A414" s="3">
        <v>515</v>
      </c>
      <c r="B414" t="s">
        <v>445</v>
      </c>
      <c r="C414" t="s">
        <v>8</v>
      </c>
      <c r="E414" s="3">
        <f t="shared" si="19"/>
        <v>2</v>
      </c>
      <c r="F414" s="5">
        <v>44243.625</v>
      </c>
      <c r="G414" s="19" t="str">
        <f t="shared" si="20"/>
        <v/>
      </c>
      <c r="J414" s="28">
        <f t="shared" si="21"/>
        <v>0.38440860215053774</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571</v>
      </c>
      <c r="B417" t="s">
        <v>448</v>
      </c>
      <c r="C417" t="s">
        <v>8</v>
      </c>
      <c r="E417" s="3">
        <f t="shared" si="19"/>
        <v>5</v>
      </c>
      <c r="F417" s="5">
        <v>44246.625</v>
      </c>
      <c r="G417" s="19" t="str">
        <f t="shared" si="20"/>
        <v/>
      </c>
      <c r="J417" s="28">
        <f t="shared" si="21"/>
        <v>0.36602870813397126</v>
      </c>
    </row>
    <row r="418" spans="1:10">
      <c r="A418" s="3">
        <v>318</v>
      </c>
      <c r="B418" t="s">
        <v>450</v>
      </c>
      <c r="C418" t="s">
        <v>8</v>
      </c>
      <c r="E418" s="3">
        <f t="shared" si="19"/>
        <v>6</v>
      </c>
      <c r="F418" s="5">
        <v>44247.625</v>
      </c>
      <c r="G418" s="19" t="str">
        <f t="shared" si="20"/>
        <v/>
      </c>
      <c r="J418" s="28">
        <f t="shared" si="21"/>
        <v>0.14388489208633093</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3981</v>
      </c>
      <c r="I420" s="28">
        <f>H420/H413-1</f>
        <v>0.12457627118644066</v>
      </c>
      <c r="J420" s="28">
        <f t="shared" si="21"/>
        <v>1.1363636363636465E-2</v>
      </c>
    </row>
    <row r="421" spans="1:10">
      <c r="A421" s="3">
        <v>626</v>
      </c>
      <c r="B421" t="s">
        <v>455</v>
      </c>
      <c r="C421" t="s">
        <v>8</v>
      </c>
      <c r="E421" s="3">
        <f t="shared" si="19"/>
        <v>2</v>
      </c>
      <c r="F421" s="5">
        <v>44250.625</v>
      </c>
      <c r="G421" s="19" t="str">
        <f t="shared" si="20"/>
        <v/>
      </c>
      <c r="J421" s="28">
        <f t="shared" si="21"/>
        <v>0.21553398058252426</v>
      </c>
    </row>
    <row r="422" spans="1:10">
      <c r="A422" s="3">
        <v>598</v>
      </c>
      <c r="B422" t="s">
        <v>461</v>
      </c>
      <c r="C422" t="s">
        <v>8</v>
      </c>
      <c r="E422" s="3">
        <f t="shared" si="19"/>
        <v>3</v>
      </c>
      <c r="F422" s="5">
        <v>44251.625</v>
      </c>
      <c r="G422" s="19" t="str">
        <f t="shared" si="20"/>
        <v/>
      </c>
      <c r="J422" s="28">
        <f t="shared" si="21"/>
        <v>8.1374321880651079E-2</v>
      </c>
    </row>
    <row r="423" spans="1:10">
      <c r="A423" s="3">
        <v>627</v>
      </c>
      <c r="B423" t="s">
        <v>463</v>
      </c>
      <c r="C423" t="s">
        <v>8</v>
      </c>
      <c r="E423" s="3">
        <f t="shared" si="19"/>
        <v>4</v>
      </c>
      <c r="F423" s="5">
        <v>44252.625</v>
      </c>
      <c r="G423" s="19" t="str">
        <f t="shared" si="20"/>
        <v/>
      </c>
      <c r="J423" s="28">
        <f t="shared" si="21"/>
        <v>2.6186579378068675E-2</v>
      </c>
    </row>
    <row r="424" spans="1:10">
      <c r="A424" s="3">
        <v>687</v>
      </c>
      <c r="B424" t="s">
        <v>464</v>
      </c>
      <c r="C424" t="s">
        <v>8</v>
      </c>
      <c r="E424" s="3">
        <f t="shared" si="19"/>
        <v>5</v>
      </c>
      <c r="F424" s="5">
        <v>44253.625</v>
      </c>
      <c r="G424" s="19" t="str">
        <f t="shared" si="20"/>
        <v/>
      </c>
      <c r="J424" s="28">
        <f t="shared" si="21"/>
        <v>0.20315236427320493</v>
      </c>
    </row>
    <row r="425" spans="1:10">
      <c r="A425" s="3">
        <v>401</v>
      </c>
      <c r="B425" t="s">
        <v>469</v>
      </c>
      <c r="C425" t="s">
        <v>8</v>
      </c>
      <c r="E425" s="3">
        <f t="shared" si="19"/>
        <v>6</v>
      </c>
      <c r="F425" s="5">
        <v>44254.625</v>
      </c>
      <c r="G425" s="19" t="str">
        <f t="shared" si="20"/>
        <v/>
      </c>
      <c r="J425" s="28">
        <f t="shared" si="21"/>
        <v>0.26100628930817615</v>
      </c>
    </row>
    <row r="426" spans="1:10">
      <c r="A426" s="3">
        <v>419</v>
      </c>
      <c r="B426" t="s">
        <v>470</v>
      </c>
      <c r="C426" t="s">
        <v>8</v>
      </c>
      <c r="E426" s="3">
        <f t="shared" si="19"/>
        <v>7</v>
      </c>
      <c r="F426" s="5">
        <v>44255.625</v>
      </c>
      <c r="G426" s="19" t="str">
        <f t="shared" si="20"/>
        <v/>
      </c>
      <c r="J426" s="28">
        <f t="shared" si="21"/>
        <v>0.17696629213483139</v>
      </c>
    </row>
    <row r="427" spans="1:10">
      <c r="A427" s="3">
        <v>871</v>
      </c>
      <c r="B427" t="s">
        <v>471</v>
      </c>
      <c r="C427" t="s">
        <v>8</v>
      </c>
      <c r="E427" s="3">
        <f t="shared" si="19"/>
        <v>1</v>
      </c>
      <c r="F427" s="5">
        <v>44256.625</v>
      </c>
      <c r="G427" s="19" t="str">
        <f t="shared" si="20"/>
        <v>2021-W09</v>
      </c>
      <c r="H427">
        <f>SUM(A427:A433)</f>
        <v>4459</v>
      </c>
      <c r="I427" s="28">
        <f>H427/H420-1</f>
        <v>0.12007033408691292</v>
      </c>
      <c r="J427" s="28">
        <f t="shared" si="21"/>
        <v>0.39807383627608339</v>
      </c>
    </row>
    <row r="428" spans="1:10">
      <c r="A428" s="3">
        <v>759</v>
      </c>
      <c r="B428" t="s">
        <v>472</v>
      </c>
      <c r="C428" t="s">
        <v>8</v>
      </c>
      <c r="E428" s="3">
        <f t="shared" si="19"/>
        <v>2</v>
      </c>
      <c r="F428" s="5">
        <v>44257.625</v>
      </c>
      <c r="G428" s="19" t="str">
        <f t="shared" si="20"/>
        <v/>
      </c>
      <c r="J428" s="28">
        <f t="shared" si="21"/>
        <v>0.21246006389776362</v>
      </c>
    </row>
    <row r="429" spans="1:10">
      <c r="A429" s="3">
        <v>732</v>
      </c>
      <c r="B429" t="s">
        <v>473</v>
      </c>
      <c r="C429" t="s">
        <v>8</v>
      </c>
      <c r="E429" s="3">
        <f t="shared" si="19"/>
        <v>3</v>
      </c>
      <c r="F429" s="5">
        <v>44258.625</v>
      </c>
      <c r="G429" s="19" t="str">
        <f t="shared" si="20"/>
        <v/>
      </c>
      <c r="J429" s="28">
        <f t="shared" si="21"/>
        <v>0.2240802675585285</v>
      </c>
    </row>
    <row r="430" spans="1:10">
      <c r="A430" s="3">
        <v>640</v>
      </c>
      <c r="B430" t="s">
        <v>474</v>
      </c>
      <c r="C430" t="s">
        <v>8</v>
      </c>
      <c r="E430" s="3">
        <f t="shared" si="19"/>
        <v>4</v>
      </c>
      <c r="F430" s="5">
        <v>44259.625</v>
      </c>
      <c r="G430" s="19" t="str">
        <f t="shared" si="20"/>
        <v/>
      </c>
      <c r="J430" s="28">
        <f t="shared" si="21"/>
        <v>2.0733652312599604E-2</v>
      </c>
    </row>
    <row r="431" spans="1:10">
      <c r="A431" s="3">
        <v>630</v>
      </c>
      <c r="B431" t="s">
        <v>475</v>
      </c>
      <c r="C431" t="s">
        <v>8</v>
      </c>
      <c r="E431" s="3">
        <f t="shared" si="19"/>
        <v>5</v>
      </c>
      <c r="F431" s="5">
        <v>44260.625</v>
      </c>
      <c r="G431" s="19" t="str">
        <f t="shared" si="20"/>
        <v/>
      </c>
      <c r="J431" s="28">
        <f t="shared" si="21"/>
        <v>-8.2969432314410452E-2</v>
      </c>
    </row>
    <row r="432" spans="1:10">
      <c r="A432" s="3">
        <v>431</v>
      </c>
      <c r="B432" t="s">
        <v>476</v>
      </c>
      <c r="C432" t="s">
        <v>8</v>
      </c>
      <c r="E432" s="3">
        <f t="shared" si="19"/>
        <v>6</v>
      </c>
      <c r="F432" s="5">
        <v>44261.625</v>
      </c>
      <c r="G432" s="19" t="str">
        <f t="shared" si="20"/>
        <v/>
      </c>
      <c r="J432" s="28">
        <f t="shared" si="21"/>
        <v>7.4812967581047385E-2</v>
      </c>
    </row>
    <row r="433" spans="1:10">
      <c r="A433" s="3">
        <v>396</v>
      </c>
      <c r="B433" t="s">
        <v>477</v>
      </c>
      <c r="C433" t="s">
        <v>8</v>
      </c>
      <c r="E433" s="3">
        <f t="shared" si="19"/>
        <v>7</v>
      </c>
      <c r="F433" s="5">
        <v>44262.625</v>
      </c>
      <c r="G433" s="19" t="str">
        <f t="shared" si="20"/>
        <v/>
      </c>
      <c r="J433" s="28">
        <f t="shared" si="21"/>
        <v>-5.4892601431980936E-2</v>
      </c>
    </row>
    <row r="434" spans="1:10">
      <c r="A434" s="3">
        <v>834</v>
      </c>
      <c r="B434" t="s">
        <v>478</v>
      </c>
      <c r="C434" t="s">
        <v>8</v>
      </c>
      <c r="E434" s="3">
        <f t="shared" si="19"/>
        <v>1</v>
      </c>
      <c r="F434" s="5">
        <v>44263.625</v>
      </c>
      <c r="G434" s="19" t="str">
        <f t="shared" si="20"/>
        <v>2021-W10</v>
      </c>
      <c r="H434">
        <f>SUM(A434:A440)</f>
        <v>4941</v>
      </c>
      <c r="I434" s="28">
        <f>H434/H427-1</f>
        <v>0.10809598564700607</v>
      </c>
      <c r="J434" s="28">
        <f t="shared" si="21"/>
        <v>-4.2479908151549894E-2</v>
      </c>
    </row>
    <row r="435" spans="1:10">
      <c r="A435" s="3">
        <v>774</v>
      </c>
      <c r="B435" t="s">
        <v>479</v>
      </c>
      <c r="C435" t="s">
        <v>8</v>
      </c>
      <c r="E435" s="3">
        <f t="shared" si="19"/>
        <v>2</v>
      </c>
      <c r="F435" s="5">
        <v>44264.625</v>
      </c>
      <c r="G435" s="19" t="str">
        <f t="shared" si="20"/>
        <v/>
      </c>
      <c r="J435" s="28">
        <f t="shared" si="21"/>
        <v>1.9762845849802479E-2</v>
      </c>
    </row>
    <row r="436" spans="1:10">
      <c r="A436" s="3">
        <v>822</v>
      </c>
      <c r="B436" t="s">
        <v>480</v>
      </c>
      <c r="C436" t="s">
        <v>8</v>
      </c>
      <c r="E436" s="3">
        <f t="shared" si="19"/>
        <v>3</v>
      </c>
      <c r="F436" s="5">
        <v>44265.625</v>
      </c>
      <c r="G436" s="19" t="str">
        <f t="shared" si="20"/>
        <v/>
      </c>
      <c r="J436" s="28">
        <f t="shared" si="21"/>
        <v>0.12295081967213117</v>
      </c>
    </row>
    <row r="437" spans="1:10">
      <c r="A437" s="3">
        <v>779</v>
      </c>
      <c r="B437" t="s">
        <v>481</v>
      </c>
      <c r="C437" t="s">
        <v>8</v>
      </c>
      <c r="E437" s="3">
        <f t="shared" si="19"/>
        <v>4</v>
      </c>
      <c r="F437" s="5">
        <v>44266.625</v>
      </c>
      <c r="G437" s="19" t="str">
        <f t="shared" si="20"/>
        <v/>
      </c>
      <c r="J437" s="28">
        <f t="shared" si="21"/>
        <v>0.21718750000000009</v>
      </c>
    </row>
    <row r="438" spans="1:10">
      <c r="A438" s="3">
        <v>808</v>
      </c>
      <c r="B438" t="s">
        <v>482</v>
      </c>
      <c r="C438" t="s">
        <v>8</v>
      </c>
      <c r="E438" s="3">
        <f t="shared" si="19"/>
        <v>5</v>
      </c>
      <c r="F438" s="5">
        <v>44267.625</v>
      </c>
      <c r="G438" s="19" t="str">
        <f t="shared" si="20"/>
        <v/>
      </c>
      <c r="J438" s="28">
        <f t="shared" si="21"/>
        <v>0.28253968253968265</v>
      </c>
    </row>
    <row r="439" spans="1:10">
      <c r="A439" s="3">
        <v>491</v>
      </c>
      <c r="B439" t="s">
        <v>483</v>
      </c>
      <c r="C439" t="s">
        <v>8</v>
      </c>
      <c r="E439" s="3">
        <f t="shared" si="19"/>
        <v>6</v>
      </c>
      <c r="F439" s="5">
        <v>44268.625</v>
      </c>
      <c r="G439" s="19" t="str">
        <f t="shared" si="20"/>
        <v/>
      </c>
      <c r="J439" s="28">
        <f t="shared" si="21"/>
        <v>0.13921113689095121</v>
      </c>
    </row>
    <row r="440" spans="1:10">
      <c r="A440" s="3">
        <v>433</v>
      </c>
      <c r="B440" t="s">
        <v>484</v>
      </c>
      <c r="C440" t="s">
        <v>8</v>
      </c>
      <c r="E440" s="3">
        <f t="shared" si="19"/>
        <v>7</v>
      </c>
      <c r="F440" s="5">
        <v>44269.625</v>
      </c>
      <c r="G440" s="19" t="str">
        <f t="shared" si="20"/>
        <v/>
      </c>
      <c r="J440" s="28">
        <f t="shared" si="21"/>
        <v>9.3434343434343425E-2</v>
      </c>
    </row>
    <row r="441" spans="1:10">
      <c r="A441" s="3">
        <v>892</v>
      </c>
      <c r="B441" t="s">
        <v>485</v>
      </c>
      <c r="C441" t="s">
        <v>8</v>
      </c>
      <c r="E441" s="3">
        <f t="shared" si="19"/>
        <v>1</v>
      </c>
      <c r="F441" s="5">
        <v>44270.625</v>
      </c>
      <c r="G441" s="19" t="str">
        <f t="shared" si="20"/>
        <v>2021-W11</v>
      </c>
      <c r="H441">
        <f>SUM(A441:A447)</f>
        <v>4702</v>
      </c>
      <c r="I441" s="28">
        <f>H441/H434-1</f>
        <v>-4.8370775146731382E-2</v>
      </c>
      <c r="J441" s="28">
        <f t="shared" si="21"/>
        <v>6.9544364508393297E-2</v>
      </c>
    </row>
    <row r="442" spans="1:10">
      <c r="A442" s="3">
        <v>767</v>
      </c>
      <c r="B442" t="s">
        <v>486</v>
      </c>
      <c r="C442" t="s">
        <v>8</v>
      </c>
      <c r="E442" s="3">
        <f t="shared" si="19"/>
        <v>2</v>
      </c>
      <c r="F442" s="5">
        <v>44271.625</v>
      </c>
      <c r="G442" s="19" t="str">
        <f t="shared" si="20"/>
        <v/>
      </c>
      <c r="J442" s="28">
        <f t="shared" si="21"/>
        <v>-9.0439276485788644E-3</v>
      </c>
    </row>
    <row r="443" spans="1:10">
      <c r="A443" s="3">
        <v>743</v>
      </c>
      <c r="B443" t="s">
        <v>487</v>
      </c>
      <c r="C443" t="s">
        <v>8</v>
      </c>
      <c r="E443" s="3">
        <f t="shared" si="19"/>
        <v>3</v>
      </c>
      <c r="F443" s="5">
        <v>44272.625</v>
      </c>
      <c r="G443" s="19" t="str">
        <f t="shared" si="20"/>
        <v/>
      </c>
      <c r="J443" s="28">
        <f t="shared" si="21"/>
        <v>-9.6107055961070609E-2</v>
      </c>
    </row>
    <row r="444" spans="1:10">
      <c r="A444" s="3">
        <v>735</v>
      </c>
      <c r="B444" t="s">
        <v>488</v>
      </c>
      <c r="C444" t="s">
        <v>8</v>
      </c>
      <c r="E444" s="3">
        <f t="shared" si="19"/>
        <v>4</v>
      </c>
      <c r="F444" s="5">
        <v>44273.625</v>
      </c>
      <c r="G444" s="19" t="str">
        <f t="shared" si="20"/>
        <v/>
      </c>
      <c r="J444" s="28">
        <f t="shared" si="21"/>
        <v>-5.6482670089858744E-2</v>
      </c>
    </row>
    <row r="445" spans="1:10">
      <c r="A445" s="3">
        <v>744</v>
      </c>
      <c r="B445" t="s">
        <v>489</v>
      </c>
      <c r="C445" t="s">
        <v>8</v>
      </c>
      <c r="E445" s="3">
        <f t="shared" si="19"/>
        <v>5</v>
      </c>
      <c r="F445" s="5">
        <v>44274.625</v>
      </c>
      <c r="G445" s="19" t="str">
        <f t="shared" si="20"/>
        <v/>
      </c>
      <c r="J445" s="28">
        <f t="shared" si="21"/>
        <v>-7.9207920792079167E-2</v>
      </c>
    </row>
    <row r="446" spans="1:10">
      <c r="A446" s="3">
        <v>404</v>
      </c>
      <c r="B446" t="s">
        <v>490</v>
      </c>
      <c r="C446" t="s">
        <v>8</v>
      </c>
      <c r="E446" s="3">
        <f t="shared" si="19"/>
        <v>6</v>
      </c>
      <c r="F446" s="5">
        <v>44275.625</v>
      </c>
      <c r="G446" s="19" t="str">
        <f t="shared" si="20"/>
        <v/>
      </c>
      <c r="J446" s="28">
        <f t="shared" si="21"/>
        <v>-0.17718940936863548</v>
      </c>
    </row>
    <row r="447" spans="1:10">
      <c r="A447" s="3">
        <v>417</v>
      </c>
      <c r="B447" t="s">
        <v>491</v>
      </c>
      <c r="C447" t="s">
        <v>8</v>
      </c>
      <c r="E447" s="3">
        <f t="shared" ref="E447:E510" si="22">WEEKDAY(F447,2)</f>
        <v>7</v>
      </c>
      <c r="F447" s="5">
        <v>44276.625</v>
      </c>
      <c r="G447" s="19" t="str">
        <f t="shared" si="20"/>
        <v/>
      </c>
      <c r="J447" s="28">
        <f t="shared" si="21"/>
        <v>-3.6951501154734445E-2</v>
      </c>
    </row>
    <row r="448" spans="1:10">
      <c r="A448" s="3">
        <v>768</v>
      </c>
      <c r="B448" t="s">
        <v>492</v>
      </c>
      <c r="C448" t="s">
        <v>8</v>
      </c>
      <c r="E448" s="3">
        <f t="shared" si="22"/>
        <v>1</v>
      </c>
      <c r="F448" s="5">
        <v>44277.625</v>
      </c>
      <c r="G448" s="19" t="str">
        <f t="shared" si="20"/>
        <v>2021-W12</v>
      </c>
      <c r="H448">
        <f>SUM(A448:A454)</f>
        <v>4180</v>
      </c>
      <c r="I448" s="28">
        <f>H448/H441-1</f>
        <v>-0.11101658868566566</v>
      </c>
      <c r="J448" s="28">
        <f t="shared" si="21"/>
        <v>-0.13901345291479816</v>
      </c>
    </row>
    <row r="449" spans="1:10">
      <c r="A449" s="3">
        <v>703</v>
      </c>
      <c r="B449" t="s">
        <v>493</v>
      </c>
      <c r="C449" t="s">
        <v>8</v>
      </c>
      <c r="E449" s="3">
        <f t="shared" si="22"/>
        <v>2</v>
      </c>
      <c r="F449" s="5">
        <v>44278.625</v>
      </c>
      <c r="G449" s="19" t="str">
        <f t="shared" si="20"/>
        <v/>
      </c>
      <c r="J449" s="28">
        <f t="shared" si="21"/>
        <v>-8.3441981747066518E-2</v>
      </c>
    </row>
    <row r="450" spans="1:10">
      <c r="A450" s="3">
        <v>694</v>
      </c>
      <c r="B450" t="s">
        <v>494</v>
      </c>
      <c r="C450" t="s">
        <v>8</v>
      </c>
      <c r="E450" s="3">
        <f t="shared" si="22"/>
        <v>3</v>
      </c>
      <c r="F450" s="5">
        <v>44279.625</v>
      </c>
      <c r="G450" s="19" t="str">
        <f t="shared" si="20"/>
        <v/>
      </c>
      <c r="J450" s="28">
        <f t="shared" si="21"/>
        <v>-6.5948855989232835E-2</v>
      </c>
    </row>
    <row r="451" spans="1:10">
      <c r="A451" s="3">
        <v>606</v>
      </c>
      <c r="B451" t="s">
        <v>495</v>
      </c>
      <c r="C451" t="s">
        <v>8</v>
      </c>
      <c r="E451" s="3">
        <f t="shared" si="22"/>
        <v>4</v>
      </c>
      <c r="F451" s="5">
        <v>44280.625</v>
      </c>
      <c r="G451" s="19" t="str">
        <f t="shared" ref="G451:G514" si="23">IF(WEEKDAY(F451,2)=1,YEAR(F451)&amp;"-W"&amp;TEXT(WEEKNUM(F451,14),"00"),"")</f>
        <v/>
      </c>
      <c r="J451" s="28">
        <f t="shared" si="21"/>
        <v>-0.17551020408163265</v>
      </c>
    </row>
    <row r="452" spans="1:10">
      <c r="A452" s="3">
        <v>688</v>
      </c>
      <c r="B452" t="s">
        <v>496</v>
      </c>
      <c r="C452" t="s">
        <v>8</v>
      </c>
      <c r="E452" s="3">
        <f t="shared" si="22"/>
        <v>5</v>
      </c>
      <c r="F452" s="5">
        <v>44281.625</v>
      </c>
      <c r="G452" s="19" t="str">
        <f t="shared" si="23"/>
        <v/>
      </c>
      <c r="J452" s="28">
        <f t="shared" si="21"/>
        <v>-7.5268817204301119E-2</v>
      </c>
    </row>
    <row r="453" spans="1:10">
      <c r="A453" s="3">
        <v>351</v>
      </c>
      <c r="B453" t="s">
        <v>497</v>
      </c>
      <c r="C453" t="s">
        <v>8</v>
      </c>
      <c r="E453" s="3">
        <f t="shared" si="22"/>
        <v>6</v>
      </c>
      <c r="F453" s="5">
        <v>44282.625</v>
      </c>
      <c r="G453" s="19" t="str">
        <f t="shared" si="23"/>
        <v/>
      </c>
      <c r="J453" s="28">
        <f t="shared" si="21"/>
        <v>-0.13118811881188119</v>
      </c>
    </row>
    <row r="454" spans="1:10">
      <c r="A454" s="3">
        <v>370</v>
      </c>
      <c r="B454" t="s">
        <v>498</v>
      </c>
      <c r="C454" t="s">
        <v>8</v>
      </c>
      <c r="E454" s="3">
        <f t="shared" si="22"/>
        <v>7</v>
      </c>
      <c r="F454" s="5">
        <v>44283.625</v>
      </c>
      <c r="G454" s="19" t="str">
        <f t="shared" si="23"/>
        <v/>
      </c>
      <c r="J454" s="28">
        <f t="shared" si="21"/>
        <v>-0.11270983213429253</v>
      </c>
    </row>
    <row r="455" spans="1:10">
      <c r="A455" s="3">
        <v>654</v>
      </c>
      <c r="B455" t="s">
        <v>499</v>
      </c>
      <c r="C455" t="s">
        <v>8</v>
      </c>
      <c r="E455" s="3">
        <f t="shared" si="22"/>
        <v>1</v>
      </c>
      <c r="F455" s="5">
        <v>44284.625</v>
      </c>
      <c r="G455" s="19" t="str">
        <f t="shared" si="23"/>
        <v>2021-W13</v>
      </c>
      <c r="H455">
        <f>SUM(A455:A461)</f>
        <v>3263</v>
      </c>
      <c r="I455" s="28">
        <f>H455/H448-1</f>
        <v>-0.21937799043062201</v>
      </c>
      <c r="J455" s="28">
        <f t="shared" si="21"/>
        <v>-0.1484375</v>
      </c>
    </row>
    <row r="456" spans="1:10">
      <c r="A456" s="3">
        <v>570</v>
      </c>
      <c r="B456" t="s">
        <v>500</v>
      </c>
      <c r="C456" t="s">
        <v>8</v>
      </c>
      <c r="E456" s="3">
        <f t="shared" si="22"/>
        <v>2</v>
      </c>
      <c r="F456" s="5">
        <v>44285.625</v>
      </c>
      <c r="G456" s="19" t="str">
        <f t="shared" si="23"/>
        <v/>
      </c>
      <c r="J456" s="28">
        <f t="shared" si="21"/>
        <v>-0.18918918918918914</v>
      </c>
    </row>
    <row r="457" spans="1:10">
      <c r="A457" s="3">
        <v>550</v>
      </c>
      <c r="B457" t="s">
        <v>501</v>
      </c>
      <c r="C457" t="s">
        <v>8</v>
      </c>
      <c r="E457" s="3">
        <f t="shared" si="22"/>
        <v>3</v>
      </c>
      <c r="F457" s="5">
        <v>44286.625</v>
      </c>
      <c r="G457" s="19" t="str">
        <f t="shared" si="23"/>
        <v/>
      </c>
      <c r="J457" s="28">
        <f t="shared" ref="J457:J520" si="24">A457/A450-1</f>
        <v>-0.20749279538904897</v>
      </c>
    </row>
    <row r="458" spans="1:10">
      <c r="A458" s="3">
        <v>486</v>
      </c>
      <c r="B458" t="s">
        <v>502</v>
      </c>
      <c r="C458" t="s">
        <v>8</v>
      </c>
      <c r="E458" s="3">
        <f t="shared" si="22"/>
        <v>4</v>
      </c>
      <c r="F458" s="5">
        <v>44287.625</v>
      </c>
      <c r="G458" s="19" t="str">
        <f t="shared" si="23"/>
        <v/>
      </c>
      <c r="J458" s="28">
        <f t="shared" si="24"/>
        <v>-0.19801980198019797</v>
      </c>
    </row>
    <row r="459" spans="1:10">
      <c r="A459" s="3">
        <v>361</v>
      </c>
      <c r="B459" t="s">
        <v>503</v>
      </c>
      <c r="C459" t="s">
        <v>8</v>
      </c>
      <c r="E459" s="3">
        <f t="shared" si="22"/>
        <v>5</v>
      </c>
      <c r="F459" s="5">
        <v>44288.625</v>
      </c>
      <c r="G459" s="19" t="str">
        <f t="shared" si="23"/>
        <v/>
      </c>
      <c r="J459" s="28">
        <f t="shared" si="24"/>
        <v>-0.47529069767441856</v>
      </c>
    </row>
    <row r="460" spans="1:10">
      <c r="A460" s="3">
        <v>320</v>
      </c>
      <c r="B460" t="s">
        <v>504</v>
      </c>
      <c r="C460" t="s">
        <v>8</v>
      </c>
      <c r="E460" s="3">
        <f t="shared" si="22"/>
        <v>6</v>
      </c>
      <c r="F460" s="5">
        <v>44289.625</v>
      </c>
      <c r="G460" s="19" t="str">
        <f t="shared" si="23"/>
        <v/>
      </c>
      <c r="J460" s="28">
        <f t="shared" si="24"/>
        <v>-8.8319088319088301E-2</v>
      </c>
    </row>
    <row r="461" spans="1:10">
      <c r="A461" s="3">
        <v>322</v>
      </c>
      <c r="B461" t="s">
        <v>505</v>
      </c>
      <c r="C461" t="s">
        <v>8</v>
      </c>
      <c r="E461" s="3">
        <f t="shared" si="22"/>
        <v>7</v>
      </c>
      <c r="F461" s="5">
        <v>44290.625</v>
      </c>
      <c r="G461" s="19" t="str">
        <f t="shared" si="23"/>
        <v/>
      </c>
      <c r="J461" s="28">
        <f t="shared" si="24"/>
        <v>-0.12972972972972974</v>
      </c>
    </row>
    <row r="462" spans="1:10">
      <c r="A462" s="3">
        <v>359</v>
      </c>
      <c r="B462" t="s">
        <v>506</v>
      </c>
      <c r="C462" t="s">
        <v>8</v>
      </c>
      <c r="E462" s="3">
        <f t="shared" si="22"/>
        <v>1</v>
      </c>
      <c r="F462" s="5">
        <v>44291.625</v>
      </c>
      <c r="G462" s="19" t="str">
        <f t="shared" si="23"/>
        <v>2021-W14</v>
      </c>
      <c r="H462">
        <f>SUM(A462:A468)</f>
        <v>2549</v>
      </c>
      <c r="I462" s="28">
        <f>H462/H455-1</f>
        <v>-0.21881703953417098</v>
      </c>
      <c r="J462" s="28">
        <f t="shared" si="24"/>
        <v>-0.45107033639143734</v>
      </c>
    </row>
    <row r="463" spans="1:10">
      <c r="A463" s="3">
        <v>545</v>
      </c>
      <c r="B463" t="s">
        <v>507</v>
      </c>
      <c r="C463" t="s">
        <v>8</v>
      </c>
      <c r="E463" s="3">
        <f t="shared" si="22"/>
        <v>2</v>
      </c>
      <c r="F463" s="5">
        <v>44292.625</v>
      </c>
      <c r="G463" s="19" t="str">
        <f t="shared" si="23"/>
        <v/>
      </c>
      <c r="J463" s="28">
        <f t="shared" si="24"/>
        <v>-4.3859649122807043E-2</v>
      </c>
    </row>
    <row r="464" spans="1:10">
      <c r="A464" s="3">
        <v>426</v>
      </c>
      <c r="B464" t="s">
        <v>508</v>
      </c>
      <c r="C464" t="s">
        <v>8</v>
      </c>
      <c r="E464" s="3">
        <f t="shared" si="22"/>
        <v>3</v>
      </c>
      <c r="F464" s="5">
        <v>44293.625</v>
      </c>
      <c r="G464" s="19" t="str">
        <f t="shared" si="23"/>
        <v/>
      </c>
      <c r="J464" s="28">
        <f t="shared" si="24"/>
        <v>-0.22545454545454546</v>
      </c>
    </row>
    <row r="465" spans="1:10">
      <c r="A465" s="3">
        <v>405</v>
      </c>
      <c r="B465" t="s">
        <v>509</v>
      </c>
      <c r="C465" t="s">
        <v>8</v>
      </c>
      <c r="E465" s="3">
        <f t="shared" si="22"/>
        <v>4</v>
      </c>
      <c r="F465" s="5">
        <v>44294.625</v>
      </c>
      <c r="G465" s="19" t="str">
        <f t="shared" si="23"/>
        <v/>
      </c>
      <c r="J465" s="28">
        <f t="shared" si="24"/>
        <v>-0.16666666666666663</v>
      </c>
    </row>
    <row r="466" spans="1:10">
      <c r="A466" s="3">
        <v>350</v>
      </c>
      <c r="B466" t="s">
        <v>510</v>
      </c>
      <c r="C466" t="s">
        <v>8</v>
      </c>
      <c r="E466" s="3">
        <f t="shared" si="22"/>
        <v>5</v>
      </c>
      <c r="F466" s="5">
        <v>44295.625</v>
      </c>
      <c r="G466" s="19" t="str">
        <f t="shared" si="23"/>
        <v/>
      </c>
      <c r="J466" s="28">
        <f t="shared" si="24"/>
        <v>-3.0470914127423865E-2</v>
      </c>
    </row>
    <row r="467" spans="1:10">
      <c r="A467" s="3">
        <v>225</v>
      </c>
      <c r="B467" t="s">
        <v>511</v>
      </c>
      <c r="C467" t="s">
        <v>8</v>
      </c>
      <c r="E467" s="3">
        <f t="shared" si="22"/>
        <v>6</v>
      </c>
      <c r="F467" s="5">
        <v>44296.625</v>
      </c>
      <c r="G467" s="19" t="str">
        <f t="shared" si="23"/>
        <v/>
      </c>
      <c r="J467" s="28">
        <f t="shared" si="24"/>
        <v>-0.296875</v>
      </c>
    </row>
    <row r="468" spans="1:10">
      <c r="A468" s="3">
        <v>239</v>
      </c>
      <c r="B468" t="s">
        <v>512</v>
      </c>
      <c r="C468" t="s">
        <v>8</v>
      </c>
      <c r="E468" s="3">
        <f t="shared" si="22"/>
        <v>7</v>
      </c>
      <c r="F468" s="5">
        <v>44297.625</v>
      </c>
      <c r="G468" s="19" t="str">
        <f t="shared" si="23"/>
        <v/>
      </c>
      <c r="J468" s="28">
        <f t="shared" si="24"/>
        <v>-0.25776397515527949</v>
      </c>
    </row>
    <row r="469" spans="1:10">
      <c r="A469" s="3">
        <v>396</v>
      </c>
      <c r="B469" t="s">
        <v>513</v>
      </c>
      <c r="C469" t="s">
        <v>8</v>
      </c>
      <c r="E469" s="3">
        <f t="shared" si="22"/>
        <v>1</v>
      </c>
      <c r="F469" s="5">
        <v>44298.625</v>
      </c>
      <c r="G469" s="19" t="str">
        <f t="shared" si="23"/>
        <v>2021-W15</v>
      </c>
      <c r="H469">
        <f>SUM(A469:A475)</f>
        <v>1931</v>
      </c>
      <c r="I469" s="28">
        <f>H469/H462-1</f>
        <v>-0.24244801883091405</v>
      </c>
      <c r="J469" s="28">
        <f t="shared" si="24"/>
        <v>0.10306406685236769</v>
      </c>
    </row>
    <row r="470" spans="1:10">
      <c r="A470" s="3">
        <v>325</v>
      </c>
      <c r="B470" t="s">
        <v>514</v>
      </c>
      <c r="C470" t="s">
        <v>8</v>
      </c>
      <c r="E470" s="3">
        <f t="shared" si="22"/>
        <v>2</v>
      </c>
      <c r="F470" s="5">
        <v>44299.625</v>
      </c>
      <c r="G470" s="19" t="str">
        <f t="shared" si="23"/>
        <v/>
      </c>
      <c r="J470" s="28">
        <f t="shared" si="24"/>
        <v>-0.40366972477064222</v>
      </c>
    </row>
    <row r="471" spans="1:10">
      <c r="A471" s="3">
        <v>345</v>
      </c>
      <c r="B471" t="s">
        <v>515</v>
      </c>
      <c r="C471" t="s">
        <v>8</v>
      </c>
      <c r="E471" s="3">
        <f t="shared" si="22"/>
        <v>3</v>
      </c>
      <c r="F471" s="5">
        <v>44300.625</v>
      </c>
      <c r="G471" s="19" t="str">
        <f t="shared" si="23"/>
        <v/>
      </c>
      <c r="J471" s="28">
        <f t="shared" si="24"/>
        <v>-0.1901408450704225</v>
      </c>
    </row>
    <row r="472" spans="1:10">
      <c r="A472" s="3">
        <v>274</v>
      </c>
      <c r="B472" t="s">
        <v>516</v>
      </c>
      <c r="C472" t="s">
        <v>8</v>
      </c>
      <c r="E472" s="3">
        <f t="shared" si="22"/>
        <v>4</v>
      </c>
      <c r="F472" s="5">
        <v>44301.625</v>
      </c>
      <c r="G472" s="19" t="str">
        <f t="shared" si="23"/>
        <v/>
      </c>
      <c r="J472" s="28">
        <f t="shared" si="24"/>
        <v>-0.32345679012345674</v>
      </c>
    </row>
    <row r="473" spans="1:10">
      <c r="A473" s="3">
        <v>264</v>
      </c>
      <c r="B473" t="s">
        <v>517</v>
      </c>
      <c r="C473" t="s">
        <v>8</v>
      </c>
      <c r="E473" s="3">
        <f t="shared" si="22"/>
        <v>5</v>
      </c>
      <c r="F473" s="5">
        <v>44302.625</v>
      </c>
      <c r="G473" s="19" t="str">
        <f t="shared" si="23"/>
        <v/>
      </c>
      <c r="J473" s="28">
        <f t="shared" si="24"/>
        <v>-0.24571428571428566</v>
      </c>
    </row>
    <row r="474" spans="1:10">
      <c r="A474" s="3">
        <v>171</v>
      </c>
      <c r="B474" t="s">
        <v>518</v>
      </c>
      <c r="C474" t="s">
        <v>8</v>
      </c>
      <c r="E474" s="3">
        <f t="shared" si="22"/>
        <v>6</v>
      </c>
      <c r="F474" s="5">
        <v>44303.625</v>
      </c>
      <c r="G474" s="19" t="str">
        <f t="shared" si="23"/>
        <v/>
      </c>
      <c r="J474" s="28">
        <f t="shared" si="24"/>
        <v>-0.24</v>
      </c>
    </row>
    <row r="475" spans="1:10">
      <c r="A475" s="3">
        <v>156</v>
      </c>
      <c r="B475" t="s">
        <v>519</v>
      </c>
      <c r="C475" t="s">
        <v>8</v>
      </c>
      <c r="E475" s="3">
        <f t="shared" si="22"/>
        <v>7</v>
      </c>
      <c r="F475" s="5">
        <v>44304.625</v>
      </c>
      <c r="G475" s="19" t="str">
        <f t="shared" si="23"/>
        <v/>
      </c>
      <c r="J475" s="28">
        <f t="shared" si="24"/>
        <v>-0.34728033472803344</v>
      </c>
    </row>
    <row r="476" spans="1:10">
      <c r="A476" s="3">
        <v>283</v>
      </c>
      <c r="B476" t="s">
        <v>520</v>
      </c>
      <c r="C476" t="s">
        <v>8</v>
      </c>
      <c r="E476" s="3">
        <f t="shared" si="22"/>
        <v>1</v>
      </c>
      <c r="F476" s="5">
        <v>44305.625</v>
      </c>
      <c r="G476" s="19" t="str">
        <f t="shared" si="23"/>
        <v>2021-W16</v>
      </c>
      <c r="H476">
        <f>SUM(A476:A482)</f>
        <v>1609</v>
      </c>
      <c r="I476" s="28">
        <f>H476/H469-1</f>
        <v>-0.16675297773174524</v>
      </c>
      <c r="J476" s="28">
        <f t="shared" si="24"/>
        <v>-0.28535353535353536</v>
      </c>
    </row>
    <row r="477" spans="1:10">
      <c r="A477" s="3">
        <v>285</v>
      </c>
      <c r="B477" t="s">
        <v>521</v>
      </c>
      <c r="C477" t="s">
        <v>8</v>
      </c>
      <c r="E477" s="3">
        <f t="shared" si="22"/>
        <v>2</v>
      </c>
      <c r="F477" s="5">
        <v>44306.625</v>
      </c>
      <c r="G477" s="19" t="str">
        <f t="shared" si="23"/>
        <v/>
      </c>
      <c r="J477" s="28">
        <f t="shared" si="24"/>
        <v>-0.12307692307692308</v>
      </c>
    </row>
    <row r="478" spans="1:10">
      <c r="A478" s="3">
        <v>233</v>
      </c>
      <c r="B478" t="s">
        <v>522</v>
      </c>
      <c r="C478" t="s">
        <v>8</v>
      </c>
      <c r="E478" s="3">
        <f t="shared" si="22"/>
        <v>3</v>
      </c>
      <c r="F478" s="5">
        <v>44307.625</v>
      </c>
      <c r="G478" s="19" t="str">
        <f t="shared" si="23"/>
        <v/>
      </c>
      <c r="J478" s="28">
        <f t="shared" si="24"/>
        <v>-0.32463768115942027</v>
      </c>
    </row>
    <row r="479" spans="1:10">
      <c r="A479" s="3">
        <v>258</v>
      </c>
      <c r="B479" t="s">
        <v>524</v>
      </c>
      <c r="C479" t="s">
        <v>8</v>
      </c>
      <c r="E479" s="3">
        <f t="shared" si="22"/>
        <v>4</v>
      </c>
      <c r="F479" s="5">
        <v>44308.625</v>
      </c>
      <c r="G479" s="19" t="str">
        <f t="shared" si="23"/>
        <v/>
      </c>
      <c r="J479" s="28">
        <f t="shared" si="24"/>
        <v>-5.8394160583941646E-2</v>
      </c>
    </row>
    <row r="480" spans="1:10">
      <c r="A480" s="3">
        <v>255</v>
      </c>
      <c r="B480" t="s">
        <v>525</v>
      </c>
      <c r="C480" t="s">
        <v>8</v>
      </c>
      <c r="E480" s="3">
        <f t="shared" si="22"/>
        <v>5</v>
      </c>
      <c r="F480" s="5">
        <v>44309.625</v>
      </c>
      <c r="G480" s="19" t="str">
        <f t="shared" si="23"/>
        <v/>
      </c>
      <c r="J480" s="28">
        <f t="shared" si="24"/>
        <v>-3.4090909090909061E-2</v>
      </c>
    </row>
    <row r="481" spans="1:10">
      <c r="A481" s="3">
        <v>154</v>
      </c>
      <c r="B481" t="s">
        <v>526</v>
      </c>
      <c r="C481" t="s">
        <v>8</v>
      </c>
      <c r="E481" s="3">
        <f t="shared" si="22"/>
        <v>6</v>
      </c>
      <c r="F481" s="5">
        <v>44310.625</v>
      </c>
      <c r="G481" s="19" t="str">
        <f t="shared" si="23"/>
        <v/>
      </c>
      <c r="J481" s="28">
        <f t="shared" si="24"/>
        <v>-9.9415204678362623E-2</v>
      </c>
    </row>
    <row r="482" spans="1:10">
      <c r="A482" s="3">
        <v>141</v>
      </c>
      <c r="B482" t="s">
        <v>527</v>
      </c>
      <c r="C482" t="s">
        <v>8</v>
      </c>
      <c r="E482" s="3">
        <f t="shared" si="22"/>
        <v>7</v>
      </c>
      <c r="F482" s="5">
        <v>44311.625</v>
      </c>
      <c r="G482" s="19" t="str">
        <f t="shared" si="23"/>
        <v/>
      </c>
      <c r="J482" s="28">
        <f t="shared" si="24"/>
        <v>-9.6153846153846145E-2</v>
      </c>
    </row>
    <row r="483" spans="1:10">
      <c r="A483" s="3">
        <v>243</v>
      </c>
      <c r="B483" t="s">
        <v>528</v>
      </c>
      <c r="C483" t="s">
        <v>8</v>
      </c>
      <c r="E483" s="3">
        <f t="shared" si="22"/>
        <v>1</v>
      </c>
      <c r="F483" s="5">
        <v>44312.625</v>
      </c>
      <c r="G483" s="19" t="str">
        <f t="shared" si="23"/>
        <v>2021-W17</v>
      </c>
      <c r="H483">
        <f>SUM(A483:A489)</f>
        <v>1379</v>
      </c>
      <c r="I483" s="28">
        <f>H483/H476-1</f>
        <v>-0.14294592914853943</v>
      </c>
      <c r="J483" s="28">
        <f t="shared" si="24"/>
        <v>-0.14134275618374559</v>
      </c>
    </row>
    <row r="484" spans="1:10">
      <c r="A484" s="3">
        <v>228</v>
      </c>
      <c r="B484" t="s">
        <v>529</v>
      </c>
      <c r="C484" t="s">
        <v>8</v>
      </c>
      <c r="E484" s="3">
        <f t="shared" si="22"/>
        <v>2</v>
      </c>
      <c r="F484" s="5">
        <v>44313.625</v>
      </c>
      <c r="G484" s="19" t="str">
        <f t="shared" si="23"/>
        <v/>
      </c>
      <c r="J484" s="28">
        <f t="shared" si="24"/>
        <v>-0.19999999999999996</v>
      </c>
    </row>
    <row r="485" spans="1:10">
      <c r="A485" s="3">
        <v>273</v>
      </c>
      <c r="B485" t="s">
        <v>530</v>
      </c>
      <c r="C485" t="s">
        <v>8</v>
      </c>
      <c r="E485" s="3">
        <f t="shared" si="22"/>
        <v>3</v>
      </c>
      <c r="F485" s="5">
        <v>44314.625</v>
      </c>
      <c r="G485" s="19" t="str">
        <f t="shared" si="23"/>
        <v/>
      </c>
      <c r="J485" s="28">
        <f t="shared" si="24"/>
        <v>0.17167381974248919</v>
      </c>
    </row>
    <row r="486" spans="1:10">
      <c r="A486" s="3">
        <v>200</v>
      </c>
      <c r="B486" t="s">
        <v>531</v>
      </c>
      <c r="C486" t="s">
        <v>8</v>
      </c>
      <c r="E486" s="3">
        <f t="shared" si="22"/>
        <v>4</v>
      </c>
      <c r="F486" s="5">
        <v>44315.625</v>
      </c>
      <c r="G486" s="19" t="str">
        <f t="shared" si="23"/>
        <v/>
      </c>
      <c r="J486" s="28">
        <f t="shared" si="24"/>
        <v>-0.22480620155038755</v>
      </c>
    </row>
    <row r="487" spans="1:10">
      <c r="A487" s="3">
        <v>195</v>
      </c>
      <c r="B487" t="s">
        <v>532</v>
      </c>
      <c r="C487" t="s">
        <v>8</v>
      </c>
      <c r="E487" s="3">
        <f t="shared" si="22"/>
        <v>5</v>
      </c>
      <c r="F487" s="5">
        <v>44316.625</v>
      </c>
      <c r="G487" s="19" t="str">
        <f t="shared" si="23"/>
        <v/>
      </c>
      <c r="J487" s="28">
        <f t="shared" si="24"/>
        <v>-0.23529411764705888</v>
      </c>
    </row>
    <row r="488" spans="1:10">
      <c r="A488" s="3">
        <v>105</v>
      </c>
      <c r="B488" t="s">
        <v>533</v>
      </c>
      <c r="C488" t="s">
        <v>8</v>
      </c>
      <c r="E488" s="3">
        <f t="shared" si="22"/>
        <v>6</v>
      </c>
      <c r="F488" s="5">
        <v>44317.625</v>
      </c>
      <c r="G488" s="19" t="str">
        <f t="shared" si="23"/>
        <v/>
      </c>
      <c r="J488" s="28">
        <f t="shared" si="24"/>
        <v>-0.31818181818181823</v>
      </c>
    </row>
    <row r="489" spans="1:10">
      <c r="A489" s="3">
        <v>135</v>
      </c>
      <c r="B489" t="s">
        <v>534</v>
      </c>
      <c r="C489" t="s">
        <v>8</v>
      </c>
      <c r="E489" s="3">
        <f t="shared" si="22"/>
        <v>7</v>
      </c>
      <c r="F489" s="5">
        <v>44318.625</v>
      </c>
      <c r="G489" s="19" t="str">
        <f t="shared" si="23"/>
        <v/>
      </c>
      <c r="J489" s="28">
        <f t="shared" si="24"/>
        <v>-4.2553191489361653E-2</v>
      </c>
    </row>
    <row r="490" spans="1:10">
      <c r="A490" s="3">
        <v>318</v>
      </c>
      <c r="B490" t="s">
        <v>535</v>
      </c>
      <c r="C490" t="s">
        <v>8</v>
      </c>
      <c r="E490" s="3">
        <f t="shared" si="22"/>
        <v>1</v>
      </c>
      <c r="F490" s="5">
        <v>44319.625</v>
      </c>
      <c r="G490" s="19" t="str">
        <f t="shared" si="23"/>
        <v>2021-W18</v>
      </c>
      <c r="H490">
        <f>SUM(A490:A496)</f>
        <v>1506</v>
      </c>
      <c r="I490" s="28">
        <f>H490/H483-1</f>
        <v>9.2095721537345909E-2</v>
      </c>
      <c r="J490" s="28">
        <f t="shared" si="24"/>
        <v>0.30864197530864201</v>
      </c>
    </row>
    <row r="491" spans="1:10">
      <c r="A491" s="3">
        <v>206</v>
      </c>
      <c r="B491" t="s">
        <v>536</v>
      </c>
      <c r="C491" t="s">
        <v>8</v>
      </c>
      <c r="E491" s="3">
        <f t="shared" si="22"/>
        <v>2</v>
      </c>
      <c r="F491" s="5">
        <v>44320.625</v>
      </c>
      <c r="G491" s="19" t="str">
        <f t="shared" si="23"/>
        <v/>
      </c>
      <c r="J491" s="28">
        <f t="shared" si="24"/>
        <v>-9.6491228070175405E-2</v>
      </c>
    </row>
    <row r="492" spans="1:10">
      <c r="A492" s="3">
        <v>268</v>
      </c>
      <c r="B492" t="s">
        <v>537</v>
      </c>
      <c r="C492" t="s">
        <v>8</v>
      </c>
      <c r="E492" s="3">
        <f t="shared" si="22"/>
        <v>3</v>
      </c>
      <c r="F492" s="5">
        <v>44321.625</v>
      </c>
      <c r="G492" s="19" t="str">
        <f t="shared" si="23"/>
        <v/>
      </c>
      <c r="J492" s="28">
        <f t="shared" si="24"/>
        <v>-1.8315018315018361E-2</v>
      </c>
    </row>
    <row r="493" spans="1:10">
      <c r="A493" s="3">
        <v>238</v>
      </c>
      <c r="B493" t="s">
        <v>539</v>
      </c>
      <c r="C493" t="s">
        <v>8</v>
      </c>
      <c r="E493" s="3">
        <f t="shared" si="22"/>
        <v>4</v>
      </c>
      <c r="F493" s="5">
        <v>44322.625</v>
      </c>
      <c r="G493" s="19" t="str">
        <f t="shared" si="23"/>
        <v/>
      </c>
      <c r="J493" s="28">
        <f t="shared" si="24"/>
        <v>0.18999999999999995</v>
      </c>
    </row>
    <row r="494" spans="1:10">
      <c r="A494" s="3">
        <v>216</v>
      </c>
      <c r="B494" t="s">
        <v>540</v>
      </c>
      <c r="C494" t="s">
        <v>8</v>
      </c>
      <c r="E494" s="3">
        <f t="shared" si="22"/>
        <v>5</v>
      </c>
      <c r="F494" s="5">
        <v>44323.625</v>
      </c>
      <c r="G494" s="19" t="str">
        <f t="shared" si="23"/>
        <v/>
      </c>
      <c r="J494" s="28">
        <f t="shared" si="24"/>
        <v>0.10769230769230775</v>
      </c>
    </row>
    <row r="495" spans="1:10">
      <c r="A495" s="3">
        <v>130</v>
      </c>
      <c r="B495" t="s">
        <v>541</v>
      </c>
      <c r="C495" t="s">
        <v>8</v>
      </c>
      <c r="E495" s="3">
        <f t="shared" si="22"/>
        <v>6</v>
      </c>
      <c r="F495" s="5">
        <v>44324.625</v>
      </c>
      <c r="G495" s="19" t="str">
        <f t="shared" si="23"/>
        <v/>
      </c>
      <c r="J495" s="28">
        <f t="shared" si="24"/>
        <v>0.23809523809523814</v>
      </c>
    </row>
    <row r="496" spans="1:10">
      <c r="A496" s="3">
        <v>130</v>
      </c>
      <c r="B496" t="s">
        <v>542</v>
      </c>
      <c r="C496" t="s">
        <v>8</v>
      </c>
      <c r="E496" s="3">
        <f t="shared" si="22"/>
        <v>7</v>
      </c>
      <c r="F496" s="5">
        <v>44325.625</v>
      </c>
      <c r="G496" s="19" t="str">
        <f t="shared" si="23"/>
        <v/>
      </c>
      <c r="J496" s="28">
        <f t="shared" si="24"/>
        <v>-3.703703703703709E-2</v>
      </c>
    </row>
    <row r="497" spans="1:10">
      <c r="A497" s="3">
        <v>255</v>
      </c>
      <c r="B497" t="s">
        <v>543</v>
      </c>
      <c r="C497" t="s">
        <v>8</v>
      </c>
      <c r="E497" s="3">
        <f t="shared" si="22"/>
        <v>1</v>
      </c>
      <c r="F497" s="5">
        <v>44326.625</v>
      </c>
      <c r="G497" s="19" t="str">
        <f t="shared" si="23"/>
        <v>2021-W19</v>
      </c>
      <c r="H497">
        <f>SUM(A497:A503)</f>
        <v>1103</v>
      </c>
      <c r="I497" s="28">
        <f>H497/H490-1</f>
        <v>-0.26759628154050463</v>
      </c>
      <c r="J497" s="28">
        <f t="shared" si="24"/>
        <v>-0.19811320754716977</v>
      </c>
    </row>
    <row r="498" spans="1:10">
      <c r="A498" s="3">
        <v>210</v>
      </c>
      <c r="B498" t="s">
        <v>544</v>
      </c>
      <c r="C498" t="s">
        <v>8</v>
      </c>
      <c r="E498" s="3">
        <f t="shared" si="22"/>
        <v>2</v>
      </c>
      <c r="F498" s="5">
        <v>44327.625</v>
      </c>
      <c r="G498" s="19" t="str">
        <f t="shared" si="23"/>
        <v/>
      </c>
      <c r="J498" s="28">
        <f t="shared" si="24"/>
        <v>1.9417475728155331E-2</v>
      </c>
    </row>
    <row r="499" spans="1:10">
      <c r="A499" s="3">
        <v>220</v>
      </c>
      <c r="B499" t="s">
        <v>545</v>
      </c>
      <c r="C499" t="s">
        <v>8</v>
      </c>
      <c r="E499" s="3">
        <f t="shared" si="22"/>
        <v>3</v>
      </c>
      <c r="F499" s="5">
        <v>44328.625</v>
      </c>
      <c r="G499" s="19" t="str">
        <f t="shared" si="23"/>
        <v/>
      </c>
      <c r="J499" s="28">
        <f t="shared" si="24"/>
        <v>-0.17910447761194026</v>
      </c>
    </row>
    <row r="500" spans="1:10">
      <c r="A500" s="3">
        <v>143</v>
      </c>
      <c r="B500" t="s">
        <v>546</v>
      </c>
      <c r="C500" t="s">
        <v>8</v>
      </c>
      <c r="E500" s="3">
        <f t="shared" si="22"/>
        <v>4</v>
      </c>
      <c r="F500" s="5">
        <v>44329.625</v>
      </c>
      <c r="G500" s="19" t="str">
        <f t="shared" si="23"/>
        <v/>
      </c>
      <c r="J500" s="28">
        <f t="shared" si="24"/>
        <v>-0.39915966386554624</v>
      </c>
    </row>
    <row r="501" spans="1:10">
      <c r="A501" s="3">
        <v>185</v>
      </c>
      <c r="B501" t="s">
        <v>547</v>
      </c>
      <c r="C501" t="s">
        <v>8</v>
      </c>
      <c r="E501" s="3">
        <f t="shared" si="22"/>
        <v>5</v>
      </c>
      <c r="F501" s="5">
        <v>44330.625</v>
      </c>
      <c r="G501" s="19" t="str">
        <f t="shared" si="23"/>
        <v/>
      </c>
      <c r="J501" s="28">
        <f t="shared" si="24"/>
        <v>-0.14351851851851849</v>
      </c>
    </row>
    <row r="502" spans="1:10">
      <c r="A502" s="3">
        <v>90</v>
      </c>
      <c r="B502" t="s">
        <v>548</v>
      </c>
      <c r="C502" t="s">
        <v>8</v>
      </c>
      <c r="E502" s="3">
        <f t="shared" si="22"/>
        <v>6</v>
      </c>
      <c r="F502" s="5">
        <v>44331.625</v>
      </c>
      <c r="G502" s="19" t="str">
        <f t="shared" si="23"/>
        <v/>
      </c>
      <c r="J502" s="28">
        <f t="shared" si="24"/>
        <v>-0.30769230769230771</v>
      </c>
    </row>
    <row r="503" spans="1:10">
      <c r="A503" s="3">
        <v>0</v>
      </c>
      <c r="B503" t="s">
        <v>549</v>
      </c>
      <c r="C503" t="s">
        <v>8</v>
      </c>
      <c r="E503" s="3">
        <f t="shared" si="22"/>
        <v>7</v>
      </c>
      <c r="F503" s="5">
        <v>44332.358796296299</v>
      </c>
      <c r="G503" s="19" t="str">
        <f t="shared" si="23"/>
        <v/>
      </c>
      <c r="J503" s="28">
        <f t="shared" si="24"/>
        <v>-1</v>
      </c>
    </row>
    <row r="504" spans="1:10">
      <c r="E504" s="3">
        <f t="shared" si="22"/>
        <v>6</v>
      </c>
      <c r="G504" s="19" t="str">
        <f t="shared" si="23"/>
        <v/>
      </c>
      <c r="H504">
        <f>SUM(A504:A510)</f>
        <v>0</v>
      </c>
      <c r="I504" s="28">
        <f>H504/H497-1</f>
        <v>-1</v>
      </c>
      <c r="J504" s="28">
        <f t="shared" si="24"/>
        <v>-1</v>
      </c>
    </row>
    <row r="505" spans="1:10">
      <c r="E505" s="3">
        <f t="shared" si="22"/>
        <v>6</v>
      </c>
      <c r="G505" s="19" t="str">
        <f t="shared" si="23"/>
        <v/>
      </c>
      <c r="J505" s="28">
        <f t="shared" si="24"/>
        <v>-1</v>
      </c>
    </row>
    <row r="506" spans="1:10">
      <c r="E506" s="3">
        <f t="shared" si="22"/>
        <v>6</v>
      </c>
      <c r="G506" s="19" t="str">
        <f t="shared" si="23"/>
        <v/>
      </c>
      <c r="J506" s="28">
        <f t="shared" si="24"/>
        <v>-1</v>
      </c>
    </row>
    <row r="507" spans="1:10">
      <c r="E507" s="3">
        <f t="shared" si="22"/>
        <v>6</v>
      </c>
      <c r="G507" s="19" t="str">
        <f t="shared" si="23"/>
        <v/>
      </c>
      <c r="J507" s="28">
        <f t="shared" si="24"/>
        <v>-1</v>
      </c>
    </row>
    <row r="508" spans="1:10">
      <c r="E508" s="3">
        <f t="shared" si="22"/>
        <v>6</v>
      </c>
      <c r="G508" s="19" t="str">
        <f t="shared" si="23"/>
        <v/>
      </c>
      <c r="J508" s="28">
        <f t="shared" si="24"/>
        <v>-1</v>
      </c>
    </row>
    <row r="509" spans="1:10">
      <c r="E509" s="3">
        <f t="shared" si="22"/>
        <v>6</v>
      </c>
      <c r="G509" s="19" t="str">
        <f t="shared" si="23"/>
        <v/>
      </c>
      <c r="J509" s="28">
        <f t="shared" si="24"/>
        <v>-1</v>
      </c>
    </row>
    <row r="510" spans="1:10">
      <c r="E510" s="3">
        <f t="shared" si="22"/>
        <v>6</v>
      </c>
      <c r="G510" s="19" t="str">
        <f t="shared" si="23"/>
        <v/>
      </c>
      <c r="J510" s="28" t="e">
        <f t="shared" si="24"/>
        <v>#DIV/0!</v>
      </c>
    </row>
    <row r="511" spans="1:10">
      <c r="E511" s="3">
        <f t="shared" ref="E511:E574" si="25">WEEKDAY(F511,2)</f>
        <v>6</v>
      </c>
      <c r="G511" s="19" t="str">
        <f t="shared" si="23"/>
        <v/>
      </c>
      <c r="H511">
        <f>SUM(A511:A517)</f>
        <v>0</v>
      </c>
      <c r="I511" s="28" t="e">
        <f>H511/H504-1</f>
        <v>#DIV/0!</v>
      </c>
      <c r="J511" s="28" t="e">
        <f t="shared" si="24"/>
        <v>#DIV/0!</v>
      </c>
    </row>
    <row r="512" spans="1: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109" activePane="bottomLeft" state="frozen"/>
      <selection pane="bottomLeft" activeCell="A123" sqref="A123"/>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52383</v>
      </c>
      <c r="J1" s="7">
        <f>MAX(A:A)</f>
        <v>517</v>
      </c>
      <c r="K1" s="15">
        <f>VLOOKUP(J1,A:F,6,FALSE)</f>
        <v>44267.625</v>
      </c>
      <c r="L1" s="7">
        <f>COUNT(DataN)-5</f>
        <v>497</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12.5.2021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6</v>
      </c>
      <c r="B237" t="s">
        <v>189</v>
      </c>
      <c r="C237" t="s">
        <v>456</v>
      </c>
      <c r="E237" s="3">
        <f t="shared" si="9"/>
        <v>7</v>
      </c>
      <c r="F237" s="5">
        <v>44066.625</v>
      </c>
      <c r="G237" s="19" t="str">
        <f t="shared" si="10"/>
        <v/>
      </c>
      <c r="J237" s="28">
        <f t="shared" si="11"/>
        <v>-0.80645161290322576</v>
      </c>
    </row>
    <row r="238" spans="1:10">
      <c r="A238" s="3">
        <v>12</v>
      </c>
      <c r="B238" t="s">
        <v>190</v>
      </c>
      <c r="C238" t="s">
        <v>456</v>
      </c>
      <c r="E238" s="3">
        <f t="shared" si="9"/>
        <v>1</v>
      </c>
      <c r="F238" s="5">
        <v>44067.625</v>
      </c>
      <c r="G238" s="19" t="str">
        <f t="shared" si="10"/>
        <v>2020-W35</v>
      </c>
      <c r="H238">
        <f>SUM(A238:A244)</f>
        <v>87</v>
      </c>
      <c r="I238" s="28">
        <f>H238/H231-1</f>
        <v>-0.25641025641025639</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0.83333333333333326</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0.1166666666666667</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0.1333333333333333</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673</v>
      </c>
      <c r="I294" s="28">
        <f>H294/H287-1</f>
        <v>-5.3445850914205395E-2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0.13670133729569089</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156</v>
      </c>
      <c r="B308" s="10" t="s">
        <v>326</v>
      </c>
      <c r="C308" s="10" t="s">
        <v>456</v>
      </c>
      <c r="E308" s="14">
        <f t="shared" si="12"/>
        <v>1</v>
      </c>
      <c r="F308" s="18">
        <v>44137.625</v>
      </c>
      <c r="G308" s="19" t="str">
        <f t="shared" si="13"/>
        <v>2020-W45</v>
      </c>
      <c r="H308">
        <f>SUM(A308:A314)</f>
        <v>859</v>
      </c>
      <c r="I308" s="28">
        <f>H308/H301-1</f>
        <v>0.12287581699346406</v>
      </c>
      <c r="J308" s="28">
        <f t="shared" si="14"/>
        <v>0.1729323308270676</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0.16181606519208391</v>
      </c>
      <c r="J315" s="28">
        <f t="shared" si="14"/>
        <v>3.8461538461538547E-2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178</v>
      </c>
      <c r="B327" t="s">
        <v>347</v>
      </c>
      <c r="C327" t="s">
        <v>456</v>
      </c>
      <c r="E327" s="3">
        <f t="shared" si="16"/>
        <v>6</v>
      </c>
      <c r="F327" s="5">
        <v>44156.625</v>
      </c>
      <c r="G327" s="19" t="str">
        <f t="shared" si="15"/>
        <v/>
      </c>
      <c r="J327" s="28">
        <f t="shared" si="14"/>
        <v>0.95604395604395598</v>
      </c>
    </row>
    <row r="328" spans="1:10">
      <c r="A328" s="3">
        <v>160</v>
      </c>
      <c r="B328" t="s">
        <v>348</v>
      </c>
      <c r="C328" t="s">
        <v>456</v>
      </c>
      <c r="E328" s="3">
        <f t="shared" si="16"/>
        <v>7</v>
      </c>
      <c r="F328" s="5">
        <v>44157.625</v>
      </c>
      <c r="G328" s="19" t="str">
        <f t="shared" si="15"/>
        <v/>
      </c>
      <c r="J328" s="28">
        <f t="shared" si="14"/>
        <v>0.45454545454545459</v>
      </c>
    </row>
    <row r="329" spans="1:10">
      <c r="A329" s="3">
        <v>261</v>
      </c>
      <c r="B329" t="s">
        <v>349</v>
      </c>
      <c r="C329" t="s">
        <v>456</v>
      </c>
      <c r="E329" s="3">
        <f t="shared" si="16"/>
        <v>1</v>
      </c>
      <c r="F329" s="5">
        <v>44158.625</v>
      </c>
      <c r="G329" s="19" t="str">
        <f t="shared" si="15"/>
        <v>2020-W48</v>
      </c>
      <c r="H329">
        <f>SUM(A329:A335)</f>
        <v>1656</v>
      </c>
      <c r="I329" s="28">
        <f>H329/H322-1</f>
        <v>-3.6101083032491488E-3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262</v>
      </c>
      <c r="B332" t="s">
        <v>354</v>
      </c>
      <c r="C332" t="s">
        <v>456</v>
      </c>
      <c r="E332" s="3">
        <f t="shared" si="16"/>
        <v>4</v>
      </c>
      <c r="F332" s="5">
        <v>44161.625</v>
      </c>
      <c r="G332" s="19" t="str">
        <f t="shared" si="15"/>
        <v/>
      </c>
      <c r="J332" s="28">
        <f t="shared" si="17"/>
        <v>-0.18125000000000002</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-0.151685393258427</v>
      </c>
    </row>
    <row r="335" spans="1:10">
      <c r="A335" s="3">
        <v>158</v>
      </c>
      <c r="B335" t="s">
        <v>357</v>
      </c>
      <c r="C335" t="s">
        <v>456</v>
      </c>
      <c r="E335" s="3">
        <f t="shared" si="16"/>
        <v>7</v>
      </c>
      <c r="F335" s="5">
        <v>44164.625</v>
      </c>
      <c r="G335" s="19" t="str">
        <f t="shared" si="15"/>
        <v/>
      </c>
      <c r="J335" s="28">
        <f t="shared" si="17"/>
        <v>-1.2499999999999956E-2</v>
      </c>
    </row>
    <row r="336" spans="1:10">
      <c r="A336" s="3">
        <v>313</v>
      </c>
      <c r="B336" t="s">
        <v>358</v>
      </c>
      <c r="C336" t="s">
        <v>456</v>
      </c>
      <c r="E336" s="3">
        <f t="shared" si="16"/>
        <v>1</v>
      </c>
      <c r="F336" s="5">
        <v>44165.625</v>
      </c>
      <c r="G336" s="19" t="str">
        <f t="shared" si="15"/>
        <v>2020-W49</v>
      </c>
      <c r="H336">
        <f>SUM(A336:A342)</f>
        <v>1595</v>
      </c>
      <c r="I336" s="28">
        <f>H336/H329-1</f>
        <v>-3.6835748792270584E-2</v>
      </c>
      <c r="J336" s="28">
        <f t="shared" si="17"/>
        <v>0.19923371647509569</v>
      </c>
    </row>
    <row r="337" spans="1:10">
      <c r="A337" s="3">
        <v>220</v>
      </c>
      <c r="B337" t="s">
        <v>360</v>
      </c>
      <c r="C337" t="s">
        <v>456</v>
      </c>
      <c r="E337" s="3">
        <f t="shared" si="16"/>
        <v>2</v>
      </c>
      <c r="F337" s="5">
        <v>44166.625</v>
      </c>
      <c r="G337" s="19" t="str">
        <f t="shared" si="15"/>
        <v/>
      </c>
      <c r="J337" s="28">
        <f t="shared" si="17"/>
        <v>-0.22261484098939932</v>
      </c>
    </row>
    <row r="338" spans="1:10">
      <c r="A338" s="3">
        <v>250</v>
      </c>
      <c r="B338" t="s">
        <v>361</v>
      </c>
      <c r="C338" t="s">
        <v>456</v>
      </c>
      <c r="E338" s="3">
        <f t="shared" si="16"/>
        <v>3</v>
      </c>
      <c r="F338" s="5">
        <v>44167.625</v>
      </c>
      <c r="G338" s="19" t="str">
        <f t="shared" si="15"/>
        <v/>
      </c>
      <c r="J338" s="28">
        <f t="shared" si="17"/>
        <v>-0.16387959866220736</v>
      </c>
    </row>
    <row r="339" spans="1:10">
      <c r="A339" s="3">
        <v>280</v>
      </c>
      <c r="B339" t="s">
        <v>362</v>
      </c>
      <c r="C339" t="s">
        <v>456</v>
      </c>
      <c r="E339" s="3">
        <f t="shared" si="16"/>
        <v>4</v>
      </c>
      <c r="F339" s="5">
        <v>44168.625</v>
      </c>
      <c r="G339" s="19" t="str">
        <f t="shared" si="15"/>
        <v/>
      </c>
      <c r="J339" s="28">
        <f t="shared" si="17"/>
        <v>6.8702290076335881E-2</v>
      </c>
    </row>
    <row r="340" spans="1:10">
      <c r="A340" s="3">
        <v>223</v>
      </c>
      <c r="B340" t="s">
        <v>363</v>
      </c>
      <c r="C340" t="s">
        <v>456</v>
      </c>
      <c r="E340" s="3">
        <f t="shared" si="16"/>
        <v>5</v>
      </c>
      <c r="F340" s="5">
        <v>44169.625</v>
      </c>
      <c r="G340" s="19" t="str">
        <f t="shared" si="15"/>
        <v/>
      </c>
      <c r="J340" s="28">
        <f t="shared" si="17"/>
        <v>-7.8512396694214837E-2</v>
      </c>
    </row>
    <row r="341" spans="1:10">
      <c r="A341" s="3">
        <v>153</v>
      </c>
      <c r="B341" t="s">
        <v>364</v>
      </c>
      <c r="C341" t="s">
        <v>456</v>
      </c>
      <c r="E341" s="3">
        <f t="shared" si="16"/>
        <v>6</v>
      </c>
      <c r="F341" s="5">
        <v>44170.625</v>
      </c>
      <c r="G341" s="19" t="str">
        <f t="shared" si="15"/>
        <v/>
      </c>
      <c r="J341" s="28">
        <f t="shared" si="17"/>
        <v>1.3245033112582849E-2</v>
      </c>
    </row>
    <row r="342" spans="1:10">
      <c r="A342" s="3">
        <v>156</v>
      </c>
      <c r="B342" t="s">
        <v>365</v>
      </c>
      <c r="C342" t="s">
        <v>456</v>
      </c>
      <c r="E342" s="3">
        <f t="shared" si="16"/>
        <v>7</v>
      </c>
      <c r="F342" s="5">
        <v>44171.625</v>
      </c>
      <c r="G342" s="19" t="str">
        <f t="shared" si="15"/>
        <v/>
      </c>
      <c r="J342" s="28">
        <f t="shared" si="17"/>
        <v>-1.2658227848101222E-2</v>
      </c>
    </row>
    <row r="343" spans="1:10">
      <c r="A343" s="3">
        <v>284</v>
      </c>
      <c r="B343" t="s">
        <v>366</v>
      </c>
      <c r="C343" t="s">
        <v>456</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367</v>
      </c>
      <c r="C344" t="s">
        <v>456</v>
      </c>
      <c r="E344" s="3">
        <f t="shared" si="16"/>
        <v>2</v>
      </c>
      <c r="F344" s="5">
        <v>44173.625</v>
      </c>
      <c r="G344" s="19" t="str">
        <f t="shared" si="15"/>
        <v/>
      </c>
      <c r="J344" s="28">
        <f t="shared" si="17"/>
        <v>0.15454545454545454</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-0.20714285714285718</v>
      </c>
    </row>
    <row r="347" spans="1:10">
      <c r="A347" s="3">
        <v>236</v>
      </c>
      <c r="B347" t="s">
        <v>370</v>
      </c>
      <c r="C347" t="s">
        <v>456</v>
      </c>
      <c r="E347" s="3">
        <f t="shared" si="16"/>
        <v>5</v>
      </c>
      <c r="F347" s="5">
        <v>44176.625</v>
      </c>
      <c r="G347" s="19" t="str">
        <f t="shared" si="15"/>
        <v/>
      </c>
      <c r="J347" s="28">
        <f t="shared" si="17"/>
        <v>5.8295964125560484E-2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8.3333333333333259E-2</v>
      </c>
    </row>
    <row r="350" spans="1:10">
      <c r="A350" s="3">
        <v>233</v>
      </c>
      <c r="B350" t="s">
        <v>373</v>
      </c>
      <c r="C350" t="s">
        <v>456</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374</v>
      </c>
      <c r="C351" t="s">
        <v>456</v>
      </c>
      <c r="E351" s="3">
        <f t="shared" si="16"/>
        <v>2</v>
      </c>
      <c r="F351" s="5">
        <v>44180.625</v>
      </c>
      <c r="G351" s="19" t="str">
        <f t="shared" si="15"/>
        <v/>
      </c>
      <c r="J351" s="28">
        <f t="shared" si="17"/>
        <v>-0.23228346456692917</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-0.23202614379084963</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-0.23958333333333337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135</v>
      </c>
      <c r="B367" t="s">
        <v>390</v>
      </c>
      <c r="C367" t="s">
        <v>456</v>
      </c>
      <c r="E367" s="3">
        <f t="shared" si="16"/>
        <v>4</v>
      </c>
      <c r="F367" s="5">
        <v>44196.625</v>
      </c>
      <c r="G367" s="19" t="str">
        <f t="shared" si="15"/>
        <v/>
      </c>
      <c r="J367" s="28">
        <f t="shared" si="17"/>
        <v>0.42105263157894735</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7.1507150715071521E-2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0.19999999999999996</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859</v>
      </c>
      <c r="I378" s="28">
        <f>H378/H371-1</f>
        <v>-0.11806981519507187</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96</v>
      </c>
      <c r="B384" t="s">
        <v>407</v>
      </c>
      <c r="C384" t="s">
        <v>456</v>
      </c>
      <c r="E384" s="3">
        <f t="shared" si="16"/>
        <v>7</v>
      </c>
      <c r="F384" s="5">
        <v>44213.625</v>
      </c>
      <c r="G384" s="19" t="str">
        <f t="shared" si="15"/>
        <v/>
      </c>
      <c r="J384" s="28">
        <f t="shared" si="17"/>
        <v>-0.18644067796610164</v>
      </c>
    </row>
    <row r="385" spans="1:10">
      <c r="A385" s="3">
        <v>257</v>
      </c>
      <c r="B385" t="s">
        <v>408</v>
      </c>
      <c r="C385" t="s">
        <v>456</v>
      </c>
      <c r="E385" s="3">
        <f t="shared" si="16"/>
        <v>1</v>
      </c>
      <c r="F385" s="5">
        <v>44214.625</v>
      </c>
      <c r="G385" s="19" t="str">
        <f t="shared" si="15"/>
        <v>2021-W03</v>
      </c>
      <c r="H385">
        <f>SUM(A385:A391)</f>
        <v>1274</v>
      </c>
      <c r="I385" s="28">
        <f>H385/H378-1</f>
        <v>0.48311990686845174</v>
      </c>
      <c r="J385" s="28">
        <f t="shared" si="17"/>
        <v>0.37433155080213898</v>
      </c>
    </row>
    <row r="386" spans="1:10">
      <c r="A386" s="3">
        <v>188</v>
      </c>
      <c r="B386" t="s">
        <v>409</v>
      </c>
      <c r="C386" t="s">
        <v>456</v>
      </c>
      <c r="E386" s="3">
        <f t="shared" si="16"/>
        <v>2</v>
      </c>
      <c r="F386" s="5">
        <v>44215.625</v>
      </c>
      <c r="G386" s="19" t="str">
        <f t="shared" si="15"/>
        <v/>
      </c>
      <c r="J386" s="28">
        <f t="shared" si="17"/>
        <v>0.48031496062992129</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256</v>
      </c>
      <c r="B392" t="s">
        <v>415</v>
      </c>
      <c r="C392" t="s">
        <v>456</v>
      </c>
      <c r="E392" s="3">
        <f t="shared" si="19"/>
        <v>1</v>
      </c>
      <c r="F392" s="5">
        <v>44221.625</v>
      </c>
      <c r="G392" s="19" t="str">
        <f t="shared" si="18"/>
        <v>2021-W04</v>
      </c>
      <c r="H392">
        <f>SUM(A392:A398)</f>
        <v>1373</v>
      </c>
      <c r="I392" s="28">
        <f>H392/H385-1</f>
        <v>7.770800627943486E-2</v>
      </c>
      <c r="J392" s="28">
        <f t="shared" si="17"/>
        <v>-3.8910505836575737E-3</v>
      </c>
    </row>
    <row r="393" spans="1:10">
      <c r="A393" s="3">
        <v>212</v>
      </c>
      <c r="B393" t="s">
        <v>416</v>
      </c>
      <c r="C393" t="s">
        <v>456</v>
      </c>
      <c r="E393" s="3">
        <f t="shared" si="19"/>
        <v>2</v>
      </c>
      <c r="F393" s="5">
        <v>44222.625</v>
      </c>
      <c r="G393" s="19" t="str">
        <f t="shared" si="18"/>
        <v/>
      </c>
      <c r="J393" s="28">
        <f t="shared" ref="J393:J456" si="20">A393/A386-1</f>
        <v>0.12765957446808507</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190</v>
      </c>
      <c r="B396" t="s">
        <v>419</v>
      </c>
      <c r="C396" t="s">
        <v>456</v>
      </c>
      <c r="E396" s="3">
        <f t="shared" si="19"/>
        <v>5</v>
      </c>
      <c r="F396" s="5">
        <v>44225.625</v>
      </c>
      <c r="G396" s="19" t="str">
        <f t="shared" si="18"/>
        <v/>
      </c>
      <c r="J396" s="28">
        <f t="shared" si="20"/>
        <v>-3.0612244897959218E-2</v>
      </c>
    </row>
    <row r="397" spans="1:10">
      <c r="A397" s="3">
        <v>132</v>
      </c>
      <c r="B397" t="s">
        <v>421</v>
      </c>
      <c r="C397" t="s">
        <v>456</v>
      </c>
      <c r="E397" s="3">
        <f t="shared" si="19"/>
        <v>6</v>
      </c>
      <c r="F397" s="5">
        <v>44226.625</v>
      </c>
      <c r="G397" s="19" t="str">
        <f t="shared" si="18"/>
        <v/>
      </c>
      <c r="J397" s="28">
        <f t="shared" si="20"/>
        <v>0.41935483870967749</v>
      </c>
    </row>
    <row r="398" spans="1:10">
      <c r="A398" s="3">
        <v>166</v>
      </c>
      <c r="B398" t="s">
        <v>422</v>
      </c>
      <c r="C398" t="s">
        <v>456</v>
      </c>
      <c r="E398" s="3">
        <f t="shared" si="19"/>
        <v>7</v>
      </c>
      <c r="F398" s="5">
        <v>44227.625</v>
      </c>
      <c r="G398" s="19" t="str">
        <f t="shared" si="18"/>
        <v/>
      </c>
      <c r="J398" s="28">
        <f t="shared" si="20"/>
        <v>8.4967320261437829E-2</v>
      </c>
    </row>
    <row r="399" spans="1:10">
      <c r="A399" s="3">
        <v>297</v>
      </c>
      <c r="B399" t="s">
        <v>423</v>
      </c>
      <c r="C399" t="s">
        <v>456</v>
      </c>
      <c r="E399" s="3">
        <f t="shared" si="19"/>
        <v>1</v>
      </c>
      <c r="F399" s="5">
        <v>44228.625</v>
      </c>
      <c r="G399" s="19" t="str">
        <f t="shared" si="18"/>
        <v>2021-W05</v>
      </c>
      <c r="H399">
        <f>SUM(A399:A405)</f>
        <v>1577</v>
      </c>
      <c r="I399" s="28">
        <f>H399/H392-1</f>
        <v>0.14857975236707932</v>
      </c>
      <c r="J399" s="28">
        <f t="shared" si="20"/>
        <v>0.16015625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217</v>
      </c>
      <c r="B403" t="s">
        <v>427</v>
      </c>
      <c r="C403" t="s">
        <v>456</v>
      </c>
      <c r="E403" s="3">
        <f t="shared" si="19"/>
        <v>5</v>
      </c>
      <c r="F403" s="5">
        <v>44232.625</v>
      </c>
      <c r="G403" s="19" t="str">
        <f t="shared" si="18"/>
        <v/>
      </c>
      <c r="J403" s="28">
        <f t="shared" si="20"/>
        <v>0.14210526315789473</v>
      </c>
    </row>
    <row r="404" spans="1:10">
      <c r="A404" s="3">
        <v>153</v>
      </c>
      <c r="B404" t="s">
        <v>428</v>
      </c>
      <c r="C404" t="s">
        <v>456</v>
      </c>
      <c r="E404" s="3">
        <f t="shared" si="19"/>
        <v>6</v>
      </c>
      <c r="F404" s="5">
        <v>44233.625</v>
      </c>
      <c r="G404" s="19" t="str">
        <f t="shared" si="18"/>
        <v/>
      </c>
      <c r="J404" s="28">
        <f t="shared" si="20"/>
        <v>0.15909090909090917</v>
      </c>
    </row>
    <row r="405" spans="1:10">
      <c r="A405" s="3">
        <v>173</v>
      </c>
      <c r="B405" t="s">
        <v>429</v>
      </c>
      <c r="C405" t="s">
        <v>456</v>
      </c>
      <c r="E405" s="3">
        <f t="shared" si="19"/>
        <v>7</v>
      </c>
      <c r="F405" s="5">
        <v>44234.625</v>
      </c>
      <c r="G405" s="19" t="str">
        <f t="shared" si="18"/>
        <v/>
      </c>
      <c r="J405" s="28">
        <f t="shared" si="20"/>
        <v>4.2168674698795261E-2</v>
      </c>
    </row>
    <row r="406" spans="1:10">
      <c r="A406" s="3">
        <v>296</v>
      </c>
      <c r="B406" t="s">
        <v>437</v>
      </c>
      <c r="C406" t="s">
        <v>456</v>
      </c>
      <c r="E406" s="3">
        <f t="shared" si="19"/>
        <v>1</v>
      </c>
      <c r="F406" s="5">
        <v>44235.625</v>
      </c>
      <c r="G406" s="19" t="str">
        <f t="shared" si="18"/>
        <v>2021-W06</v>
      </c>
      <c r="H406">
        <f>SUM(A406:A412)</f>
        <v>1634</v>
      </c>
      <c r="I406" s="28">
        <f>H406/H399-1</f>
        <v>3.6144578313253017E-2</v>
      </c>
      <c r="J406" s="28">
        <f t="shared" si="20"/>
        <v>-3.3670033670033517E-3</v>
      </c>
    </row>
    <row r="407" spans="1:10">
      <c r="A407" s="3">
        <v>240</v>
      </c>
      <c r="B407" t="s">
        <v>438</v>
      </c>
      <c r="C407" t="s">
        <v>456</v>
      </c>
      <c r="E407" s="3">
        <f t="shared" si="19"/>
        <v>2</v>
      </c>
      <c r="F407" s="5">
        <v>44236.625</v>
      </c>
      <c r="G407" s="19" t="str">
        <f t="shared" si="18"/>
        <v/>
      </c>
      <c r="J407" s="28">
        <f t="shared" si="20"/>
        <v>-4.0000000000000036E-2</v>
      </c>
    </row>
    <row r="408" spans="1:10">
      <c r="A408" s="3">
        <v>229</v>
      </c>
      <c r="B408" t="s">
        <v>439</v>
      </c>
      <c r="C408" t="s">
        <v>456</v>
      </c>
      <c r="E408" s="3">
        <f t="shared" si="19"/>
        <v>3</v>
      </c>
      <c r="F408" s="5">
        <v>44237.625</v>
      </c>
      <c r="G408" s="19" t="str">
        <f t="shared" si="18"/>
        <v/>
      </c>
      <c r="J408" s="28">
        <f t="shared" si="20"/>
        <v>-0.12927756653992395</v>
      </c>
    </row>
    <row r="409" spans="1:10">
      <c r="A409" s="3">
        <v>237</v>
      </c>
      <c r="B409" t="s">
        <v>440</v>
      </c>
      <c r="C409" t="s">
        <v>456</v>
      </c>
      <c r="E409" s="3">
        <f t="shared" si="19"/>
        <v>4</v>
      </c>
      <c r="F409" s="5">
        <v>44238.625</v>
      </c>
      <c r="G409" s="19" t="str">
        <f t="shared" si="18"/>
        <v/>
      </c>
      <c r="J409" s="28">
        <f t="shared" si="20"/>
        <v>5.8035714285714191E-2</v>
      </c>
    </row>
    <row r="410" spans="1:10">
      <c r="A410" s="3">
        <v>260</v>
      </c>
      <c r="B410" t="s">
        <v>441</v>
      </c>
      <c r="C410" t="s">
        <v>456</v>
      </c>
      <c r="E410" s="3">
        <f t="shared" si="19"/>
        <v>5</v>
      </c>
      <c r="F410" s="5">
        <v>44239.625</v>
      </c>
      <c r="G410" s="19" t="str">
        <f t="shared" si="18"/>
        <v/>
      </c>
      <c r="J410" s="28">
        <f t="shared" si="20"/>
        <v>0.19815668202764969</v>
      </c>
    </row>
    <row r="411" spans="1:10">
      <c r="A411" s="3">
        <v>190</v>
      </c>
      <c r="B411" t="s">
        <v>442</v>
      </c>
      <c r="C411" t="s">
        <v>456</v>
      </c>
      <c r="E411" s="3">
        <f t="shared" si="19"/>
        <v>6</v>
      </c>
      <c r="F411" s="5">
        <v>44240.625</v>
      </c>
      <c r="G411" s="19" t="str">
        <f t="shared" si="18"/>
        <v/>
      </c>
      <c r="J411" s="28">
        <f t="shared" si="20"/>
        <v>0.24183006535947715</v>
      </c>
    </row>
    <row r="412" spans="1:10">
      <c r="A412" s="3">
        <v>182</v>
      </c>
      <c r="B412" t="s">
        <v>443</v>
      </c>
      <c r="C412" t="s">
        <v>456</v>
      </c>
      <c r="E412" s="3">
        <f t="shared" si="19"/>
        <v>7</v>
      </c>
      <c r="F412" s="5">
        <v>44241.625</v>
      </c>
      <c r="G412" s="19" t="str">
        <f t="shared" si="18"/>
        <v/>
      </c>
      <c r="J412" s="28">
        <f t="shared" si="20"/>
        <v>5.2023121387283267E-2</v>
      </c>
    </row>
    <row r="413" spans="1:10" s="10" customFormat="1">
      <c r="A413" s="14">
        <v>360</v>
      </c>
      <c r="B413" s="10" t="s">
        <v>444</v>
      </c>
      <c r="C413" s="10" t="s">
        <v>456</v>
      </c>
      <c r="E413" s="14">
        <f t="shared" si="19"/>
        <v>1</v>
      </c>
      <c r="F413" s="18">
        <v>44242.625</v>
      </c>
      <c r="G413" s="19" t="str">
        <f t="shared" si="18"/>
        <v>2021-W07</v>
      </c>
      <c r="H413" s="10">
        <f>SUM(A413:A419)</f>
        <v>2052</v>
      </c>
      <c r="I413" s="34">
        <f>H413/H406-1</f>
        <v>0.2558139534883721</v>
      </c>
      <c r="J413" s="28">
        <f t="shared" si="20"/>
        <v>0.21621621621621623</v>
      </c>
    </row>
    <row r="414" spans="1:10">
      <c r="A414" s="3">
        <v>329</v>
      </c>
      <c r="B414" t="s">
        <v>445</v>
      </c>
      <c r="C414" t="s">
        <v>456</v>
      </c>
      <c r="E414" s="3">
        <f t="shared" si="19"/>
        <v>2</v>
      </c>
      <c r="F414" s="5">
        <v>44243.625</v>
      </c>
      <c r="G414" s="19" t="str">
        <f t="shared" si="18"/>
        <v/>
      </c>
      <c r="J414" s="28">
        <f t="shared" si="20"/>
        <v>0.37083333333333335</v>
      </c>
    </row>
    <row r="415" spans="1:10">
      <c r="A415" s="3">
        <v>329</v>
      </c>
      <c r="B415" t="s">
        <v>446</v>
      </c>
      <c r="C415" t="s">
        <v>456</v>
      </c>
      <c r="E415" s="3">
        <f t="shared" si="19"/>
        <v>3</v>
      </c>
      <c r="F415" s="5">
        <v>44244.625</v>
      </c>
      <c r="G415" s="19" t="str">
        <f t="shared" si="18"/>
        <v/>
      </c>
      <c r="J415" s="28">
        <f t="shared" si="20"/>
        <v>0.43668122270742349</v>
      </c>
    </row>
    <row r="416" spans="1:10">
      <c r="A416" s="3">
        <v>325</v>
      </c>
      <c r="B416" t="s">
        <v>447</v>
      </c>
      <c r="C416" t="s">
        <v>456</v>
      </c>
      <c r="E416" s="3">
        <f t="shared" si="19"/>
        <v>4</v>
      </c>
      <c r="F416" s="5">
        <v>44245.625</v>
      </c>
      <c r="G416" s="19" t="str">
        <f t="shared" si="18"/>
        <v/>
      </c>
      <c r="J416" s="28">
        <f t="shared" si="20"/>
        <v>0.37130801687763704</v>
      </c>
    </row>
    <row r="417" spans="1:10">
      <c r="A417" s="3">
        <v>304</v>
      </c>
      <c r="B417" t="s">
        <v>448</v>
      </c>
      <c r="C417" t="s">
        <v>456</v>
      </c>
      <c r="E417" s="3">
        <f t="shared" si="19"/>
        <v>5</v>
      </c>
      <c r="F417" s="5">
        <v>44246.625</v>
      </c>
      <c r="G417" s="19" t="str">
        <f t="shared" si="18"/>
        <v/>
      </c>
      <c r="J417" s="28">
        <f t="shared" si="20"/>
        <v>0.1692307692307693</v>
      </c>
    </row>
    <row r="418" spans="1:10">
      <c r="A418" s="3">
        <v>185</v>
      </c>
      <c r="B418" t="s">
        <v>450</v>
      </c>
      <c r="C418" t="s">
        <v>456</v>
      </c>
      <c r="E418" s="3">
        <f t="shared" si="19"/>
        <v>6</v>
      </c>
      <c r="F418" s="5">
        <v>44247.625</v>
      </c>
      <c r="G418" s="19" t="str">
        <f t="shared" si="18"/>
        <v/>
      </c>
      <c r="J418" s="28">
        <f t="shared" si="20"/>
        <v>-2.6315789473684181E-2</v>
      </c>
    </row>
    <row r="419" spans="1:10">
      <c r="A419" s="3">
        <v>220</v>
      </c>
      <c r="B419" t="s">
        <v>451</v>
      </c>
      <c r="C419" t="s">
        <v>456</v>
      </c>
      <c r="E419" s="3">
        <f t="shared" si="19"/>
        <v>7</v>
      </c>
      <c r="F419" s="5">
        <v>44248.625</v>
      </c>
      <c r="G419" s="19" t="str">
        <f t="shared" si="18"/>
        <v/>
      </c>
      <c r="J419" s="28">
        <f t="shared" si="20"/>
        <v>0.20879120879120872</v>
      </c>
    </row>
    <row r="420" spans="1:10">
      <c r="A420" s="3">
        <v>386</v>
      </c>
      <c r="B420" t="s">
        <v>452</v>
      </c>
      <c r="C420" t="s">
        <v>456</v>
      </c>
      <c r="E420" s="3">
        <f t="shared" si="19"/>
        <v>1</v>
      </c>
      <c r="F420" s="5">
        <v>44249.625</v>
      </c>
      <c r="G420" s="19" t="str">
        <f t="shared" si="18"/>
        <v>2021-W08</v>
      </c>
      <c r="H420">
        <f>SUM(A420:A426)</f>
        <v>2505</v>
      </c>
      <c r="I420" s="28">
        <f>H420/H413-1</f>
        <v>0.22076023391812871</v>
      </c>
      <c r="J420" s="28">
        <f t="shared" si="20"/>
        <v>7.2222222222222188E-2</v>
      </c>
    </row>
    <row r="421" spans="1:10">
      <c r="A421" s="3">
        <v>383</v>
      </c>
      <c r="B421" t="s">
        <v>455</v>
      </c>
      <c r="C421" t="s">
        <v>456</v>
      </c>
      <c r="E421" s="3">
        <f t="shared" si="19"/>
        <v>2</v>
      </c>
      <c r="F421" s="5">
        <v>44250.625</v>
      </c>
      <c r="G421" s="19" t="str">
        <f t="shared" si="18"/>
        <v/>
      </c>
      <c r="J421" s="28">
        <f t="shared" si="20"/>
        <v>0.16413373860182379</v>
      </c>
    </row>
    <row r="422" spans="1:10">
      <c r="A422" s="3">
        <v>417</v>
      </c>
      <c r="B422" t="s">
        <v>461</v>
      </c>
      <c r="C422" t="s">
        <v>456</v>
      </c>
      <c r="E422" s="3">
        <f t="shared" si="19"/>
        <v>3</v>
      </c>
      <c r="F422" s="5">
        <v>44251.625</v>
      </c>
      <c r="G422" s="19" t="str">
        <f t="shared" si="18"/>
        <v/>
      </c>
      <c r="J422" s="28">
        <f t="shared" si="20"/>
        <v>0.26747720364741645</v>
      </c>
    </row>
    <row r="423" spans="1:10">
      <c r="A423" s="3">
        <v>360</v>
      </c>
      <c r="B423" t="s">
        <v>463</v>
      </c>
      <c r="C423" t="s">
        <v>456</v>
      </c>
      <c r="E423" s="3">
        <f t="shared" si="19"/>
        <v>4</v>
      </c>
      <c r="F423" s="5">
        <v>44252.625</v>
      </c>
      <c r="G423" s="19" t="str">
        <f t="shared" si="18"/>
        <v/>
      </c>
      <c r="J423" s="28">
        <f t="shared" si="20"/>
        <v>0.10769230769230775</v>
      </c>
    </row>
    <row r="424" spans="1:10">
      <c r="A424" s="3">
        <v>429</v>
      </c>
      <c r="B424" t="s">
        <v>464</v>
      </c>
      <c r="C424" t="s">
        <v>456</v>
      </c>
      <c r="E424" s="3">
        <f t="shared" si="19"/>
        <v>5</v>
      </c>
      <c r="F424" s="5">
        <v>44253.625</v>
      </c>
      <c r="G424" s="19" t="str">
        <f t="shared" si="18"/>
        <v/>
      </c>
      <c r="J424" s="28">
        <f t="shared" si="20"/>
        <v>0.41118421052631571</v>
      </c>
    </row>
    <row r="425" spans="1:10">
      <c r="A425" s="3">
        <v>266</v>
      </c>
      <c r="B425" t="s">
        <v>469</v>
      </c>
      <c r="C425" t="s">
        <v>456</v>
      </c>
      <c r="E425" s="3">
        <f t="shared" si="19"/>
        <v>6</v>
      </c>
      <c r="F425" s="5">
        <v>44254.625</v>
      </c>
      <c r="G425" s="19" t="str">
        <f t="shared" si="18"/>
        <v/>
      </c>
      <c r="J425" s="28">
        <f t="shared" si="20"/>
        <v>0.43783783783783781</v>
      </c>
    </row>
    <row r="426" spans="1:10">
      <c r="A426" s="3">
        <v>264</v>
      </c>
      <c r="B426" t="s">
        <v>470</v>
      </c>
      <c r="C426" t="s">
        <v>456</v>
      </c>
      <c r="E426" s="3">
        <f t="shared" si="19"/>
        <v>7</v>
      </c>
      <c r="F426" s="5">
        <v>44255.625</v>
      </c>
      <c r="G426" s="19" t="str">
        <f t="shared" si="18"/>
        <v/>
      </c>
      <c r="J426" s="28">
        <f t="shared" si="20"/>
        <v>0.19999999999999996</v>
      </c>
    </row>
    <row r="427" spans="1:10">
      <c r="A427" s="3">
        <v>481</v>
      </c>
      <c r="B427" t="s">
        <v>471</v>
      </c>
      <c r="C427" t="s">
        <v>456</v>
      </c>
      <c r="E427" s="3">
        <f t="shared" si="19"/>
        <v>1</v>
      </c>
      <c r="F427" s="5">
        <v>44256.625</v>
      </c>
      <c r="G427" s="19" t="str">
        <f t="shared" si="18"/>
        <v>2021-W09</v>
      </c>
      <c r="H427">
        <f>SUM(A427:A433)</f>
        <v>2787</v>
      </c>
      <c r="I427" s="28">
        <f>H427/H420-1</f>
        <v>0.11257485029940129</v>
      </c>
      <c r="J427" s="28">
        <f t="shared" si="20"/>
        <v>0.24611398963730569</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0.13908872901678659</v>
      </c>
    </row>
    <row r="430" spans="1:10">
      <c r="A430" s="3">
        <v>389</v>
      </c>
      <c r="B430" t="s">
        <v>474</v>
      </c>
      <c r="C430" t="s">
        <v>456</v>
      </c>
      <c r="E430" s="3">
        <f t="shared" si="19"/>
        <v>4</v>
      </c>
      <c r="F430" s="5">
        <v>44259.625</v>
      </c>
      <c r="G430" s="19" t="str">
        <f t="shared" si="18"/>
        <v/>
      </c>
      <c r="J430" s="28">
        <f t="shared" si="20"/>
        <v>8.0555555555555491E-2</v>
      </c>
    </row>
    <row r="431" spans="1:10">
      <c r="A431" s="3">
        <v>420</v>
      </c>
      <c r="B431" t="s">
        <v>475</v>
      </c>
      <c r="C431" t="s">
        <v>456</v>
      </c>
      <c r="E431" s="3">
        <f t="shared" si="19"/>
        <v>5</v>
      </c>
      <c r="F431" s="5">
        <v>44260.625</v>
      </c>
      <c r="G431" s="19" t="str">
        <f t="shared" si="18"/>
        <v/>
      </c>
      <c r="J431" s="28">
        <f t="shared" si="20"/>
        <v>-2.0979020979020935E-2</v>
      </c>
    </row>
    <row r="432" spans="1:10">
      <c r="A432" s="3">
        <v>275</v>
      </c>
      <c r="B432" t="s">
        <v>476</v>
      </c>
      <c r="C432" t="s">
        <v>456</v>
      </c>
      <c r="E432" s="3">
        <f t="shared" si="19"/>
        <v>6</v>
      </c>
      <c r="F432" s="5">
        <v>44261.625</v>
      </c>
      <c r="G432" s="19" t="str">
        <f t="shared" si="18"/>
        <v/>
      </c>
      <c r="J432" s="28">
        <f t="shared" si="20"/>
        <v>3.3834586466165328E-2</v>
      </c>
    </row>
    <row r="433" spans="1:10">
      <c r="A433" s="3">
        <v>255</v>
      </c>
      <c r="B433" t="s">
        <v>477</v>
      </c>
      <c r="C433" t="s">
        <v>456</v>
      </c>
      <c r="E433" s="3">
        <f t="shared" si="19"/>
        <v>7</v>
      </c>
      <c r="F433" s="5">
        <v>44262.625</v>
      </c>
      <c r="G433" s="19" t="str">
        <f t="shared" si="18"/>
        <v/>
      </c>
      <c r="J433" s="28">
        <f t="shared" si="20"/>
        <v>-3.4090909090909061E-2</v>
      </c>
    </row>
    <row r="434" spans="1:10">
      <c r="A434" s="3">
        <v>502</v>
      </c>
      <c r="B434" t="s">
        <v>478</v>
      </c>
      <c r="C434" t="s">
        <v>456</v>
      </c>
      <c r="E434" s="3">
        <f t="shared" si="19"/>
        <v>1</v>
      </c>
      <c r="F434" s="5">
        <v>44263.625</v>
      </c>
      <c r="G434" s="19" t="str">
        <f t="shared" si="18"/>
        <v>2021-W10</v>
      </c>
      <c r="H434">
        <f>SUM(A434:A440)</f>
        <v>3095</v>
      </c>
      <c r="I434" s="28">
        <f>H434/H427-1</f>
        <v>0.1105130965195551</v>
      </c>
      <c r="J434" s="28">
        <f t="shared" si="20"/>
        <v>4.3659043659043606E-2</v>
      </c>
    </row>
    <row r="435" spans="1:10">
      <c r="A435" s="3">
        <v>507</v>
      </c>
      <c r="B435" t="s">
        <v>479</v>
      </c>
      <c r="C435" t="s">
        <v>456</v>
      </c>
      <c r="E435" s="3">
        <f t="shared" si="19"/>
        <v>2</v>
      </c>
      <c r="F435" s="5">
        <v>44264.625</v>
      </c>
      <c r="G435" s="19" t="str">
        <f t="shared" si="18"/>
        <v/>
      </c>
      <c r="J435" s="28">
        <f t="shared" si="20"/>
        <v>3.0487804878048808E-2</v>
      </c>
    </row>
    <row r="436" spans="1:10">
      <c r="A436" s="3">
        <v>504</v>
      </c>
      <c r="B436" t="s">
        <v>480</v>
      </c>
      <c r="C436" t="s">
        <v>456</v>
      </c>
      <c r="E436" s="3">
        <f t="shared" si="19"/>
        <v>3</v>
      </c>
      <c r="F436" s="5">
        <v>44265.625</v>
      </c>
      <c r="G436" s="19" t="str">
        <f t="shared" si="18"/>
        <v/>
      </c>
      <c r="J436" s="28">
        <f t="shared" si="20"/>
        <v>6.1052631578947469E-2</v>
      </c>
    </row>
    <row r="437" spans="1:10">
      <c r="A437" s="3">
        <v>477</v>
      </c>
      <c r="B437" t="s">
        <v>481</v>
      </c>
      <c r="C437" t="s">
        <v>456</v>
      </c>
      <c r="E437" s="3">
        <f t="shared" si="19"/>
        <v>4</v>
      </c>
      <c r="F437" s="5">
        <v>44266.625</v>
      </c>
      <c r="G437" s="19" t="str">
        <f t="shared" si="18"/>
        <v/>
      </c>
      <c r="J437" s="28">
        <f t="shared" si="20"/>
        <v>0.22622107969151672</v>
      </c>
    </row>
    <row r="438" spans="1:10">
      <c r="A438" s="3">
        <v>517</v>
      </c>
      <c r="B438" t="s">
        <v>482</v>
      </c>
      <c r="C438" t="s">
        <v>456</v>
      </c>
      <c r="E438" s="3">
        <f t="shared" si="19"/>
        <v>5</v>
      </c>
      <c r="F438" s="5">
        <v>44267.625</v>
      </c>
      <c r="G438" s="19" t="str">
        <f t="shared" si="18"/>
        <v/>
      </c>
      <c r="J438" s="28">
        <f t="shared" si="20"/>
        <v>0.23095238095238102</v>
      </c>
    </row>
    <row r="439" spans="1:10">
      <c r="A439" s="3">
        <v>327</v>
      </c>
      <c r="B439" t="s">
        <v>483</v>
      </c>
      <c r="C439" t="s">
        <v>456</v>
      </c>
      <c r="E439" s="3">
        <f t="shared" si="19"/>
        <v>6</v>
      </c>
      <c r="F439" s="5">
        <v>44268.625</v>
      </c>
      <c r="G439" s="19" t="str">
        <f t="shared" si="18"/>
        <v/>
      </c>
      <c r="J439" s="28">
        <f t="shared" si="20"/>
        <v>0.1890909090909092</v>
      </c>
    </row>
    <row r="440" spans="1:10">
      <c r="A440" s="3">
        <v>261</v>
      </c>
      <c r="B440" t="s">
        <v>484</v>
      </c>
      <c r="C440" t="s">
        <v>456</v>
      </c>
      <c r="E440" s="3">
        <f t="shared" si="19"/>
        <v>7</v>
      </c>
      <c r="F440" s="5">
        <v>44269.625</v>
      </c>
      <c r="G440" s="19" t="str">
        <f t="shared" si="18"/>
        <v/>
      </c>
      <c r="J440" s="28">
        <f t="shared" si="20"/>
        <v>2.3529411764705799E-2</v>
      </c>
    </row>
    <row r="441" spans="1:10">
      <c r="A441" s="3">
        <v>508</v>
      </c>
      <c r="B441" t="s">
        <v>485</v>
      </c>
      <c r="C441" t="s">
        <v>456</v>
      </c>
      <c r="E441" s="3">
        <f t="shared" si="19"/>
        <v>1</v>
      </c>
      <c r="F441" s="5">
        <v>44270.625</v>
      </c>
      <c r="G441" s="19" t="str">
        <f t="shared" si="18"/>
        <v>2021-W11</v>
      </c>
      <c r="H441">
        <f>SUM(A441:A447)</f>
        <v>2851</v>
      </c>
      <c r="I441" s="28">
        <f>H441/H434-1</f>
        <v>-7.8836833602584866E-2</v>
      </c>
      <c r="J441" s="28">
        <f t="shared" si="20"/>
        <v>1.195219123505975E-2</v>
      </c>
    </row>
    <row r="442" spans="1:10">
      <c r="A442" s="3">
        <v>454</v>
      </c>
      <c r="B442" t="s">
        <v>486</v>
      </c>
      <c r="C442" t="s">
        <v>456</v>
      </c>
      <c r="E442" s="3">
        <f t="shared" si="19"/>
        <v>2</v>
      </c>
      <c r="F442" s="5">
        <v>44271.625</v>
      </c>
      <c r="G442" s="19" t="str">
        <f t="shared" si="18"/>
        <v/>
      </c>
      <c r="J442" s="28">
        <f t="shared" si="20"/>
        <v>-0.10453648915187375</v>
      </c>
    </row>
    <row r="443" spans="1:10">
      <c r="A443" s="3">
        <v>417</v>
      </c>
      <c r="B443" t="s">
        <v>487</v>
      </c>
      <c r="C443" t="s">
        <v>456</v>
      </c>
      <c r="E443" s="3">
        <f t="shared" si="19"/>
        <v>3</v>
      </c>
      <c r="F443" s="5">
        <v>44272.625</v>
      </c>
      <c r="G443" s="19" t="str">
        <f t="shared" si="18"/>
        <v/>
      </c>
      <c r="J443" s="28">
        <f t="shared" si="20"/>
        <v>-0.17261904761904767</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286</v>
      </c>
      <c r="B447" t="s">
        <v>491</v>
      </c>
      <c r="C447" t="s">
        <v>456</v>
      </c>
      <c r="E447" s="3">
        <f t="shared" si="19"/>
        <v>7</v>
      </c>
      <c r="F447" s="5">
        <v>44276.625</v>
      </c>
      <c r="G447" s="19" t="str">
        <f t="shared" si="18"/>
        <v/>
      </c>
      <c r="J447" s="28">
        <f t="shared" si="20"/>
        <v>9.578544061302674E-2</v>
      </c>
    </row>
    <row r="448" spans="1:10">
      <c r="A448" s="3">
        <v>451</v>
      </c>
      <c r="B448" t="s">
        <v>492</v>
      </c>
      <c r="C448" t="s">
        <v>456</v>
      </c>
      <c r="E448" s="3">
        <f t="shared" si="19"/>
        <v>1</v>
      </c>
      <c r="F448" s="5">
        <v>44277.625</v>
      </c>
      <c r="G448" s="19" t="str">
        <f t="shared" si="18"/>
        <v>2021-W12</v>
      </c>
      <c r="H448">
        <f>SUM(A448:A454)</f>
        <v>2502</v>
      </c>
      <c r="I448" s="28">
        <f>H448/H441-1</f>
        <v>-0.12241318835496318</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393</v>
      </c>
      <c r="B450" t="s">
        <v>494</v>
      </c>
      <c r="C450" t="s">
        <v>456</v>
      </c>
      <c r="E450" s="3">
        <f t="shared" si="19"/>
        <v>3</v>
      </c>
      <c r="F450" s="5">
        <v>44279.625</v>
      </c>
      <c r="G450" s="19" t="str">
        <f t="shared" si="18"/>
        <v/>
      </c>
      <c r="J450" s="28">
        <f t="shared" si="20"/>
        <v>-5.7553956834532349E-2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245</v>
      </c>
      <c r="B454" t="s">
        <v>498</v>
      </c>
      <c r="C454" t="s">
        <v>456</v>
      </c>
      <c r="E454" s="3">
        <f t="shared" si="22"/>
        <v>7</v>
      </c>
      <c r="F454" s="5">
        <v>44283.625</v>
      </c>
      <c r="G454" s="19" t="str">
        <f t="shared" si="21"/>
        <v/>
      </c>
      <c r="J454" s="28">
        <f t="shared" si="20"/>
        <v>-0.14335664335664333</v>
      </c>
    </row>
    <row r="455" spans="1:10">
      <c r="A455" s="3">
        <v>378</v>
      </c>
      <c r="B455" t="s">
        <v>499</v>
      </c>
      <c r="C455" t="s">
        <v>456</v>
      </c>
      <c r="E455" s="3">
        <f t="shared" si="22"/>
        <v>1</v>
      </c>
      <c r="F455" s="5">
        <v>44284.625</v>
      </c>
      <c r="G455" s="19" t="str">
        <f t="shared" si="21"/>
        <v>2021-W13</v>
      </c>
      <c r="H455">
        <f>SUM(A455:A461)</f>
        <v>1898</v>
      </c>
      <c r="I455" s="28">
        <f>H455/H448-1</f>
        <v>-0.24140687450039966</v>
      </c>
      <c r="J455" s="28">
        <f t="shared" si="20"/>
        <v>-0.16186252771618626</v>
      </c>
    </row>
    <row r="456" spans="1:10">
      <c r="A456" s="3">
        <v>322</v>
      </c>
      <c r="B456" t="s">
        <v>500</v>
      </c>
      <c r="C456" t="s">
        <v>456</v>
      </c>
      <c r="E456" s="3">
        <f t="shared" si="22"/>
        <v>2</v>
      </c>
      <c r="F456" s="5">
        <v>44285.625</v>
      </c>
      <c r="G456" s="19" t="str">
        <f t="shared" si="21"/>
        <v/>
      </c>
      <c r="J456" s="28">
        <f t="shared" si="20"/>
        <v>-0.28761061946902655</v>
      </c>
    </row>
    <row r="457" spans="1:10">
      <c r="A457" s="3">
        <v>330</v>
      </c>
      <c r="B457" t="s">
        <v>501</v>
      </c>
      <c r="C457" t="s">
        <v>456</v>
      </c>
      <c r="E457" s="3">
        <f t="shared" si="22"/>
        <v>3</v>
      </c>
      <c r="F457" s="5">
        <v>44286.625</v>
      </c>
      <c r="G457" s="19" t="str">
        <f t="shared" si="21"/>
        <v/>
      </c>
      <c r="J457" s="28">
        <f t="shared" ref="J457:J520" si="23">A457/A450-1</f>
        <v>-0.16030534351145043</v>
      </c>
    </row>
    <row r="458" spans="1:10">
      <c r="A458" s="3">
        <v>252</v>
      </c>
      <c r="B458" t="s">
        <v>502</v>
      </c>
      <c r="C458" t="s">
        <v>456</v>
      </c>
      <c r="E458" s="3">
        <f t="shared" si="22"/>
        <v>4</v>
      </c>
      <c r="F458" s="5">
        <v>44287.625</v>
      </c>
      <c r="G458" s="19" t="str">
        <f t="shared" si="21"/>
        <v/>
      </c>
      <c r="J458" s="28">
        <f t="shared" si="23"/>
        <v>-0.29014084507042248</v>
      </c>
    </row>
    <row r="459" spans="1:10">
      <c r="A459" s="3">
        <v>222</v>
      </c>
      <c r="B459" t="s">
        <v>503</v>
      </c>
      <c r="C459" t="s">
        <v>456</v>
      </c>
      <c r="E459" s="3">
        <f t="shared" si="22"/>
        <v>5</v>
      </c>
      <c r="F459" s="5">
        <v>44288.625</v>
      </c>
      <c r="G459" s="19" t="str">
        <f t="shared" si="21"/>
        <v/>
      </c>
      <c r="J459" s="28">
        <f t="shared" si="23"/>
        <v>-0.45454545454545459</v>
      </c>
    </row>
    <row r="460" spans="1:10">
      <c r="A460" s="3">
        <v>188</v>
      </c>
      <c r="B460" t="s">
        <v>504</v>
      </c>
      <c r="C460" t="s">
        <v>456</v>
      </c>
      <c r="E460" s="3">
        <f t="shared" si="22"/>
        <v>6</v>
      </c>
      <c r="F460" s="5">
        <v>44289.625</v>
      </c>
      <c r="G460" s="19" t="str">
        <f t="shared" si="21"/>
        <v/>
      </c>
      <c r="J460" s="28">
        <f t="shared" si="23"/>
        <v>-5.5276381909547756E-2</v>
      </c>
    </row>
    <row r="461" spans="1:10">
      <c r="A461" s="3">
        <v>206</v>
      </c>
      <c r="B461" t="s">
        <v>505</v>
      </c>
      <c r="C461" t="s">
        <v>456</v>
      </c>
      <c r="E461" s="3">
        <f t="shared" si="22"/>
        <v>7</v>
      </c>
      <c r="F461" s="5">
        <v>44290.625</v>
      </c>
      <c r="G461" s="19" t="str">
        <f t="shared" si="21"/>
        <v/>
      </c>
      <c r="J461" s="28">
        <f t="shared" si="23"/>
        <v>-0.15918367346938778</v>
      </c>
    </row>
    <row r="462" spans="1:10">
      <c r="A462" s="3">
        <v>232</v>
      </c>
      <c r="B462" t="s">
        <v>506</v>
      </c>
      <c r="C462" t="s">
        <v>456</v>
      </c>
      <c r="E462" s="3">
        <f t="shared" si="22"/>
        <v>1</v>
      </c>
      <c r="F462" s="5">
        <v>44291.625</v>
      </c>
      <c r="G462" s="19" t="str">
        <f t="shared" si="21"/>
        <v>2021-W14</v>
      </c>
      <c r="H462">
        <f>SUM(A462:A468)</f>
        <v>1447</v>
      </c>
      <c r="I462" s="28">
        <f>H462/H455-1</f>
        <v>-0.2376185458377239</v>
      </c>
      <c r="J462" s="28">
        <f t="shared" si="23"/>
        <v>-0.38624338624338628</v>
      </c>
    </row>
    <row r="463" spans="1:10">
      <c r="A463" s="3">
        <v>305</v>
      </c>
      <c r="B463" t="s">
        <v>507</v>
      </c>
      <c r="C463" t="s">
        <v>456</v>
      </c>
      <c r="E463" s="3">
        <f t="shared" si="22"/>
        <v>2</v>
      </c>
      <c r="F463" s="5">
        <v>44292.625</v>
      </c>
      <c r="G463" s="19" t="str">
        <f t="shared" si="21"/>
        <v/>
      </c>
      <c r="J463" s="28">
        <f t="shared" si="23"/>
        <v>-5.2795031055900665E-2</v>
      </c>
    </row>
    <row r="464" spans="1:10">
      <c r="A464" s="3">
        <v>246</v>
      </c>
      <c r="B464" t="s">
        <v>508</v>
      </c>
      <c r="C464" t="s">
        <v>456</v>
      </c>
      <c r="E464" s="3">
        <f t="shared" si="22"/>
        <v>3</v>
      </c>
      <c r="F464" s="5">
        <v>44293.625</v>
      </c>
      <c r="G464" s="19" t="str">
        <f t="shared" si="21"/>
        <v/>
      </c>
      <c r="J464" s="28">
        <f t="shared" si="23"/>
        <v>-0.25454545454545452</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-0.21171171171171166</v>
      </c>
    </row>
    <row r="467" spans="1:10">
      <c r="A467" s="3">
        <v>136</v>
      </c>
      <c r="B467" t="s">
        <v>511</v>
      </c>
      <c r="C467" t="s">
        <v>456</v>
      </c>
      <c r="E467" s="3">
        <f t="shared" si="22"/>
        <v>6</v>
      </c>
      <c r="F467" s="5">
        <v>44296.625</v>
      </c>
      <c r="G467" s="19" t="str">
        <f t="shared" si="21"/>
        <v/>
      </c>
      <c r="J467" s="28">
        <f t="shared" si="23"/>
        <v>-0.27659574468085102</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-0.30200414651002072</v>
      </c>
      <c r="J469" s="28">
        <f t="shared" si="23"/>
        <v>-7.3275862068965525E-2</v>
      </c>
    </row>
    <row r="470" spans="1:10">
      <c r="A470" s="3">
        <v>155</v>
      </c>
      <c r="B470" t="s">
        <v>514</v>
      </c>
      <c r="C470" t="s">
        <v>456</v>
      </c>
      <c r="E470" s="3">
        <f t="shared" si="22"/>
        <v>2</v>
      </c>
      <c r="F470" s="5">
        <v>44299.625</v>
      </c>
      <c r="G470" s="19" t="str">
        <f t="shared" si="21"/>
        <v/>
      </c>
      <c r="J470" s="28">
        <f t="shared" si="23"/>
        <v>-0.49180327868852458</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-8.8235294117647078E-2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814</v>
      </c>
      <c r="I476" s="28">
        <f>H476/H469-1</f>
        <v>-0.19405940594059401</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86</v>
      </c>
      <c r="B481" t="s">
        <v>526</v>
      </c>
      <c r="C481" t="s">
        <v>456</v>
      </c>
      <c r="E481" s="3">
        <f t="shared" si="22"/>
        <v>6</v>
      </c>
      <c r="F481" s="5">
        <v>44310.625</v>
      </c>
      <c r="G481" s="19" t="str">
        <f t="shared" si="21"/>
        <v/>
      </c>
      <c r="J481" s="28">
        <f t="shared" si="23"/>
        <v>-0.30645161290322576</v>
      </c>
    </row>
    <row r="482" spans="1:10">
      <c r="A482" s="3">
        <v>84</v>
      </c>
      <c r="B482" t="s">
        <v>527</v>
      </c>
      <c r="C482" t="s">
        <v>456</v>
      </c>
      <c r="E482" s="3">
        <f t="shared" si="22"/>
        <v>7</v>
      </c>
      <c r="F482" s="5">
        <v>44311.625</v>
      </c>
      <c r="G482" s="19" t="str">
        <f t="shared" si="21"/>
        <v/>
      </c>
      <c r="J482" s="28">
        <f t="shared" si="23"/>
        <v>-4.5454545454545414E-2</v>
      </c>
    </row>
    <row r="483" spans="1:10">
      <c r="A483" s="3">
        <v>120</v>
      </c>
      <c r="B483" t="s">
        <v>528</v>
      </c>
      <c r="C483" t="s">
        <v>456</v>
      </c>
      <c r="E483" s="3">
        <f t="shared" si="22"/>
        <v>1</v>
      </c>
      <c r="F483" s="5">
        <v>44312.625</v>
      </c>
      <c r="G483" s="19" t="str">
        <f t="shared" si="21"/>
        <v>2021-W17</v>
      </c>
      <c r="H483">
        <f>SUM(A483:A489)</f>
        <v>693</v>
      </c>
      <c r="I483" s="28">
        <f>H483/H476-1</f>
        <v>-0.14864864864864868</v>
      </c>
      <c r="J483" s="28">
        <f t="shared" si="23"/>
        <v>-0.11764705882352944</v>
      </c>
    </row>
    <row r="484" spans="1:10">
      <c r="A484" s="3">
        <v>108</v>
      </c>
      <c r="B484" t="s">
        <v>529</v>
      </c>
      <c r="C484" t="s">
        <v>456</v>
      </c>
      <c r="E484" s="3">
        <f t="shared" si="22"/>
        <v>2</v>
      </c>
      <c r="F484" s="5">
        <v>44313.625</v>
      </c>
      <c r="G484" s="19" t="str">
        <f t="shared" si="21"/>
        <v/>
      </c>
      <c r="J484" s="28">
        <f t="shared" si="23"/>
        <v>-0.2551724137931034</v>
      </c>
    </row>
    <row r="485" spans="1:10">
      <c r="A485" s="3">
        <v>142</v>
      </c>
      <c r="B485" t="s">
        <v>530</v>
      </c>
      <c r="C485" t="s">
        <v>456</v>
      </c>
      <c r="E485" s="3">
        <f t="shared" si="22"/>
        <v>3</v>
      </c>
      <c r="F485" s="5">
        <v>44314.625</v>
      </c>
      <c r="G485" s="19" t="str">
        <f t="shared" si="21"/>
        <v/>
      </c>
      <c r="J485" s="28">
        <f t="shared" si="23"/>
        <v>0.2456140350877194</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51</v>
      </c>
      <c r="B488" t="s">
        <v>533</v>
      </c>
      <c r="C488" t="s">
        <v>456</v>
      </c>
      <c r="E488" s="3">
        <f t="shared" si="22"/>
        <v>6</v>
      </c>
      <c r="F488" s="5">
        <v>44317.625</v>
      </c>
      <c r="G488" s="19" t="str">
        <f t="shared" si="21"/>
        <v/>
      </c>
      <c r="J488" s="28">
        <f t="shared" si="23"/>
        <v>-0.40697674418604646</v>
      </c>
    </row>
    <row r="489" spans="1:10">
      <c r="A489" s="3">
        <v>81</v>
      </c>
      <c r="B489" t="s">
        <v>534</v>
      </c>
      <c r="C489" t="s">
        <v>456</v>
      </c>
      <c r="E489" s="3">
        <f t="shared" si="22"/>
        <v>7</v>
      </c>
      <c r="F489" s="5">
        <v>44318.625</v>
      </c>
      <c r="G489" s="19" t="str">
        <f t="shared" si="21"/>
        <v/>
      </c>
      <c r="J489" s="28">
        <f t="shared" si="23"/>
        <v>-3.5714285714285698E-2</v>
      </c>
    </row>
    <row r="490" spans="1:10">
      <c r="A490" s="3">
        <v>155</v>
      </c>
      <c r="B490" t="s">
        <v>535</v>
      </c>
      <c r="C490" t="s">
        <v>456</v>
      </c>
      <c r="E490" s="3">
        <f t="shared" si="22"/>
        <v>1</v>
      </c>
      <c r="F490" s="5">
        <v>44319.625</v>
      </c>
      <c r="G490" s="19" t="str">
        <f t="shared" si="21"/>
        <v>2021-W18</v>
      </c>
      <c r="H490">
        <f>SUM(A490:A496)</f>
        <v>735</v>
      </c>
      <c r="I490" s="28">
        <f>H490/H483-1</f>
        <v>6.0606060606060552E-2</v>
      </c>
      <c r="J490" s="28">
        <f t="shared" si="23"/>
        <v>0.29166666666666674</v>
      </c>
    </row>
    <row r="491" spans="1:10">
      <c r="A491" s="3">
        <v>112</v>
      </c>
      <c r="B491" t="s">
        <v>536</v>
      </c>
      <c r="C491" t="s">
        <v>456</v>
      </c>
      <c r="E491" s="3">
        <f t="shared" si="22"/>
        <v>2</v>
      </c>
      <c r="F491" s="5">
        <v>44320.625</v>
      </c>
      <c r="G491" s="19" t="str">
        <f t="shared" si="21"/>
        <v/>
      </c>
      <c r="J491" s="28">
        <f t="shared" si="23"/>
        <v>3.7037037037036979E-2</v>
      </c>
    </row>
    <row r="492" spans="1:10">
      <c r="A492" s="3">
        <v>127</v>
      </c>
      <c r="B492" t="s">
        <v>537</v>
      </c>
      <c r="C492" t="s">
        <v>456</v>
      </c>
      <c r="E492" s="3">
        <f t="shared" si="22"/>
        <v>3</v>
      </c>
      <c r="F492" s="5">
        <v>44321.625</v>
      </c>
      <c r="G492" s="19" t="str">
        <f t="shared" si="21"/>
        <v/>
      </c>
      <c r="J492" s="28">
        <f t="shared" si="23"/>
        <v>-0.10563380281690138</v>
      </c>
    </row>
    <row r="493" spans="1:10">
      <c r="A493" s="3">
        <v>112</v>
      </c>
      <c r="B493" t="s">
        <v>539</v>
      </c>
      <c r="C493" t="s">
        <v>456</v>
      </c>
      <c r="E493" s="3">
        <f t="shared" si="22"/>
        <v>4</v>
      </c>
      <c r="F493" s="5">
        <v>44322.625</v>
      </c>
      <c r="G493" s="19" t="str">
        <f t="shared" si="21"/>
        <v/>
      </c>
      <c r="J493" s="28">
        <f t="shared" si="23"/>
        <v>0.1914893617021276</v>
      </c>
    </row>
    <row r="494" spans="1:10">
      <c r="A494" s="3">
        <v>93</v>
      </c>
      <c r="B494" t="s">
        <v>540</v>
      </c>
      <c r="C494" t="s">
        <v>456</v>
      </c>
      <c r="E494" s="3">
        <f t="shared" si="22"/>
        <v>5</v>
      </c>
      <c r="F494" s="5">
        <v>44323.625</v>
      </c>
      <c r="G494" s="19" t="str">
        <f t="shared" si="21"/>
        <v/>
      </c>
      <c r="J494" s="28">
        <f t="shared" si="23"/>
        <v>-4.123711340206182E-2</v>
      </c>
    </row>
    <row r="495" spans="1:10">
      <c r="A495" s="3">
        <v>68</v>
      </c>
      <c r="B495" t="s">
        <v>541</v>
      </c>
      <c r="C495" t="s">
        <v>456</v>
      </c>
      <c r="E495" s="3">
        <f t="shared" si="22"/>
        <v>6</v>
      </c>
      <c r="F495" s="5">
        <v>44324.625</v>
      </c>
      <c r="G495" s="19" t="str">
        <f t="shared" si="21"/>
        <v/>
      </c>
      <c r="J495" s="28">
        <f t="shared" si="23"/>
        <v>0.33333333333333326</v>
      </c>
    </row>
    <row r="496" spans="1:10">
      <c r="A496" s="3">
        <v>68</v>
      </c>
      <c r="B496" t="s">
        <v>542</v>
      </c>
      <c r="C496" t="s">
        <v>456</v>
      </c>
      <c r="E496" s="3">
        <f t="shared" si="22"/>
        <v>7</v>
      </c>
      <c r="F496" s="5">
        <v>44325.625</v>
      </c>
      <c r="G496" s="19" t="str">
        <f t="shared" si="21"/>
        <v/>
      </c>
      <c r="J496" s="28">
        <f t="shared" si="23"/>
        <v>-0.16049382716049387</v>
      </c>
    </row>
    <row r="497" spans="1:10">
      <c r="A497" s="3">
        <v>138</v>
      </c>
      <c r="B497" t="s">
        <v>543</v>
      </c>
      <c r="C497" t="s">
        <v>456</v>
      </c>
      <c r="E497" s="3">
        <f t="shared" si="22"/>
        <v>1</v>
      </c>
      <c r="F497" s="5">
        <v>44326.625</v>
      </c>
      <c r="G497" s="19" t="str">
        <f t="shared" si="21"/>
        <v>2021-W19</v>
      </c>
      <c r="H497">
        <f>SUM(A497:A503)</f>
        <v>567</v>
      </c>
      <c r="I497" s="28">
        <f>H497/H490-1</f>
        <v>-0.22857142857142854</v>
      </c>
      <c r="J497" s="28">
        <f t="shared" si="23"/>
        <v>-0.10967741935483866</v>
      </c>
    </row>
    <row r="498" spans="1:10">
      <c r="A498" s="3">
        <v>107</v>
      </c>
      <c r="B498" t="s">
        <v>544</v>
      </c>
      <c r="C498" t="s">
        <v>456</v>
      </c>
      <c r="E498" s="3">
        <f t="shared" si="22"/>
        <v>2</v>
      </c>
      <c r="F498" s="5">
        <v>44327.625</v>
      </c>
      <c r="G498" s="19" t="str">
        <f t="shared" si="21"/>
        <v/>
      </c>
      <c r="J498" s="28">
        <f t="shared" si="23"/>
        <v>-4.4642857142857095E-2</v>
      </c>
    </row>
    <row r="499" spans="1:10">
      <c r="A499" s="3">
        <v>114</v>
      </c>
      <c r="B499" t="s">
        <v>545</v>
      </c>
      <c r="C499" t="s">
        <v>456</v>
      </c>
      <c r="E499" s="3">
        <f t="shared" si="22"/>
        <v>3</v>
      </c>
      <c r="F499" s="5">
        <v>44328.625</v>
      </c>
      <c r="G499" s="19" t="str">
        <f t="shared" si="21"/>
        <v/>
      </c>
      <c r="J499" s="28">
        <f t="shared" si="23"/>
        <v>-0.10236220472440949</v>
      </c>
    </row>
    <row r="500" spans="1:10">
      <c r="A500" s="3">
        <v>68</v>
      </c>
      <c r="B500" t="s">
        <v>546</v>
      </c>
      <c r="C500" t="s">
        <v>456</v>
      </c>
      <c r="E500" s="3">
        <f t="shared" si="22"/>
        <v>4</v>
      </c>
      <c r="F500" s="5">
        <v>44329.625</v>
      </c>
      <c r="G500" s="19" t="str">
        <f t="shared" si="21"/>
        <v/>
      </c>
      <c r="J500" s="28">
        <f t="shared" si="23"/>
        <v>-0.3928571428571429</v>
      </c>
    </row>
    <row r="501" spans="1:10">
      <c r="A501" s="3">
        <v>74</v>
      </c>
      <c r="B501" t="s">
        <v>547</v>
      </c>
      <c r="C501" t="s">
        <v>456</v>
      </c>
      <c r="E501" s="3">
        <f t="shared" si="22"/>
        <v>5</v>
      </c>
      <c r="F501" s="5">
        <v>44330.625</v>
      </c>
      <c r="G501" s="19" t="str">
        <f t="shared" si="21"/>
        <v/>
      </c>
      <c r="J501" s="28">
        <f t="shared" si="23"/>
        <v>-0.20430107526881724</v>
      </c>
    </row>
    <row r="502" spans="1:10">
      <c r="A502" s="3">
        <v>66</v>
      </c>
      <c r="B502" t="s">
        <v>548</v>
      </c>
      <c r="C502" t="s">
        <v>456</v>
      </c>
      <c r="E502" s="3">
        <f t="shared" si="22"/>
        <v>6</v>
      </c>
      <c r="F502" s="5">
        <v>44331.625</v>
      </c>
      <c r="G502" s="19" t="str">
        <f t="shared" si="21"/>
        <v/>
      </c>
      <c r="J502" s="28">
        <f t="shared" si="23"/>
        <v>-2.9411764705882359E-2</v>
      </c>
    </row>
    <row r="503" spans="1:10">
      <c r="A503" s="3">
        <v>0</v>
      </c>
      <c r="B503" t="s">
        <v>549</v>
      </c>
      <c r="C503" t="s">
        <v>456</v>
      </c>
      <c r="E503" s="3">
        <f t="shared" si="22"/>
        <v>7</v>
      </c>
      <c r="F503" s="5">
        <v>44332.358796296299</v>
      </c>
      <c r="G503" s="19" t="str">
        <f t="shared" si="21"/>
        <v/>
      </c>
      <c r="J503" s="28">
        <f t="shared" si="23"/>
        <v>-1</v>
      </c>
    </row>
    <row r="504" spans="1:10">
      <c r="E504" s="3">
        <f t="shared" si="22"/>
        <v>6</v>
      </c>
      <c r="G504" s="19" t="str">
        <f t="shared" si="21"/>
        <v/>
      </c>
      <c r="H504">
        <f>SUM(A504:A510)</f>
        <v>0</v>
      </c>
      <c r="I504" s="28">
        <f>H504/H497-1</f>
        <v>-1</v>
      </c>
      <c r="J504" s="28">
        <f t="shared" si="23"/>
        <v>-1</v>
      </c>
    </row>
    <row r="505" spans="1:10">
      <c r="E505" s="3">
        <f t="shared" si="22"/>
        <v>6</v>
      </c>
      <c r="G505" s="19" t="str">
        <f t="shared" si="21"/>
        <v/>
      </c>
      <c r="J505" s="28">
        <f t="shared" si="23"/>
        <v>-1</v>
      </c>
    </row>
    <row r="506" spans="1:10">
      <c r="E506" s="3">
        <f t="shared" si="22"/>
        <v>6</v>
      </c>
      <c r="G506" s="19" t="str">
        <f t="shared" si="21"/>
        <v/>
      </c>
      <c r="J506" s="28">
        <f t="shared" si="23"/>
        <v>-1</v>
      </c>
    </row>
    <row r="507" spans="1:10">
      <c r="E507" s="3">
        <f t="shared" si="22"/>
        <v>6</v>
      </c>
      <c r="G507" s="19" t="str">
        <f t="shared" si="21"/>
        <v/>
      </c>
      <c r="J507" s="28">
        <f t="shared" si="23"/>
        <v>-1</v>
      </c>
    </row>
    <row r="508" spans="1:10">
      <c r="E508" s="3">
        <f t="shared" si="22"/>
        <v>6</v>
      </c>
      <c r="G508" s="19" t="str">
        <f t="shared" si="21"/>
        <v/>
      </c>
      <c r="J508" s="28">
        <f t="shared" si="23"/>
        <v>-1</v>
      </c>
    </row>
    <row r="509" spans="1:10">
      <c r="E509" s="3">
        <f t="shared" si="22"/>
        <v>6</v>
      </c>
      <c r="G509" s="19" t="str">
        <f t="shared" si="21"/>
        <v/>
      </c>
      <c r="J509" s="28">
        <f t="shared" si="23"/>
        <v>-1</v>
      </c>
    </row>
    <row r="510" spans="1:10">
      <c r="E510" s="3">
        <f t="shared" si="22"/>
        <v>6</v>
      </c>
      <c r="G510" s="19" t="str">
        <f t="shared" si="21"/>
        <v/>
      </c>
      <c r="J510" s="28" t="e">
        <f t="shared" si="23"/>
        <v>#DIV/0!</v>
      </c>
    </row>
    <row r="511" spans="1:10">
      <c r="E511" s="3">
        <f t="shared" si="22"/>
        <v>6</v>
      </c>
      <c r="G511" s="19" t="str">
        <f t="shared" si="21"/>
        <v/>
      </c>
      <c r="H511">
        <f>SUM(A511:A517)</f>
        <v>0</v>
      </c>
      <c r="I511" s="28" t="e">
        <f>H511/H504-1</f>
        <v>#DIV/0!</v>
      </c>
      <c r="J511" s="28" t="e">
        <f t="shared" si="23"/>
        <v>#DIV/0!</v>
      </c>
    </row>
    <row r="512" spans="1: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166</v>
      </c>
      <c r="D275">
        <f>HUS!A275</f>
        <v>93</v>
      </c>
      <c r="E275" s="38">
        <f t="shared" si="4"/>
        <v>0.56024096385542166</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377</v>
      </c>
      <c r="D396">
        <f>HUS!A396</f>
        <v>190</v>
      </c>
      <c r="E396" s="38">
        <f t="shared" si="6"/>
        <v>0.50397877984084882</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166</v>
      </c>
      <c r="E398" s="38">
        <f t="shared" si="6"/>
        <v>0.60805860805860801</v>
      </c>
    </row>
    <row r="399" spans="1:5">
      <c r="A399" s="30">
        <f>Kaikki!F399</f>
        <v>44228.625</v>
      </c>
      <c r="B399" s="37" t="str">
        <f>Kaikki!G399</f>
        <v>2021-W05</v>
      </c>
      <c r="C399">
        <f>Kaikki!A399</f>
        <v>534</v>
      </c>
      <c r="D399">
        <f>HUS!A399</f>
        <v>297</v>
      </c>
      <c r="E399" s="38">
        <f t="shared" si="6"/>
        <v>0.5561797752808989</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368</v>
      </c>
      <c r="D403">
        <f>HUS!A403</f>
        <v>217</v>
      </c>
      <c r="E403" s="38">
        <f t="shared" si="6"/>
        <v>0.58967391304347827</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462</v>
      </c>
      <c r="D406">
        <f>HUS!A406</f>
        <v>296</v>
      </c>
      <c r="E406" s="38">
        <f t="shared" si="6"/>
        <v>0.64069264069264065</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229</v>
      </c>
      <c r="E408" s="38">
        <f t="shared" si="6"/>
        <v>0.59791122715404699</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418</v>
      </c>
      <c r="D410">
        <f>HUS!A410</f>
        <v>260</v>
      </c>
      <c r="E410" s="38">
        <f t="shared" si="6"/>
        <v>0.62200956937799046</v>
      </c>
    </row>
    <row r="411" spans="1:5">
      <c r="A411" s="30">
        <f>Kaikki!F411</f>
        <v>44240.625</v>
      </c>
      <c r="B411" s="37" t="str">
        <f>Kaikki!G411</f>
        <v/>
      </c>
      <c r="C411">
        <f>Kaikki!A411</f>
        <v>278</v>
      </c>
      <c r="D411">
        <f>HUS!A411</f>
        <v>190</v>
      </c>
      <c r="E411" s="38">
        <f t="shared" si="6"/>
        <v>0.68345323741007191</v>
      </c>
    </row>
    <row r="412" spans="1:5">
      <c r="A412" s="30">
        <f>Kaikki!F412</f>
        <v>44241.625</v>
      </c>
      <c r="B412" s="37" t="str">
        <f>Kaikki!G412</f>
        <v/>
      </c>
      <c r="C412">
        <f>Kaikki!A412</f>
        <v>282</v>
      </c>
      <c r="D412">
        <f>HUS!A412</f>
        <v>182</v>
      </c>
      <c r="E412" s="38">
        <f t="shared" si="6"/>
        <v>0.64539007092198586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627</v>
      </c>
      <c r="D423">
        <f>HUS!A423</f>
        <v>360</v>
      </c>
      <c r="E423" s="38">
        <f t="shared" si="6"/>
        <v>0.57416267942583732</v>
      </c>
    </row>
    <row r="424" spans="1:5">
      <c r="A424" s="30">
        <f>Kaikki!F424</f>
        <v>44253.625</v>
      </c>
      <c r="B424" s="37" t="str">
        <f>Kaikki!G424</f>
        <v/>
      </c>
      <c r="C424">
        <f>Kaikki!A424</f>
        <v>687</v>
      </c>
      <c r="D424">
        <f>HUS!A424</f>
        <v>429</v>
      </c>
      <c r="E424" s="38">
        <f t="shared" si="6"/>
        <v>0.62445414847161573</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419</v>
      </c>
      <c r="D426">
        <f>HUS!A426</f>
        <v>264</v>
      </c>
      <c r="E426" s="38">
        <f t="shared" si="6"/>
        <v>0.63007159904534604</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759</v>
      </c>
      <c r="D428">
        <f>HUS!A428</f>
        <v>492</v>
      </c>
      <c r="E428" s="38">
        <f t="shared" si="6"/>
        <v>0.64822134387351782</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431</v>
      </c>
      <c r="D432">
        <f>HUS!A432</f>
        <v>275</v>
      </c>
      <c r="E432" s="38">
        <f t="shared" si="6"/>
        <v>0.63805104408352664</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834</v>
      </c>
      <c r="D434">
        <f>HUS!A434</f>
        <v>502</v>
      </c>
      <c r="E434" s="38">
        <f t="shared" si="6"/>
        <v>0.60191846522781778</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822</v>
      </c>
      <c r="D436">
        <f>HUS!A436</f>
        <v>504</v>
      </c>
      <c r="E436" s="38">
        <f t="shared" si="6"/>
        <v>0.61313868613138689</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433</v>
      </c>
      <c r="D440">
        <f>HUS!A440</f>
        <v>261</v>
      </c>
      <c r="E440" s="38">
        <f t="shared" si="6"/>
        <v>0.60277136258660513</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744</v>
      </c>
      <c r="D445">
        <f>HUS!A445</f>
        <v>444</v>
      </c>
      <c r="E445" s="38">
        <f t="shared" si="6"/>
        <v>0.59677419354838712</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703</v>
      </c>
      <c r="D449">
        <f>HUS!A449</f>
        <v>452</v>
      </c>
      <c r="E449" s="38">
        <f t="shared" si="6"/>
        <v>0.64295874822190613</v>
      </c>
    </row>
    <row r="450" spans="1:5">
      <c r="A450" s="30">
        <f>Kaikki!F450</f>
        <v>44279.625</v>
      </c>
      <c r="B450" s="37" t="str">
        <f>Kaikki!G450</f>
        <v/>
      </c>
      <c r="C450">
        <f>Kaikki!A450</f>
        <v>694</v>
      </c>
      <c r="D450">
        <f>HUS!A450</f>
        <v>393</v>
      </c>
      <c r="E450" s="38">
        <f t="shared" si="6"/>
        <v>0.56628242074927959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370</v>
      </c>
      <c r="D454">
        <f>HUS!A454</f>
        <v>245</v>
      </c>
      <c r="E454" s="38">
        <f t="shared" si="7"/>
        <v>0.66216216216216217</v>
      </c>
    </row>
    <row r="455" spans="1:5">
      <c r="A455" s="30">
        <f>Kaikki!F455</f>
        <v>44284.625</v>
      </c>
      <c r="B455" s="37" t="str">
        <f>Kaikki!G455</f>
        <v>2021-W13</v>
      </c>
      <c r="C455">
        <f>Kaikki!A455</f>
        <v>654</v>
      </c>
      <c r="D455">
        <f>HUS!A455</f>
        <v>378</v>
      </c>
      <c r="E455" s="38">
        <f t="shared" si="7"/>
        <v>0.57798165137614677</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330</v>
      </c>
      <c r="E457" s="38">
        <f t="shared" si="7"/>
        <v>0.6</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222</v>
      </c>
      <c r="E459" s="38">
        <f t="shared" si="7"/>
        <v>0.61495844875346262</v>
      </c>
    </row>
    <row r="460" spans="1:5">
      <c r="A460" s="30">
        <f>Kaikki!F460</f>
        <v>44289.625</v>
      </c>
      <c r="B460" s="37" t="str">
        <f>Kaikki!G460</f>
        <v/>
      </c>
      <c r="C460">
        <f>Kaikki!A460</f>
        <v>320</v>
      </c>
      <c r="D460">
        <f>HUS!A460</f>
        <v>188</v>
      </c>
      <c r="E460" s="38">
        <f t="shared" si="7"/>
        <v>0.58750000000000002</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545</v>
      </c>
      <c r="D463">
        <f>HUS!A463</f>
        <v>305</v>
      </c>
      <c r="E463" s="38">
        <f t="shared" si="7"/>
        <v>0.55963302752293576</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405</v>
      </c>
      <c r="D465">
        <f>HUS!A465</f>
        <v>211</v>
      </c>
      <c r="E465" s="38">
        <f t="shared" si="7"/>
        <v>0.5209876543209877</v>
      </c>
    </row>
    <row r="466" spans="1:5">
      <c r="A466" s="30">
        <f>Kaikki!F466</f>
        <v>44295.625</v>
      </c>
      <c r="B466" s="37" t="str">
        <f>Kaikki!G466</f>
        <v/>
      </c>
      <c r="C466">
        <f>Kaikki!A466</f>
        <v>350</v>
      </c>
      <c r="D466">
        <f>HUS!A466</f>
        <v>175</v>
      </c>
      <c r="E466" s="38">
        <f t="shared" si="7"/>
        <v>0.5</v>
      </c>
    </row>
    <row r="467" spans="1:5">
      <c r="A467" s="30">
        <f>Kaikki!F467</f>
        <v>44296.625</v>
      </c>
      <c r="B467" s="37" t="str">
        <f>Kaikki!G467</f>
        <v/>
      </c>
      <c r="C467">
        <f>Kaikki!A467</f>
        <v>225</v>
      </c>
      <c r="D467">
        <f>HUS!A467</f>
        <v>136</v>
      </c>
      <c r="E467" s="38">
        <f t="shared" si="7"/>
        <v>0.60444444444444445</v>
      </c>
    </row>
    <row r="468" spans="1:5">
      <c r="A468" s="30">
        <f>Kaikki!F468</f>
        <v>44297.625</v>
      </c>
      <c r="B468" s="37" t="str">
        <f>Kaikki!G468</f>
        <v/>
      </c>
      <c r="C468">
        <f>Kaikki!A468</f>
        <v>239</v>
      </c>
      <c r="D468">
        <f>HUS!A468</f>
        <v>142</v>
      </c>
      <c r="E468" s="38">
        <f t="shared" si="7"/>
        <v>0.59414225941422594</v>
      </c>
    </row>
    <row r="469" spans="1:5">
      <c r="A469" s="30">
        <f>Kaikki!F469</f>
        <v>44298.625</v>
      </c>
      <c r="B469" s="37" t="str">
        <f>Kaikki!G469</f>
        <v>2021-W15</v>
      </c>
      <c r="C469">
        <f>Kaikki!A469</f>
        <v>396</v>
      </c>
      <c r="D469">
        <f>HUS!A469</f>
        <v>215</v>
      </c>
      <c r="E469" s="38">
        <f t="shared" si="7"/>
        <v>0.54292929292929293</v>
      </c>
    </row>
    <row r="470" spans="1:5">
      <c r="A470" s="30">
        <f>Kaikki!F470</f>
        <v>44299.625</v>
      </c>
      <c r="B470" s="37" t="str">
        <f>Kaikki!G470</f>
        <v/>
      </c>
      <c r="C470">
        <f>Kaikki!A470</f>
        <v>325</v>
      </c>
      <c r="D470">
        <f>HUS!A470</f>
        <v>155</v>
      </c>
      <c r="E470" s="38">
        <f t="shared" si="7"/>
        <v>0.47692307692307695</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264</v>
      </c>
      <c r="D473">
        <f>HUS!A473</f>
        <v>130</v>
      </c>
      <c r="E473" s="38">
        <f t="shared" si="7"/>
        <v>0.49242424242424243</v>
      </c>
    </row>
    <row r="474" spans="1:5">
      <c r="A474" s="30">
        <f>Kaikki!F474</f>
        <v>44303.625</v>
      </c>
      <c r="B474" s="37" t="str">
        <f>Kaikki!G474</f>
        <v/>
      </c>
      <c r="C474">
        <f>Kaikki!A474</f>
        <v>171</v>
      </c>
      <c r="D474">
        <f>HUS!A474</f>
        <v>124</v>
      </c>
      <c r="E474" s="38">
        <f t="shared" si="7"/>
        <v>0.72514619883040932</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283</v>
      </c>
      <c r="D476">
        <f>HUS!A476</f>
        <v>136</v>
      </c>
      <c r="E476" s="38">
        <f t="shared" si="7"/>
        <v>0.48056537102473496</v>
      </c>
    </row>
    <row r="477" spans="1:5">
      <c r="A477" s="30">
        <f>Kaikki!F477</f>
        <v>44306.625</v>
      </c>
      <c r="B477" s="37" t="str">
        <f>Kaikki!G477</f>
        <v/>
      </c>
      <c r="C477">
        <f>Kaikki!A477</f>
        <v>285</v>
      </c>
      <c r="D477">
        <f>HUS!A477</f>
        <v>145</v>
      </c>
      <c r="E477" s="38">
        <f t="shared" si="7"/>
        <v>0.50877192982456143</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258</v>
      </c>
      <c r="D479">
        <f>HUS!A479</f>
        <v>139</v>
      </c>
      <c r="E479" s="38">
        <f t="shared" si="7"/>
        <v>0.53875968992248058</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154</v>
      </c>
      <c r="D481">
        <f>HUS!A481</f>
        <v>86</v>
      </c>
      <c r="E481" s="38">
        <f t="shared" si="7"/>
        <v>0.55844155844155841</v>
      </c>
    </row>
    <row r="482" spans="1:5">
      <c r="A482" s="30">
        <f>Kaikki!F482</f>
        <v>44311.625</v>
      </c>
      <c r="B482" s="37" t="str">
        <f>Kaikki!G482</f>
        <v/>
      </c>
      <c r="C482">
        <f>Kaikki!A482</f>
        <v>141</v>
      </c>
      <c r="D482">
        <f>HUS!A482</f>
        <v>84</v>
      </c>
      <c r="E482" s="38">
        <f t="shared" si="7"/>
        <v>0.5957446808510638</v>
      </c>
    </row>
    <row r="483" spans="1:5">
      <c r="A483" s="30">
        <f>Kaikki!F483</f>
        <v>44312.625</v>
      </c>
      <c r="B483" s="37" t="str">
        <f>Kaikki!G483</f>
        <v>2021-W17</v>
      </c>
      <c r="C483">
        <f>Kaikki!A483</f>
        <v>243</v>
      </c>
      <c r="D483">
        <f>HUS!A483</f>
        <v>120</v>
      </c>
      <c r="E483" s="38">
        <f t="shared" si="7"/>
        <v>0.49382716049382713</v>
      </c>
    </row>
    <row r="484" spans="1:5">
      <c r="A484" s="30">
        <f>Kaikki!F484</f>
        <v>44313.625</v>
      </c>
      <c r="B484" s="37" t="str">
        <f>Kaikki!G484</f>
        <v/>
      </c>
      <c r="C484">
        <f>Kaikki!A484</f>
        <v>228</v>
      </c>
      <c r="D484">
        <f>HUS!A484</f>
        <v>108</v>
      </c>
      <c r="E484" s="38">
        <f t="shared" si="7"/>
        <v>0.47368421052631576</v>
      </c>
    </row>
    <row r="485" spans="1:5">
      <c r="A485" s="30">
        <f>Kaikki!F485</f>
        <v>44314.625</v>
      </c>
      <c r="B485" s="37" t="str">
        <f>Kaikki!G485</f>
        <v/>
      </c>
      <c r="C485">
        <f>Kaikki!A485</f>
        <v>273</v>
      </c>
      <c r="D485">
        <f>HUS!A485</f>
        <v>142</v>
      </c>
      <c r="E485" s="38">
        <f t="shared" si="7"/>
        <v>0.52014652014652019</v>
      </c>
    </row>
    <row r="486" spans="1:5">
      <c r="A486" s="30">
        <f>Kaikki!F486</f>
        <v>44315.625</v>
      </c>
      <c r="B486" s="37" t="str">
        <f>Kaikki!G486</f>
        <v/>
      </c>
      <c r="C486">
        <f>Kaikki!A486</f>
        <v>200</v>
      </c>
      <c r="D486">
        <f>HUS!A486</f>
        <v>94</v>
      </c>
      <c r="E486" s="38">
        <f t="shared" si="7"/>
        <v>0.47</v>
      </c>
    </row>
    <row r="487" spans="1:5">
      <c r="A487" s="30">
        <f>Kaikki!F487</f>
        <v>44316.625</v>
      </c>
      <c r="B487" s="37" t="str">
        <f>Kaikki!G487</f>
        <v/>
      </c>
      <c r="C487">
        <f>Kaikki!A487</f>
        <v>195</v>
      </c>
      <c r="D487">
        <f>HUS!A487</f>
        <v>97</v>
      </c>
      <c r="E487" s="38">
        <f t="shared" si="7"/>
        <v>0.49743589743589745</v>
      </c>
    </row>
    <row r="488" spans="1:5">
      <c r="A488" s="30">
        <f>Kaikki!F488</f>
        <v>44317.625</v>
      </c>
      <c r="B488" s="37" t="str">
        <f>Kaikki!G488</f>
        <v/>
      </c>
      <c r="C488">
        <f>Kaikki!A488</f>
        <v>105</v>
      </c>
      <c r="D488">
        <f>HUS!A488</f>
        <v>51</v>
      </c>
      <c r="E488" s="38">
        <f t="shared" si="7"/>
        <v>0.48571428571428571</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155</v>
      </c>
      <c r="E490" s="38">
        <f t="shared" si="7"/>
        <v>0.48742138364779874</v>
      </c>
    </row>
    <row r="491" spans="1:5">
      <c r="A491" s="30">
        <f>Kaikki!F491</f>
        <v>44320.625</v>
      </c>
      <c r="B491" s="37" t="str">
        <f>Kaikki!G491</f>
        <v/>
      </c>
      <c r="C491">
        <f>Kaikki!A491</f>
        <v>206</v>
      </c>
      <c r="D491">
        <f>HUS!A491</f>
        <v>112</v>
      </c>
      <c r="E491" s="38">
        <f t="shared" si="7"/>
        <v>0.5436893203883495</v>
      </c>
    </row>
    <row r="492" spans="1:5">
      <c r="A492" s="30">
        <f>Kaikki!F492</f>
        <v>44321.625</v>
      </c>
      <c r="B492" s="37" t="str">
        <f>Kaikki!G492</f>
        <v/>
      </c>
      <c r="C492">
        <f>Kaikki!A492</f>
        <v>268</v>
      </c>
      <c r="D492">
        <f>HUS!A492</f>
        <v>127</v>
      </c>
      <c r="E492" s="38">
        <f t="shared" si="7"/>
        <v>0.47388059701492535</v>
      </c>
    </row>
    <row r="493" spans="1:5">
      <c r="A493" s="30">
        <f>Kaikki!F493</f>
        <v>44322.625</v>
      </c>
      <c r="B493" s="37" t="str">
        <f>Kaikki!G493</f>
        <v/>
      </c>
      <c r="C493">
        <f>Kaikki!A493</f>
        <v>238</v>
      </c>
      <c r="D493">
        <f>HUS!A493</f>
        <v>112</v>
      </c>
      <c r="E493" s="38">
        <f t="shared" si="7"/>
        <v>0.47058823529411764</v>
      </c>
    </row>
    <row r="494" spans="1:5">
      <c r="A494" s="30">
        <f>Kaikki!F494</f>
        <v>44323.625</v>
      </c>
      <c r="B494" s="37" t="str">
        <f>Kaikki!G494</f>
        <v/>
      </c>
      <c r="C494">
        <f>Kaikki!A494</f>
        <v>216</v>
      </c>
      <c r="D494">
        <f>HUS!A494</f>
        <v>93</v>
      </c>
      <c r="E494" s="38">
        <f t="shared" si="7"/>
        <v>0.43055555555555558</v>
      </c>
    </row>
    <row r="495" spans="1:5">
      <c r="A495" s="30">
        <f>Kaikki!F495</f>
        <v>44324.625</v>
      </c>
      <c r="B495" s="37" t="str">
        <f>Kaikki!G495</f>
        <v/>
      </c>
      <c r="C495">
        <f>Kaikki!A495</f>
        <v>130</v>
      </c>
      <c r="D495">
        <f>HUS!A495</f>
        <v>68</v>
      </c>
      <c r="E495" s="38">
        <f t="shared" si="7"/>
        <v>0.52307692307692311</v>
      </c>
    </row>
    <row r="496" spans="1:5">
      <c r="A496" s="30">
        <f>Kaikki!F496</f>
        <v>44325.625</v>
      </c>
      <c r="B496" s="37" t="str">
        <f>Kaikki!G496</f>
        <v/>
      </c>
      <c r="C496">
        <f>Kaikki!A496</f>
        <v>130</v>
      </c>
      <c r="D496">
        <f>HUS!A496</f>
        <v>68</v>
      </c>
      <c r="E496" s="38">
        <f t="shared" si="7"/>
        <v>0.52307692307692311</v>
      </c>
    </row>
    <row r="497" spans="1:5">
      <c r="A497" s="30">
        <f>Kaikki!F497</f>
        <v>44326.625</v>
      </c>
      <c r="B497" s="37" t="str">
        <f>Kaikki!G497</f>
        <v>2021-W19</v>
      </c>
      <c r="C497">
        <f>Kaikki!A497</f>
        <v>255</v>
      </c>
      <c r="D497">
        <f>HUS!A497</f>
        <v>138</v>
      </c>
      <c r="E497" s="38">
        <f t="shared" si="7"/>
        <v>0.54117647058823526</v>
      </c>
    </row>
    <row r="498" spans="1:5">
      <c r="A498" s="30">
        <f>Kaikki!F498</f>
        <v>44327.625</v>
      </c>
      <c r="B498" s="37" t="str">
        <f>Kaikki!G498</f>
        <v/>
      </c>
      <c r="C498">
        <f>Kaikki!A498</f>
        <v>210</v>
      </c>
      <c r="D498">
        <f>HUS!A498</f>
        <v>107</v>
      </c>
      <c r="E498" s="38">
        <f t="shared" si="7"/>
        <v>0.50952380952380949</v>
      </c>
    </row>
    <row r="499" spans="1:5">
      <c r="A499" s="30">
        <f>Kaikki!F499</f>
        <v>44328.625</v>
      </c>
      <c r="B499" s="37" t="str">
        <f>Kaikki!G499</f>
        <v/>
      </c>
      <c r="C499">
        <f>Kaikki!A499</f>
        <v>220</v>
      </c>
      <c r="D499">
        <f>HUS!A499</f>
        <v>114</v>
      </c>
      <c r="E499" s="38">
        <f t="shared" si="7"/>
        <v>0.51818181818181819</v>
      </c>
    </row>
    <row r="500" spans="1:5">
      <c r="A500" s="30">
        <f>Kaikki!F500</f>
        <v>44329.625</v>
      </c>
      <c r="B500" s="37" t="str">
        <f>Kaikki!G500</f>
        <v/>
      </c>
      <c r="C500">
        <f>Kaikki!A500</f>
        <v>143</v>
      </c>
      <c r="D500">
        <f>HUS!A500</f>
        <v>68</v>
      </c>
      <c r="E500" s="38">
        <f t="shared" si="7"/>
        <v>0.47552447552447552</v>
      </c>
    </row>
    <row r="501" spans="1:5">
      <c r="A501" s="30">
        <f>Kaikki!F501</f>
        <v>44330.625</v>
      </c>
      <c r="B501" s="37" t="str">
        <f>Kaikki!G501</f>
        <v/>
      </c>
      <c r="C501">
        <f>Kaikki!A501</f>
        <v>185</v>
      </c>
      <c r="D501">
        <f>HUS!A501</f>
        <v>74</v>
      </c>
      <c r="E501" s="38">
        <f t="shared" si="7"/>
        <v>0.4</v>
      </c>
    </row>
    <row r="502" spans="1:5">
      <c r="A502" s="30">
        <f>Kaikki!F502</f>
        <v>44331.625</v>
      </c>
      <c r="B502" s="37" t="str">
        <f>Kaikki!G502</f>
        <v/>
      </c>
      <c r="C502">
        <f>Kaikki!A502</f>
        <v>90</v>
      </c>
      <c r="D502">
        <f>HUS!A502</f>
        <v>66</v>
      </c>
      <c r="E502" s="38">
        <f t="shared" si="7"/>
        <v>0.73333333333333328</v>
      </c>
    </row>
    <row r="503" spans="1:5">
      <c r="A503" s="30">
        <f>Kaikki!F503</f>
        <v>44332.358796296299</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VH257"/>
  <sheetViews>
    <sheetView topLeftCell="A30" zoomScaleNormal="100" workbookViewId="0">
      <selection activeCell="A38" sqref="A38"/>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580">
      <c r="C1" s="4"/>
    </row>
    <row r="2" spans="1:580">
      <c r="C2" s="4"/>
    </row>
    <row r="3" spans="1:580">
      <c r="C3" s="4"/>
    </row>
    <row r="4" spans="1:580">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580">
      <c r="C5" s="4" t="s">
        <v>5</v>
      </c>
      <c r="D5" t="s">
        <v>0</v>
      </c>
      <c r="E5" t="s">
        <v>6</v>
      </c>
      <c r="F5">
        <f ca="1">SUM(F7:F35)</f>
        <v>227</v>
      </c>
      <c r="G5" t="s">
        <v>227</v>
      </c>
      <c r="H5" t="s">
        <v>345</v>
      </c>
      <c r="J5" t="s">
        <v>346</v>
      </c>
      <c r="K5" t="s">
        <v>345</v>
      </c>
      <c r="N5" s="16" t="s">
        <v>302</v>
      </c>
      <c r="Q5" s="16" t="s">
        <v>303</v>
      </c>
      <c r="T5" s="16" t="s">
        <v>304</v>
      </c>
    </row>
    <row r="6" spans="1:580">
      <c r="B6" t="str">
        <f ca="1">IF(WEEKDAY(C6,2)=1,"Ma "&amp;TEXT(C6,"p"),TEXT(C6,"p.k"))</f>
        <v>17.4</v>
      </c>
      <c r="C6" s="4">
        <f t="shared" ref="C6:C34" ca="1" si="0">C7-1</f>
        <v>44303</v>
      </c>
      <c r="D6" s="11">
        <f t="shared" ref="D6:D35" ca="1" si="1">SUMIF(aika,"&lt;"&amp;(C6+1),DataN)</f>
        <v>84352</v>
      </c>
      <c r="P6" s="10">
        <v>244</v>
      </c>
    </row>
    <row r="7" spans="1:580" s="10" customFormat="1">
      <c r="B7" t="str">
        <f t="shared" ref="B7:B35" ca="1" si="2">IF(WEEKDAY(C7,2)=1,"Ma "&amp;TEXT(C7,"p"),TEXT(C7,"p.k"))</f>
        <v>18.4</v>
      </c>
      <c r="C7" s="9">
        <f t="shared" ca="1" si="0"/>
        <v>44304</v>
      </c>
      <c r="D7" s="10">
        <f t="shared" ca="1" si="1"/>
        <v>84508</v>
      </c>
      <c r="E7" s="10">
        <f t="shared" ref="E7:E35" ca="1" si="3">D7-D6</f>
        <v>156</v>
      </c>
      <c r="F7" s="10">
        <f t="shared" ref="F7:F35" ca="1" si="4">_xlfn.IFNA(E7-G7,"")</f>
        <v>0</v>
      </c>
      <c r="G7" s="10">
        <f ca="1">VLOOKUP(C7,Previous,3,FALSE)</f>
        <v>156</v>
      </c>
      <c r="H7" s="10">
        <f ca="1">SUM(E7:E13)</f>
        <v>1624</v>
      </c>
      <c r="J7" s="10">
        <f ca="1">SUM(E7:E20)</f>
        <v>3009</v>
      </c>
      <c r="L7" s="14"/>
      <c r="N7" s="17">
        <v>44304</v>
      </c>
      <c r="O7" s="10">
        <v>84508</v>
      </c>
      <c r="P7">
        <v>156</v>
      </c>
      <c r="Q7" s="17">
        <v>44304</v>
      </c>
      <c r="R7" s="10">
        <v>84508</v>
      </c>
      <c r="S7" s="10">
        <v>156</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c r="TJ7" s="10">
        <v>44285</v>
      </c>
      <c r="TK7" s="10">
        <v>77966</v>
      </c>
      <c r="TL7" s="10">
        <v>568</v>
      </c>
      <c r="TM7" s="10">
        <v>44286</v>
      </c>
      <c r="TN7" s="10">
        <v>78516</v>
      </c>
      <c r="TO7" s="10">
        <v>550</v>
      </c>
      <c r="TP7" s="10">
        <v>44288</v>
      </c>
      <c r="TQ7" s="10">
        <v>79368</v>
      </c>
      <c r="TR7" s="10">
        <v>361</v>
      </c>
      <c r="TS7" s="10">
        <v>44289</v>
      </c>
      <c r="TT7" s="10">
        <v>79690</v>
      </c>
      <c r="TU7" s="10">
        <v>319</v>
      </c>
      <c r="TV7" s="10">
        <v>44289</v>
      </c>
      <c r="TW7" s="10">
        <v>79696</v>
      </c>
      <c r="TX7" s="10">
        <v>319</v>
      </c>
      <c r="TY7" s="10">
        <v>44290</v>
      </c>
      <c r="TZ7" s="10">
        <v>80016</v>
      </c>
      <c r="UA7" s="10">
        <v>320</v>
      </c>
      <c r="UB7" s="10">
        <v>44292</v>
      </c>
      <c r="UC7" s="10">
        <v>80919</v>
      </c>
      <c r="UD7" s="10">
        <v>544</v>
      </c>
      <c r="UE7" s="10">
        <v>44292</v>
      </c>
      <c r="UF7" s="10">
        <v>80919</v>
      </c>
      <c r="UG7" s="10">
        <v>544</v>
      </c>
      <c r="UH7" s="10">
        <v>44293</v>
      </c>
      <c r="UI7" s="10">
        <v>81346</v>
      </c>
      <c r="UJ7" s="10">
        <v>425</v>
      </c>
      <c r="UK7" s="10">
        <v>44294</v>
      </c>
      <c r="UL7" s="10">
        <v>81750</v>
      </c>
      <c r="UM7" s="10">
        <v>403</v>
      </c>
      <c r="UN7" s="10">
        <v>44298</v>
      </c>
      <c r="UO7" s="10">
        <v>82966</v>
      </c>
      <c r="UP7" s="10">
        <v>396</v>
      </c>
      <c r="UQ7" s="10">
        <v>44299</v>
      </c>
      <c r="UR7" s="10">
        <v>83293</v>
      </c>
      <c r="US7" s="10">
        <v>325</v>
      </c>
      <c r="UT7" s="10">
        <v>44300</v>
      </c>
      <c r="UU7" s="10">
        <v>83639</v>
      </c>
      <c r="UV7" s="10">
        <v>345</v>
      </c>
      <c r="UW7" s="10">
        <v>44301</v>
      </c>
      <c r="UX7" s="10">
        <v>83915</v>
      </c>
      <c r="UY7" s="10">
        <v>274</v>
      </c>
      <c r="UZ7" s="10">
        <v>44303</v>
      </c>
      <c r="VA7" s="10">
        <v>84354</v>
      </c>
      <c r="VB7" s="10">
        <v>171</v>
      </c>
      <c r="VC7" s="10">
        <v>44303</v>
      </c>
      <c r="VD7" s="10">
        <v>84352</v>
      </c>
      <c r="VE7" s="10">
        <v>171</v>
      </c>
      <c r="VF7" s="10">
        <v>44304</v>
      </c>
      <c r="VG7" s="10">
        <v>84508</v>
      </c>
      <c r="VH7" s="10">
        <v>156</v>
      </c>
    </row>
    <row r="8" spans="1:580">
      <c r="B8" t="str">
        <f t="shared" ca="1" si="2"/>
        <v>Ma 19</v>
      </c>
      <c r="C8" s="4">
        <f t="shared" ca="1" si="0"/>
        <v>44305</v>
      </c>
      <c r="D8" s="11">
        <f t="shared" ca="1" si="1"/>
        <v>84791</v>
      </c>
      <c r="E8">
        <f t="shared" ca="1" si="3"/>
        <v>283</v>
      </c>
      <c r="F8" s="11">
        <f t="shared" ca="1" si="4"/>
        <v>0</v>
      </c>
      <c r="G8" s="11">
        <f t="shared" ref="G8:G35" ca="1" si="5">VLOOKUP(C8,Previous,3,FALSE)</f>
        <v>283</v>
      </c>
      <c r="L8" s="3"/>
      <c r="N8" s="16">
        <v>44305</v>
      </c>
      <c r="O8">
        <v>84791</v>
      </c>
      <c r="P8">
        <v>283</v>
      </c>
      <c r="Q8" s="16">
        <v>44305</v>
      </c>
      <c r="R8">
        <v>84791</v>
      </c>
      <c r="S8">
        <v>283</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c r="TJ8">
        <v>44286</v>
      </c>
      <c r="TK8">
        <v>78516</v>
      </c>
      <c r="TL8">
        <v>550</v>
      </c>
      <c r="TM8">
        <v>44287</v>
      </c>
      <c r="TN8">
        <v>79003</v>
      </c>
      <c r="TO8">
        <v>487</v>
      </c>
      <c r="TP8">
        <v>44289</v>
      </c>
      <c r="TQ8">
        <v>79687</v>
      </c>
      <c r="TR8">
        <v>319</v>
      </c>
      <c r="TS8">
        <v>44290</v>
      </c>
      <c r="TT8">
        <v>80010</v>
      </c>
      <c r="TU8">
        <v>320</v>
      </c>
      <c r="TV8">
        <v>44290</v>
      </c>
      <c r="TW8">
        <v>80016</v>
      </c>
      <c r="TX8">
        <v>320</v>
      </c>
      <c r="TY8">
        <v>44291</v>
      </c>
      <c r="TZ8">
        <v>80375</v>
      </c>
      <c r="UA8">
        <v>359</v>
      </c>
      <c r="UB8">
        <v>44293</v>
      </c>
      <c r="UC8">
        <v>81344</v>
      </c>
      <c r="UD8">
        <v>425</v>
      </c>
      <c r="UE8">
        <v>44293</v>
      </c>
      <c r="UF8">
        <v>81344</v>
      </c>
      <c r="UG8">
        <v>425</v>
      </c>
      <c r="UH8">
        <v>44294</v>
      </c>
      <c r="UI8">
        <v>81749</v>
      </c>
      <c r="UJ8">
        <v>403</v>
      </c>
      <c r="UK8">
        <v>44295</v>
      </c>
      <c r="UL8">
        <v>82098</v>
      </c>
      <c r="UM8">
        <v>348</v>
      </c>
      <c r="UN8">
        <v>44299</v>
      </c>
      <c r="UO8">
        <v>83291</v>
      </c>
      <c r="UP8">
        <v>325</v>
      </c>
      <c r="UQ8">
        <v>44300</v>
      </c>
      <c r="UR8">
        <v>83638</v>
      </c>
      <c r="US8">
        <v>345</v>
      </c>
      <c r="UT8">
        <v>44301</v>
      </c>
      <c r="UU8">
        <v>83913</v>
      </c>
      <c r="UV8">
        <v>274</v>
      </c>
      <c r="UW8">
        <v>44302</v>
      </c>
      <c r="UX8">
        <v>84179</v>
      </c>
      <c r="UY8">
        <v>264</v>
      </c>
      <c r="UZ8">
        <v>44304</v>
      </c>
      <c r="VA8">
        <v>84509</v>
      </c>
      <c r="VB8">
        <v>155</v>
      </c>
      <c r="VC8">
        <v>44304</v>
      </c>
      <c r="VD8">
        <v>84507</v>
      </c>
      <c r="VE8">
        <v>155</v>
      </c>
      <c r="VF8">
        <v>44305</v>
      </c>
      <c r="VG8">
        <v>84791</v>
      </c>
      <c r="VH8">
        <v>283</v>
      </c>
    </row>
    <row r="9" spans="1:580">
      <c r="B9" t="str">
        <f t="shared" ca="1" si="2"/>
        <v>20.4</v>
      </c>
      <c r="C9" s="4">
        <f t="shared" ca="1" si="0"/>
        <v>44306</v>
      </c>
      <c r="D9" s="11">
        <f t="shared" ca="1" si="1"/>
        <v>85076</v>
      </c>
      <c r="E9">
        <f t="shared" ca="1" si="3"/>
        <v>285</v>
      </c>
      <c r="F9" s="11">
        <f t="shared" ca="1" si="4"/>
        <v>0</v>
      </c>
      <c r="G9" s="11">
        <f t="shared" ca="1" si="5"/>
        <v>285</v>
      </c>
      <c r="L9" s="3"/>
      <c r="N9" s="16">
        <v>44306</v>
      </c>
      <c r="O9">
        <v>85076</v>
      </c>
      <c r="P9">
        <v>285</v>
      </c>
      <c r="Q9" s="16">
        <v>44306</v>
      </c>
      <c r="R9">
        <v>85076</v>
      </c>
      <c r="S9">
        <v>285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c r="TJ9">
        <v>44287</v>
      </c>
      <c r="TK9">
        <v>79003</v>
      </c>
      <c r="TL9">
        <v>487</v>
      </c>
      <c r="TM9">
        <v>44288</v>
      </c>
      <c r="TN9">
        <v>79364</v>
      </c>
      <c r="TO9">
        <v>361</v>
      </c>
      <c r="TP9">
        <v>44290</v>
      </c>
      <c r="TQ9">
        <v>80007</v>
      </c>
      <c r="TR9">
        <v>320</v>
      </c>
      <c r="TS9">
        <v>44291</v>
      </c>
      <c r="TT9">
        <v>80369</v>
      </c>
      <c r="TU9">
        <v>359</v>
      </c>
      <c r="TV9">
        <v>44291</v>
      </c>
      <c r="TW9">
        <v>80375</v>
      </c>
      <c r="TX9">
        <v>359</v>
      </c>
      <c r="TY9">
        <v>44292</v>
      </c>
      <c r="TZ9">
        <v>80919</v>
      </c>
      <c r="UA9">
        <v>544</v>
      </c>
      <c r="UB9">
        <v>44294</v>
      </c>
      <c r="UC9">
        <v>81747</v>
      </c>
      <c r="UD9">
        <v>403</v>
      </c>
      <c r="UE9">
        <v>44294</v>
      </c>
      <c r="UF9">
        <v>81747</v>
      </c>
      <c r="UG9">
        <v>403</v>
      </c>
      <c r="UH9">
        <v>44295</v>
      </c>
      <c r="UI9">
        <v>82097</v>
      </c>
      <c r="UJ9">
        <v>348</v>
      </c>
      <c r="UK9">
        <v>44296</v>
      </c>
      <c r="UL9">
        <v>82323</v>
      </c>
      <c r="UM9">
        <v>225</v>
      </c>
      <c r="UN9">
        <v>44300</v>
      </c>
      <c r="UO9">
        <v>83636</v>
      </c>
      <c r="UP9">
        <v>345</v>
      </c>
      <c r="UQ9">
        <v>44301</v>
      </c>
      <c r="UR9">
        <v>83912</v>
      </c>
      <c r="US9">
        <v>274</v>
      </c>
      <c r="UT9">
        <v>44302</v>
      </c>
      <c r="UU9">
        <v>84177</v>
      </c>
      <c r="UV9">
        <v>264</v>
      </c>
      <c r="UW9">
        <v>44303</v>
      </c>
      <c r="UX9">
        <v>84350</v>
      </c>
      <c r="UY9">
        <v>171</v>
      </c>
      <c r="UZ9">
        <v>44305</v>
      </c>
      <c r="VA9">
        <v>84792</v>
      </c>
      <c r="VB9">
        <v>283</v>
      </c>
      <c r="VC9">
        <v>44305</v>
      </c>
      <c r="VD9">
        <v>84790</v>
      </c>
      <c r="VE9">
        <v>283</v>
      </c>
      <c r="VF9">
        <v>44306</v>
      </c>
      <c r="VG9">
        <v>85076</v>
      </c>
      <c r="VH9">
        <v>285</v>
      </c>
    </row>
    <row r="10" spans="1:580">
      <c r="B10" t="str">
        <f t="shared" ca="1" si="2"/>
        <v>21.4</v>
      </c>
      <c r="C10" s="4">
        <f t="shared" ca="1" si="0"/>
        <v>44307</v>
      </c>
      <c r="D10" s="11">
        <f t="shared" ca="1" si="1"/>
        <v>85309</v>
      </c>
      <c r="E10">
        <f t="shared" ca="1" si="3"/>
        <v>233</v>
      </c>
      <c r="F10" s="11">
        <f t="shared" ca="1" si="4"/>
        <v>0</v>
      </c>
      <c r="G10" s="11">
        <f t="shared" ca="1" si="5"/>
        <v>233</v>
      </c>
      <c r="L10" s="10"/>
      <c r="N10" s="16">
        <v>44307</v>
      </c>
      <c r="O10">
        <v>85309</v>
      </c>
      <c r="P10">
        <v>233</v>
      </c>
      <c r="Q10" s="16">
        <v>44307</v>
      </c>
      <c r="R10">
        <v>85309</v>
      </c>
      <c r="S10">
        <v>233</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c r="TJ10">
        <v>44288</v>
      </c>
      <c r="TK10">
        <v>79364</v>
      </c>
      <c r="TL10">
        <v>361</v>
      </c>
      <c r="TM10">
        <v>44289</v>
      </c>
      <c r="TN10">
        <v>79683</v>
      </c>
      <c r="TO10">
        <v>319</v>
      </c>
      <c r="TP10">
        <v>44291</v>
      </c>
      <c r="TQ10">
        <v>80366</v>
      </c>
      <c r="TR10">
        <v>359</v>
      </c>
      <c r="TS10">
        <v>44292</v>
      </c>
      <c r="TT10">
        <v>80912</v>
      </c>
      <c r="TU10">
        <v>543</v>
      </c>
      <c r="TV10">
        <v>44292</v>
      </c>
      <c r="TW10">
        <v>80918</v>
      </c>
      <c r="TX10">
        <v>543</v>
      </c>
      <c r="TY10">
        <v>44293</v>
      </c>
      <c r="TZ10">
        <v>81344</v>
      </c>
      <c r="UA10">
        <v>425</v>
      </c>
      <c r="UB10">
        <v>44295</v>
      </c>
      <c r="UC10">
        <v>82095</v>
      </c>
      <c r="UD10">
        <v>348</v>
      </c>
      <c r="UE10">
        <v>44295</v>
      </c>
      <c r="UF10">
        <v>82095</v>
      </c>
      <c r="UG10">
        <v>348</v>
      </c>
      <c r="UH10">
        <v>44296</v>
      </c>
      <c r="UI10">
        <v>82322</v>
      </c>
      <c r="UJ10">
        <v>225</v>
      </c>
      <c r="UK10">
        <v>44297</v>
      </c>
      <c r="UL10">
        <v>82561</v>
      </c>
      <c r="UM10">
        <v>238</v>
      </c>
      <c r="UN10">
        <v>44301</v>
      </c>
      <c r="UO10">
        <v>83911</v>
      </c>
      <c r="UP10">
        <v>275</v>
      </c>
      <c r="UQ10">
        <v>44302</v>
      </c>
      <c r="UR10">
        <v>84176</v>
      </c>
      <c r="US10">
        <v>264</v>
      </c>
      <c r="UT10">
        <v>44303</v>
      </c>
      <c r="UU10">
        <v>84348</v>
      </c>
      <c r="UV10">
        <v>171</v>
      </c>
      <c r="UW10">
        <v>44304</v>
      </c>
      <c r="UX10">
        <v>84505</v>
      </c>
      <c r="UY10">
        <v>155</v>
      </c>
      <c r="UZ10">
        <v>44306</v>
      </c>
      <c r="VA10">
        <v>85077</v>
      </c>
      <c r="VB10">
        <v>285</v>
      </c>
      <c r="VC10">
        <v>44306</v>
      </c>
      <c r="VD10">
        <v>85075</v>
      </c>
      <c r="VE10">
        <v>285</v>
      </c>
      <c r="VF10">
        <v>44307</v>
      </c>
      <c r="VG10">
        <v>85309</v>
      </c>
      <c r="VH10">
        <v>233</v>
      </c>
    </row>
    <row r="11" spans="1:580">
      <c r="B11" t="str">
        <f t="shared" ca="1" si="2"/>
        <v>22.4</v>
      </c>
      <c r="C11" s="4">
        <f t="shared" ca="1" si="0"/>
        <v>44308</v>
      </c>
      <c r="D11" s="11">
        <f t="shared" ca="1" si="1"/>
        <v>85567</v>
      </c>
      <c r="E11">
        <f t="shared" ca="1" si="3"/>
        <v>258</v>
      </c>
      <c r="F11" s="11">
        <f t="shared" ca="1" si="4"/>
        <v>0</v>
      </c>
      <c r="G11" s="11">
        <f t="shared" ca="1" si="5"/>
        <v>258</v>
      </c>
      <c r="K11" s="10">
        <f ca="1">SUM(E11:E17)</f>
        <v>1552</v>
      </c>
      <c r="L11" s="3"/>
      <c r="N11" s="16">
        <v>44308</v>
      </c>
      <c r="O11">
        <v>85567</v>
      </c>
      <c r="P11">
        <v>258</v>
      </c>
      <c r="Q11" s="16">
        <v>44308</v>
      </c>
      <c r="R11">
        <v>85567</v>
      </c>
      <c r="S11">
        <v>258</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c r="TJ11">
        <v>44289</v>
      </c>
      <c r="TK11">
        <v>79683</v>
      </c>
      <c r="TL11">
        <v>319</v>
      </c>
      <c r="TM11">
        <v>44290</v>
      </c>
      <c r="TN11">
        <v>80003</v>
      </c>
      <c r="TO11">
        <v>320</v>
      </c>
      <c r="TP11">
        <v>44292</v>
      </c>
      <c r="TQ11">
        <v>80909</v>
      </c>
      <c r="TR11">
        <v>543</v>
      </c>
      <c r="TS11">
        <v>44293</v>
      </c>
      <c r="TT11">
        <v>81336</v>
      </c>
      <c r="TU11">
        <v>424</v>
      </c>
      <c r="TV11">
        <v>44293</v>
      </c>
      <c r="TW11">
        <v>81342</v>
      </c>
      <c r="TX11">
        <v>424</v>
      </c>
      <c r="TY11">
        <v>44294</v>
      </c>
      <c r="TZ11">
        <v>81747</v>
      </c>
      <c r="UA11">
        <v>403</v>
      </c>
      <c r="UB11">
        <v>44296</v>
      </c>
      <c r="UC11">
        <v>82319</v>
      </c>
      <c r="UD11">
        <v>224</v>
      </c>
      <c r="UE11">
        <v>44296</v>
      </c>
      <c r="UF11">
        <v>82320</v>
      </c>
      <c r="UG11">
        <v>225</v>
      </c>
      <c r="UH11">
        <v>44297</v>
      </c>
      <c r="UI11">
        <v>82560</v>
      </c>
      <c r="UJ11">
        <v>238</v>
      </c>
      <c r="UK11">
        <v>44298</v>
      </c>
      <c r="UL11">
        <v>82957</v>
      </c>
      <c r="UM11">
        <v>396</v>
      </c>
      <c r="UN11">
        <v>44302</v>
      </c>
      <c r="UO11">
        <v>84175</v>
      </c>
      <c r="UP11">
        <v>264</v>
      </c>
      <c r="UQ11">
        <v>44303</v>
      </c>
      <c r="UR11">
        <v>84347</v>
      </c>
      <c r="US11">
        <v>171</v>
      </c>
      <c r="UT11">
        <v>44304</v>
      </c>
      <c r="UU11">
        <v>84503</v>
      </c>
      <c r="UV11">
        <v>155</v>
      </c>
      <c r="UW11">
        <v>44305</v>
      </c>
      <c r="UX11">
        <v>84788</v>
      </c>
      <c r="UY11">
        <v>283</v>
      </c>
      <c r="UZ11">
        <v>44307</v>
      </c>
      <c r="VA11">
        <v>85310</v>
      </c>
      <c r="VB11">
        <v>233</v>
      </c>
      <c r="VC11">
        <v>44307</v>
      </c>
      <c r="VD11">
        <v>85308</v>
      </c>
      <c r="VE11">
        <v>233</v>
      </c>
      <c r="VF11">
        <v>44308</v>
      </c>
      <c r="VG11">
        <v>85567</v>
      </c>
      <c r="VH11">
        <v>258</v>
      </c>
    </row>
    <row r="12" spans="1:580">
      <c r="B12" t="str">
        <f t="shared" ca="1" si="2"/>
        <v>23.4</v>
      </c>
      <c r="C12" s="4">
        <f t="shared" ca="1" si="0"/>
        <v>44309</v>
      </c>
      <c r="D12" s="11">
        <f t="shared" ca="1" si="1"/>
        <v>85822</v>
      </c>
      <c r="E12">
        <f t="shared" ca="1" si="3"/>
        <v>255</v>
      </c>
      <c r="F12" s="11">
        <f t="shared" ca="1" si="4"/>
        <v>0</v>
      </c>
      <c r="G12" s="11">
        <f t="shared" ca="1" si="5"/>
        <v>255</v>
      </c>
      <c r="L12" s="3"/>
      <c r="N12" s="16">
        <v>44309</v>
      </c>
      <c r="O12">
        <v>85822</v>
      </c>
      <c r="P12">
        <v>255</v>
      </c>
      <c r="Q12" s="16">
        <v>44309</v>
      </c>
      <c r="R12">
        <v>85822</v>
      </c>
      <c r="S12">
        <v>255</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c r="TJ12">
        <v>44290</v>
      </c>
      <c r="TK12">
        <v>80002</v>
      </c>
      <c r="TL12">
        <v>319</v>
      </c>
      <c r="TM12">
        <v>44291</v>
      </c>
      <c r="TN12">
        <v>80362</v>
      </c>
      <c r="TO12">
        <v>359</v>
      </c>
      <c r="TP12">
        <v>44293</v>
      </c>
      <c r="TQ12">
        <v>81333</v>
      </c>
      <c r="TR12">
        <v>424</v>
      </c>
      <c r="TS12">
        <v>44294</v>
      </c>
      <c r="TT12">
        <v>81739</v>
      </c>
      <c r="TU12">
        <v>403</v>
      </c>
      <c r="TV12">
        <v>44294</v>
      </c>
      <c r="TW12">
        <v>81745</v>
      </c>
      <c r="TX12">
        <v>403</v>
      </c>
      <c r="TY12">
        <v>44295</v>
      </c>
      <c r="TZ12">
        <v>82095</v>
      </c>
      <c r="UA12">
        <v>348</v>
      </c>
      <c r="UB12">
        <v>44297</v>
      </c>
      <c r="UC12">
        <v>82557</v>
      </c>
      <c r="UD12">
        <v>238</v>
      </c>
      <c r="UE12">
        <v>44297</v>
      </c>
      <c r="UF12">
        <v>82558</v>
      </c>
      <c r="UG12">
        <v>238</v>
      </c>
      <c r="UH12">
        <v>44298</v>
      </c>
      <c r="UI12">
        <v>82956</v>
      </c>
      <c r="UJ12">
        <v>396</v>
      </c>
      <c r="UK12">
        <v>44299</v>
      </c>
      <c r="UL12">
        <v>83282</v>
      </c>
      <c r="UM12">
        <v>325</v>
      </c>
      <c r="UN12">
        <v>44303</v>
      </c>
      <c r="UO12">
        <v>84345</v>
      </c>
      <c r="UP12">
        <v>170</v>
      </c>
      <c r="UQ12">
        <v>44304</v>
      </c>
      <c r="UR12">
        <v>84502</v>
      </c>
      <c r="US12">
        <v>155</v>
      </c>
      <c r="UT12">
        <v>44305</v>
      </c>
      <c r="UU12">
        <v>84786</v>
      </c>
      <c r="UV12">
        <v>283</v>
      </c>
      <c r="UW12">
        <v>44306</v>
      </c>
      <c r="UX12">
        <v>85073</v>
      </c>
      <c r="UY12">
        <v>285</v>
      </c>
      <c r="UZ12">
        <v>44308</v>
      </c>
      <c r="VA12">
        <v>85568</v>
      </c>
      <c r="VB12">
        <v>258</v>
      </c>
      <c r="VC12">
        <v>44308</v>
      </c>
      <c r="VD12">
        <v>85565</v>
      </c>
      <c r="VE12">
        <v>257</v>
      </c>
      <c r="VF12">
        <v>44309</v>
      </c>
      <c r="VG12">
        <v>85822</v>
      </c>
      <c r="VH12">
        <v>255</v>
      </c>
    </row>
    <row r="13" spans="1:580">
      <c r="B13" t="str">
        <f t="shared" ca="1" si="2"/>
        <v>24.4</v>
      </c>
      <c r="C13" s="4">
        <f t="shared" ca="1" si="0"/>
        <v>44310</v>
      </c>
      <c r="D13" s="11">
        <f t="shared" ca="1" si="1"/>
        <v>85976</v>
      </c>
      <c r="E13">
        <f t="shared" ca="1" si="3"/>
        <v>154</v>
      </c>
      <c r="F13" s="11">
        <f t="shared" ca="1" si="4"/>
        <v>0</v>
      </c>
      <c r="G13" s="11">
        <f t="shared" ca="1" si="5"/>
        <v>154</v>
      </c>
      <c r="H13" s="10"/>
      <c r="L13" s="3"/>
      <c r="N13" s="16">
        <v>44310</v>
      </c>
      <c r="O13">
        <v>85976</v>
      </c>
      <c r="P13" s="10">
        <v>154</v>
      </c>
      <c r="Q13" s="16">
        <v>44310</v>
      </c>
      <c r="R13">
        <v>85976</v>
      </c>
      <c r="S13">
        <v>154</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c r="TJ13">
        <v>44291</v>
      </c>
      <c r="TK13">
        <v>80361</v>
      </c>
      <c r="TL13">
        <v>359</v>
      </c>
      <c r="TM13">
        <v>44292</v>
      </c>
      <c r="TN13">
        <v>80905</v>
      </c>
      <c r="TO13">
        <v>543</v>
      </c>
      <c r="TP13">
        <v>44294</v>
      </c>
      <c r="TQ13">
        <v>81736</v>
      </c>
      <c r="TR13">
        <v>403</v>
      </c>
      <c r="TS13">
        <v>44295</v>
      </c>
      <c r="TT13">
        <v>82087</v>
      </c>
      <c r="TU13">
        <v>348</v>
      </c>
      <c r="TV13">
        <v>44295</v>
      </c>
      <c r="TW13">
        <v>82093</v>
      </c>
      <c r="TX13">
        <v>348</v>
      </c>
      <c r="TY13">
        <v>44296</v>
      </c>
      <c r="TZ13">
        <v>82319</v>
      </c>
      <c r="UA13">
        <v>224</v>
      </c>
      <c r="UB13">
        <v>44298</v>
      </c>
      <c r="UC13">
        <v>82953</v>
      </c>
      <c r="UD13">
        <v>396</v>
      </c>
      <c r="UE13">
        <v>44298</v>
      </c>
      <c r="UF13">
        <v>82954</v>
      </c>
      <c r="UG13">
        <v>396</v>
      </c>
      <c r="UH13">
        <v>44299</v>
      </c>
      <c r="UI13">
        <v>83281</v>
      </c>
      <c r="UJ13">
        <v>325</v>
      </c>
      <c r="UK13">
        <v>44300</v>
      </c>
      <c r="UL13">
        <v>83627</v>
      </c>
      <c r="UM13">
        <v>345</v>
      </c>
      <c r="UN13">
        <v>44304</v>
      </c>
      <c r="UO13">
        <v>84500</v>
      </c>
      <c r="UP13">
        <v>155</v>
      </c>
      <c r="UQ13">
        <v>44305</v>
      </c>
      <c r="UR13">
        <v>84785</v>
      </c>
      <c r="US13">
        <v>283</v>
      </c>
      <c r="UT13">
        <v>44306</v>
      </c>
      <c r="UU13">
        <v>85071</v>
      </c>
      <c r="UV13">
        <v>285</v>
      </c>
      <c r="UW13">
        <v>44307</v>
      </c>
      <c r="UX13">
        <v>85307</v>
      </c>
      <c r="UY13">
        <v>234</v>
      </c>
      <c r="UZ13">
        <v>44309</v>
      </c>
      <c r="VA13">
        <v>85825</v>
      </c>
      <c r="VB13">
        <v>257</v>
      </c>
      <c r="VC13">
        <v>44309</v>
      </c>
      <c r="VD13">
        <v>85820</v>
      </c>
      <c r="VE13">
        <v>255</v>
      </c>
      <c r="VF13">
        <v>44310</v>
      </c>
      <c r="VG13">
        <v>85976</v>
      </c>
      <c r="VH13">
        <v>154</v>
      </c>
    </row>
    <row r="14" spans="1:580" s="10" customFormat="1">
      <c r="B14" t="str">
        <f t="shared" ca="1" si="2"/>
        <v>25.4</v>
      </c>
      <c r="C14" s="9">
        <f t="shared" ca="1" si="0"/>
        <v>44311</v>
      </c>
      <c r="D14" s="10">
        <f t="shared" ca="1" si="1"/>
        <v>86117</v>
      </c>
      <c r="E14" s="10">
        <f t="shared" ca="1" si="3"/>
        <v>141</v>
      </c>
      <c r="F14" s="10">
        <f t="shared" ca="1" si="4"/>
        <v>0</v>
      </c>
      <c r="G14" s="10">
        <f t="shared" ca="1" si="5"/>
        <v>141</v>
      </c>
      <c r="H14" s="10">
        <f ca="1">SUM(E14:E20)</f>
        <v>1385</v>
      </c>
      <c r="I14" s="10" t="str">
        <f ca="1">TEXT(H14/H7-1,"0 %")</f>
        <v>-15 %</v>
      </c>
      <c r="L14" s="14"/>
      <c r="M14"/>
      <c r="N14" s="17">
        <v>44311</v>
      </c>
      <c r="O14" s="10">
        <v>86117</v>
      </c>
      <c r="P14">
        <v>141</v>
      </c>
      <c r="Q14" s="17">
        <v>44311</v>
      </c>
      <c r="R14" s="10">
        <v>86117</v>
      </c>
      <c r="S14" s="10">
        <v>141</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c r="TJ14" s="10">
        <v>44292</v>
      </c>
      <c r="TK14" s="10">
        <v>80905</v>
      </c>
      <c r="TL14" s="10">
        <v>544</v>
      </c>
      <c r="TM14" s="10">
        <v>44293</v>
      </c>
      <c r="TN14" s="10">
        <v>81329</v>
      </c>
      <c r="TO14" s="10">
        <v>424</v>
      </c>
      <c r="TP14" s="10">
        <v>44295</v>
      </c>
      <c r="TQ14" s="10">
        <v>82084</v>
      </c>
      <c r="TR14" s="10">
        <v>348</v>
      </c>
      <c r="TS14" s="10">
        <v>44296</v>
      </c>
      <c r="TT14" s="10">
        <v>82311</v>
      </c>
      <c r="TU14" s="10">
        <v>224</v>
      </c>
      <c r="TV14" s="10">
        <v>44296</v>
      </c>
      <c r="TW14" s="10">
        <v>82317</v>
      </c>
      <c r="TX14" s="10">
        <v>224</v>
      </c>
      <c r="TY14" s="10">
        <v>44297</v>
      </c>
      <c r="TZ14" s="10">
        <v>82557</v>
      </c>
      <c r="UA14" s="10">
        <v>238</v>
      </c>
      <c r="UB14" s="10">
        <v>44299</v>
      </c>
      <c r="UC14" s="10">
        <v>83278</v>
      </c>
      <c r="UD14" s="10">
        <v>325</v>
      </c>
      <c r="UE14" s="10">
        <v>44299</v>
      </c>
      <c r="UF14" s="10">
        <v>83279</v>
      </c>
      <c r="UG14" s="10">
        <v>325</v>
      </c>
      <c r="UH14" s="10">
        <v>44300</v>
      </c>
      <c r="UI14" s="10">
        <v>83626</v>
      </c>
      <c r="UJ14" s="10">
        <v>345</v>
      </c>
      <c r="UK14" s="10">
        <v>44301</v>
      </c>
      <c r="UL14" s="10">
        <v>83902</v>
      </c>
      <c r="UM14" s="10">
        <v>275</v>
      </c>
      <c r="UN14" s="10">
        <v>44305</v>
      </c>
      <c r="UO14" s="10">
        <v>84783</v>
      </c>
      <c r="UP14" s="10">
        <v>283</v>
      </c>
      <c r="UQ14" s="10">
        <v>44306</v>
      </c>
      <c r="UR14" s="10">
        <v>85070</v>
      </c>
      <c r="US14" s="10">
        <v>285</v>
      </c>
      <c r="UT14" s="10">
        <v>44307</v>
      </c>
      <c r="UU14" s="10">
        <v>85307</v>
      </c>
      <c r="UV14" s="10">
        <v>236</v>
      </c>
      <c r="UW14" s="10">
        <v>44308</v>
      </c>
      <c r="UX14" s="10">
        <v>85566</v>
      </c>
      <c r="UY14" s="10">
        <v>259</v>
      </c>
      <c r="UZ14" s="10">
        <v>44310</v>
      </c>
      <c r="VA14" s="10">
        <v>85979</v>
      </c>
      <c r="VB14" s="10">
        <v>154</v>
      </c>
      <c r="VC14" s="10">
        <v>44310</v>
      </c>
      <c r="VD14" s="10">
        <v>85974</v>
      </c>
      <c r="VE14" s="10">
        <v>154</v>
      </c>
      <c r="VF14" s="10">
        <v>44311</v>
      </c>
      <c r="VG14" s="10">
        <v>86117</v>
      </c>
      <c r="VH14" s="10">
        <v>141</v>
      </c>
    </row>
    <row r="15" spans="1:580">
      <c r="B15" t="str">
        <f t="shared" ca="1" si="2"/>
        <v>Ma 26</v>
      </c>
      <c r="C15" s="4">
        <f t="shared" ca="1" si="0"/>
        <v>44312</v>
      </c>
      <c r="D15" s="11">
        <f t="shared" ca="1" si="1"/>
        <v>86360</v>
      </c>
      <c r="E15">
        <f t="shared" ca="1" si="3"/>
        <v>243</v>
      </c>
      <c r="F15" s="11">
        <f t="shared" ca="1" si="4"/>
        <v>0</v>
      </c>
      <c r="G15" s="11">
        <f t="shared" ca="1" si="5"/>
        <v>243</v>
      </c>
      <c r="L15" s="3"/>
      <c r="N15" s="16">
        <v>44312</v>
      </c>
      <c r="O15">
        <v>86360</v>
      </c>
      <c r="P15">
        <v>243</v>
      </c>
      <c r="Q15" s="16">
        <v>44312</v>
      </c>
      <c r="R15">
        <v>86360</v>
      </c>
      <c r="S15">
        <v>243</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c r="TJ15">
        <v>44293</v>
      </c>
      <c r="TK15">
        <v>81329</v>
      </c>
      <c r="TL15">
        <v>424</v>
      </c>
      <c r="TM15">
        <v>44294</v>
      </c>
      <c r="TN15">
        <v>81732</v>
      </c>
      <c r="TO15">
        <v>403</v>
      </c>
      <c r="TP15">
        <v>44296</v>
      </c>
      <c r="TQ15">
        <v>82308</v>
      </c>
      <c r="TR15">
        <v>224</v>
      </c>
      <c r="TS15">
        <v>44297</v>
      </c>
      <c r="TT15">
        <v>82550</v>
      </c>
      <c r="TU15">
        <v>239</v>
      </c>
      <c r="TV15">
        <v>44297</v>
      </c>
      <c r="TW15">
        <v>82556</v>
      </c>
      <c r="TX15">
        <v>239</v>
      </c>
      <c r="TY15">
        <v>44298</v>
      </c>
      <c r="TZ15">
        <v>82953</v>
      </c>
      <c r="UA15">
        <v>396</v>
      </c>
      <c r="UB15">
        <v>44300</v>
      </c>
      <c r="UC15">
        <v>83623</v>
      </c>
      <c r="UD15">
        <v>345</v>
      </c>
      <c r="UE15">
        <v>44300</v>
      </c>
      <c r="UF15">
        <v>83624</v>
      </c>
      <c r="UG15">
        <v>345</v>
      </c>
      <c r="UH15">
        <v>44301</v>
      </c>
      <c r="UI15">
        <v>83901</v>
      </c>
      <c r="UJ15">
        <v>275</v>
      </c>
      <c r="UK15">
        <v>44302</v>
      </c>
      <c r="UL15">
        <v>84166</v>
      </c>
      <c r="UM15">
        <v>264</v>
      </c>
      <c r="UN15">
        <v>44306</v>
      </c>
      <c r="UO15">
        <v>85068</v>
      </c>
      <c r="UP15">
        <v>285</v>
      </c>
      <c r="UQ15">
        <v>44307</v>
      </c>
      <c r="UR15">
        <v>85311</v>
      </c>
      <c r="US15">
        <v>241</v>
      </c>
      <c r="UT15">
        <v>44308</v>
      </c>
      <c r="UU15">
        <v>85567</v>
      </c>
      <c r="UV15">
        <v>260</v>
      </c>
      <c r="UW15">
        <v>44309</v>
      </c>
      <c r="UX15">
        <v>85823</v>
      </c>
      <c r="UY15">
        <v>257</v>
      </c>
      <c r="UZ15">
        <v>44311</v>
      </c>
      <c r="VA15">
        <v>86120</v>
      </c>
      <c r="VB15">
        <v>141</v>
      </c>
      <c r="VC15">
        <v>44311</v>
      </c>
      <c r="VD15">
        <v>86115</v>
      </c>
      <c r="VE15">
        <v>141</v>
      </c>
      <c r="VF15">
        <v>44312</v>
      </c>
      <c r="VG15">
        <v>86360</v>
      </c>
      <c r="VH15">
        <v>243</v>
      </c>
    </row>
    <row r="16" spans="1:580">
      <c r="B16" t="str">
        <f t="shared" ca="1" si="2"/>
        <v>27.4</v>
      </c>
      <c r="C16" s="4">
        <f t="shared" ca="1" si="0"/>
        <v>44313</v>
      </c>
      <c r="D16" s="11">
        <f t="shared" ca="1" si="1"/>
        <v>86588</v>
      </c>
      <c r="E16">
        <f t="shared" ca="1" si="3"/>
        <v>228</v>
      </c>
      <c r="F16" s="11">
        <f t="shared" ca="1" si="4"/>
        <v>0</v>
      </c>
      <c r="G16" s="11">
        <f t="shared" ca="1" si="5"/>
        <v>228</v>
      </c>
      <c r="L16" s="3"/>
      <c r="N16" s="16">
        <v>44313</v>
      </c>
      <c r="O16">
        <v>86588</v>
      </c>
      <c r="P16">
        <v>228</v>
      </c>
      <c r="Q16" s="16">
        <v>44313</v>
      </c>
      <c r="R16">
        <v>86588</v>
      </c>
      <c r="S16">
        <v>228</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c r="TJ16">
        <v>44294</v>
      </c>
      <c r="TK16">
        <v>81732</v>
      </c>
      <c r="TL16">
        <v>403</v>
      </c>
      <c r="TM16">
        <v>44295</v>
      </c>
      <c r="TN16">
        <v>82080</v>
      </c>
      <c r="TO16">
        <v>348</v>
      </c>
      <c r="TP16">
        <v>44297</v>
      </c>
      <c r="TQ16">
        <v>82547</v>
      </c>
      <c r="TR16">
        <v>239</v>
      </c>
      <c r="TS16">
        <v>44298</v>
      </c>
      <c r="TT16">
        <v>82947</v>
      </c>
      <c r="TU16">
        <v>397</v>
      </c>
      <c r="TV16">
        <v>44298</v>
      </c>
      <c r="TW16">
        <v>82953</v>
      </c>
      <c r="TX16">
        <v>397</v>
      </c>
      <c r="TY16">
        <v>44299</v>
      </c>
      <c r="TZ16">
        <v>83278</v>
      </c>
      <c r="UA16">
        <v>325</v>
      </c>
      <c r="UB16">
        <v>44301</v>
      </c>
      <c r="UC16">
        <v>83898</v>
      </c>
      <c r="UD16">
        <v>275</v>
      </c>
      <c r="UE16">
        <v>44301</v>
      </c>
      <c r="UF16">
        <v>83899</v>
      </c>
      <c r="UG16">
        <v>275</v>
      </c>
      <c r="UH16">
        <v>44302</v>
      </c>
      <c r="UI16">
        <v>84165</v>
      </c>
      <c r="UJ16">
        <v>264</v>
      </c>
      <c r="UK16">
        <v>44303</v>
      </c>
      <c r="UL16">
        <v>84336</v>
      </c>
      <c r="UM16">
        <v>170</v>
      </c>
      <c r="UN16">
        <v>44307</v>
      </c>
      <c r="UO16">
        <v>85308</v>
      </c>
      <c r="UP16">
        <v>240</v>
      </c>
      <c r="UQ16">
        <v>44308</v>
      </c>
      <c r="UR16">
        <v>85571</v>
      </c>
      <c r="US16">
        <v>260</v>
      </c>
      <c r="UT16">
        <v>44309</v>
      </c>
      <c r="UU16">
        <v>85824</v>
      </c>
      <c r="UV16">
        <v>257</v>
      </c>
      <c r="UW16">
        <v>44310</v>
      </c>
      <c r="UX16">
        <v>85977</v>
      </c>
      <c r="UY16">
        <v>154</v>
      </c>
      <c r="UZ16">
        <v>44312</v>
      </c>
      <c r="VA16">
        <v>86363</v>
      </c>
      <c r="VB16">
        <v>243</v>
      </c>
      <c r="VC16">
        <v>44312</v>
      </c>
      <c r="VD16">
        <v>86358</v>
      </c>
      <c r="VE16">
        <v>243</v>
      </c>
      <c r="VF16">
        <v>44313</v>
      </c>
      <c r="VG16">
        <v>86588</v>
      </c>
      <c r="VH16">
        <v>228</v>
      </c>
    </row>
    <row r="17" spans="2:580">
      <c r="B17" t="str">
        <f t="shared" ca="1" si="2"/>
        <v>28.4</v>
      </c>
      <c r="C17" s="4">
        <f t="shared" ca="1" si="0"/>
        <v>44314</v>
      </c>
      <c r="D17" s="11">
        <f t="shared" ca="1" si="1"/>
        <v>86861</v>
      </c>
      <c r="E17">
        <f t="shared" ca="1" si="3"/>
        <v>273</v>
      </c>
      <c r="F17" s="11">
        <f t="shared" ca="1" si="4"/>
        <v>0</v>
      </c>
      <c r="G17" s="11">
        <f t="shared" ca="1" si="5"/>
        <v>273</v>
      </c>
      <c r="N17" s="16">
        <v>44314</v>
      </c>
      <c r="O17">
        <v>86861</v>
      </c>
      <c r="P17">
        <v>273</v>
      </c>
      <c r="Q17" s="16">
        <v>44314</v>
      </c>
      <c r="R17">
        <v>86861</v>
      </c>
      <c r="S17">
        <v>273</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c r="TJ17">
        <v>44295</v>
      </c>
      <c r="TK17">
        <v>82080</v>
      </c>
      <c r="TL17">
        <v>348</v>
      </c>
      <c r="TM17">
        <v>44296</v>
      </c>
      <c r="TN17">
        <v>82304</v>
      </c>
      <c r="TO17">
        <v>224</v>
      </c>
      <c r="TP17">
        <v>44298</v>
      </c>
      <c r="TQ17">
        <v>82944</v>
      </c>
      <c r="TR17">
        <v>397</v>
      </c>
      <c r="TS17">
        <v>44299</v>
      </c>
      <c r="TT17">
        <v>83272</v>
      </c>
      <c r="TU17">
        <v>325</v>
      </c>
      <c r="TV17">
        <v>44299</v>
      </c>
      <c r="TW17">
        <v>83278</v>
      </c>
      <c r="TX17">
        <v>325</v>
      </c>
      <c r="TY17">
        <v>44300</v>
      </c>
      <c r="TZ17">
        <v>83623</v>
      </c>
      <c r="UA17">
        <v>345</v>
      </c>
      <c r="UB17">
        <v>44302</v>
      </c>
      <c r="UC17">
        <v>84162</v>
      </c>
      <c r="UD17">
        <v>264</v>
      </c>
      <c r="UE17">
        <v>44302</v>
      </c>
      <c r="UF17">
        <v>84163</v>
      </c>
      <c r="UG17">
        <v>264</v>
      </c>
      <c r="UH17">
        <v>44303</v>
      </c>
      <c r="UI17">
        <v>84335</v>
      </c>
      <c r="UJ17">
        <v>170</v>
      </c>
      <c r="UK17">
        <v>44304</v>
      </c>
      <c r="UL17">
        <v>84491</v>
      </c>
      <c r="UM17">
        <v>155</v>
      </c>
      <c r="UN17">
        <v>44308</v>
      </c>
      <c r="UO17">
        <v>85568</v>
      </c>
      <c r="UP17">
        <v>260</v>
      </c>
      <c r="UQ17">
        <v>44309</v>
      </c>
      <c r="UR17">
        <v>85828</v>
      </c>
      <c r="US17">
        <v>257</v>
      </c>
      <c r="UT17">
        <v>44310</v>
      </c>
      <c r="UU17">
        <v>85978</v>
      </c>
      <c r="UV17">
        <v>154</v>
      </c>
      <c r="UW17">
        <v>44311</v>
      </c>
      <c r="UX17">
        <v>86118</v>
      </c>
      <c r="UY17">
        <v>141</v>
      </c>
      <c r="UZ17">
        <v>44313</v>
      </c>
      <c r="VA17">
        <v>86591</v>
      </c>
      <c r="VB17">
        <v>228</v>
      </c>
      <c r="VC17">
        <v>44313</v>
      </c>
      <c r="VD17">
        <v>86586</v>
      </c>
      <c r="VE17">
        <v>228</v>
      </c>
      <c r="VF17">
        <v>44314</v>
      </c>
      <c r="VG17">
        <v>86861</v>
      </c>
      <c r="VH17">
        <v>273</v>
      </c>
    </row>
    <row r="18" spans="2:580">
      <c r="B18" t="str">
        <f t="shared" ca="1" si="2"/>
        <v>29.4</v>
      </c>
      <c r="C18" s="4">
        <f t="shared" ca="1" si="0"/>
        <v>44315</v>
      </c>
      <c r="D18" s="11">
        <f t="shared" ca="1" si="1"/>
        <v>87061</v>
      </c>
      <c r="E18">
        <f t="shared" ca="1" si="3"/>
        <v>200</v>
      </c>
      <c r="F18" s="11">
        <f t="shared" ca="1" si="4"/>
        <v>0</v>
      </c>
      <c r="G18" s="11">
        <f t="shared" ca="1" si="5"/>
        <v>200</v>
      </c>
      <c r="K18" s="10">
        <f ca="1">SUM(E18:E24)</f>
        <v>1427</v>
      </c>
      <c r="L18" s="10" t="str">
        <f ca="1">TEXT(K18/K11-1,"0 %")</f>
        <v>-8 %</v>
      </c>
      <c r="N18" s="16">
        <v>44315</v>
      </c>
      <c r="O18">
        <v>87061</v>
      </c>
      <c r="P18">
        <v>200</v>
      </c>
      <c r="Q18" s="16">
        <v>44315</v>
      </c>
      <c r="R18">
        <v>87061</v>
      </c>
      <c r="S18">
        <v>200</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c r="TJ18">
        <v>44296</v>
      </c>
      <c r="TK18">
        <v>82304</v>
      </c>
      <c r="TL18">
        <v>224</v>
      </c>
      <c r="TM18">
        <v>44297</v>
      </c>
      <c r="TN18">
        <v>82543</v>
      </c>
      <c r="TO18">
        <v>239</v>
      </c>
      <c r="TP18">
        <v>44299</v>
      </c>
      <c r="TQ18">
        <v>83268</v>
      </c>
      <c r="TR18">
        <v>324</v>
      </c>
      <c r="TS18">
        <v>44300</v>
      </c>
      <c r="TT18">
        <v>83617</v>
      </c>
      <c r="TU18">
        <v>345</v>
      </c>
      <c r="TV18">
        <v>44300</v>
      </c>
      <c r="TW18">
        <v>83623</v>
      </c>
      <c r="TX18">
        <v>345</v>
      </c>
      <c r="TY18">
        <v>44301</v>
      </c>
      <c r="TZ18">
        <v>83898</v>
      </c>
      <c r="UA18">
        <v>275</v>
      </c>
      <c r="UB18">
        <v>44303</v>
      </c>
      <c r="UC18">
        <v>84331</v>
      </c>
      <c r="UD18">
        <v>169</v>
      </c>
      <c r="UE18">
        <v>44303</v>
      </c>
      <c r="UF18">
        <v>84332</v>
      </c>
      <c r="UG18">
        <v>169</v>
      </c>
      <c r="UH18">
        <v>44304</v>
      </c>
      <c r="UI18">
        <v>84490</v>
      </c>
      <c r="UJ18">
        <v>155</v>
      </c>
      <c r="UK18">
        <v>44305</v>
      </c>
      <c r="UL18">
        <v>84775</v>
      </c>
      <c r="UM18">
        <v>284</v>
      </c>
      <c r="UN18">
        <v>44309</v>
      </c>
      <c r="UO18">
        <v>85825</v>
      </c>
      <c r="UP18">
        <v>257</v>
      </c>
      <c r="UQ18">
        <v>44310</v>
      </c>
      <c r="UR18">
        <v>85982</v>
      </c>
      <c r="US18">
        <v>154</v>
      </c>
      <c r="UT18">
        <v>44311</v>
      </c>
      <c r="UU18">
        <v>86119</v>
      </c>
      <c r="UV18">
        <v>141</v>
      </c>
      <c r="UW18">
        <v>44312</v>
      </c>
      <c r="UX18">
        <v>86361</v>
      </c>
      <c r="UY18">
        <v>243</v>
      </c>
      <c r="UZ18">
        <v>44314</v>
      </c>
      <c r="VA18">
        <v>86864</v>
      </c>
      <c r="VB18">
        <v>273</v>
      </c>
      <c r="VC18">
        <v>44314</v>
      </c>
      <c r="VD18">
        <v>86859</v>
      </c>
      <c r="VE18">
        <v>273</v>
      </c>
      <c r="VF18">
        <v>44315</v>
      </c>
      <c r="VG18">
        <v>87061</v>
      </c>
      <c r="VH18">
        <v>200</v>
      </c>
    </row>
    <row r="19" spans="2:580">
      <c r="B19" t="str">
        <f t="shared" ca="1" si="2"/>
        <v>30.4</v>
      </c>
      <c r="C19" s="4">
        <f t="shared" ca="1" si="0"/>
        <v>44316</v>
      </c>
      <c r="D19" s="11">
        <f t="shared" ca="1" si="1"/>
        <v>87256</v>
      </c>
      <c r="E19">
        <f t="shared" ca="1" si="3"/>
        <v>195</v>
      </c>
      <c r="F19" s="11">
        <f t="shared" ca="1" si="4"/>
        <v>0</v>
      </c>
      <c r="G19" s="11">
        <f t="shared" ca="1" si="5"/>
        <v>195</v>
      </c>
      <c r="L19" s="3"/>
      <c r="N19" s="16">
        <v>44316</v>
      </c>
      <c r="O19">
        <v>87256</v>
      </c>
      <c r="P19">
        <v>195</v>
      </c>
      <c r="Q19" s="16">
        <v>44316</v>
      </c>
      <c r="R19">
        <v>87256</v>
      </c>
      <c r="S19">
        <v>195</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c r="TJ19">
        <v>44297</v>
      </c>
      <c r="TK19">
        <v>82543</v>
      </c>
      <c r="TL19">
        <v>239</v>
      </c>
      <c r="TM19">
        <v>44298</v>
      </c>
      <c r="TN19">
        <v>82941</v>
      </c>
      <c r="TO19">
        <v>398</v>
      </c>
      <c r="TP19">
        <v>44300</v>
      </c>
      <c r="TQ19">
        <v>83613</v>
      </c>
      <c r="TR19">
        <v>345</v>
      </c>
      <c r="TS19">
        <v>44301</v>
      </c>
      <c r="TT19">
        <v>83892</v>
      </c>
      <c r="TU19">
        <v>275</v>
      </c>
      <c r="TV19">
        <v>44301</v>
      </c>
      <c r="TW19">
        <v>83898</v>
      </c>
      <c r="TX19">
        <v>275</v>
      </c>
      <c r="TY19">
        <v>44302</v>
      </c>
      <c r="TZ19">
        <v>84162</v>
      </c>
      <c r="UA19">
        <v>264</v>
      </c>
      <c r="UB19">
        <v>44304</v>
      </c>
      <c r="UC19">
        <v>84486</v>
      </c>
      <c r="UD19">
        <v>155</v>
      </c>
      <c r="UE19">
        <v>44304</v>
      </c>
      <c r="UF19">
        <v>84487</v>
      </c>
      <c r="UG19">
        <v>155</v>
      </c>
      <c r="UH19">
        <v>44305</v>
      </c>
      <c r="UI19">
        <v>84774</v>
      </c>
      <c r="UJ19">
        <v>284</v>
      </c>
      <c r="UK19">
        <v>44306</v>
      </c>
      <c r="UL19">
        <v>85060</v>
      </c>
      <c r="UM19">
        <v>285</v>
      </c>
      <c r="UN19">
        <v>44310</v>
      </c>
      <c r="UO19">
        <v>85979</v>
      </c>
      <c r="UP19">
        <v>154</v>
      </c>
      <c r="UQ19">
        <v>44311</v>
      </c>
      <c r="UR19">
        <v>86123</v>
      </c>
      <c r="US19">
        <v>141</v>
      </c>
      <c r="UT19">
        <v>44312</v>
      </c>
      <c r="UU19">
        <v>86362</v>
      </c>
      <c r="UV19">
        <v>243</v>
      </c>
      <c r="UW19">
        <v>44313</v>
      </c>
      <c r="UX19">
        <v>86589</v>
      </c>
      <c r="UY19">
        <v>228</v>
      </c>
      <c r="UZ19">
        <v>44315</v>
      </c>
      <c r="VA19">
        <v>87064</v>
      </c>
      <c r="VB19">
        <v>200</v>
      </c>
      <c r="VC19">
        <v>44315</v>
      </c>
      <c r="VD19">
        <v>87059</v>
      </c>
      <c r="VE19">
        <v>200</v>
      </c>
      <c r="VF19">
        <v>44316</v>
      </c>
      <c r="VG19">
        <v>87256</v>
      </c>
      <c r="VH19">
        <v>195</v>
      </c>
    </row>
    <row r="20" spans="2:580">
      <c r="B20" t="str">
        <f t="shared" ca="1" si="2"/>
        <v>1.5</v>
      </c>
      <c r="C20" s="4">
        <f t="shared" ca="1" si="0"/>
        <v>44317</v>
      </c>
      <c r="D20" s="11">
        <f t="shared" ca="1" si="1"/>
        <v>87361</v>
      </c>
      <c r="E20">
        <f t="shared" ca="1" si="3"/>
        <v>105</v>
      </c>
      <c r="F20" s="11">
        <f t="shared" ca="1" si="4"/>
        <v>0</v>
      </c>
      <c r="G20" s="11">
        <f t="shared" ca="1" si="5"/>
        <v>105</v>
      </c>
      <c r="L20" s="3"/>
      <c r="N20" s="16">
        <v>44317</v>
      </c>
      <c r="O20">
        <v>87361</v>
      </c>
      <c r="P20" s="10">
        <v>105</v>
      </c>
      <c r="Q20" s="16">
        <v>44317</v>
      </c>
      <c r="R20">
        <v>87361</v>
      </c>
      <c r="S20">
        <v>105</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c r="TJ20">
        <v>44298</v>
      </c>
      <c r="TK20">
        <v>82940</v>
      </c>
      <c r="TL20">
        <v>397</v>
      </c>
      <c r="TM20">
        <v>44299</v>
      </c>
      <c r="TN20">
        <v>83265</v>
      </c>
      <c r="TO20">
        <v>324</v>
      </c>
      <c r="TP20">
        <v>44301</v>
      </c>
      <c r="TQ20">
        <v>83888</v>
      </c>
      <c r="TR20">
        <v>275</v>
      </c>
      <c r="TS20">
        <v>44302</v>
      </c>
      <c r="TT20">
        <v>84156</v>
      </c>
      <c r="TU20">
        <v>264</v>
      </c>
      <c r="TV20">
        <v>44302</v>
      </c>
      <c r="TW20">
        <v>84162</v>
      </c>
      <c r="TX20">
        <v>264</v>
      </c>
      <c r="TY20">
        <v>44303</v>
      </c>
      <c r="TZ20">
        <v>84331</v>
      </c>
      <c r="UA20">
        <v>169</v>
      </c>
      <c r="UB20">
        <v>44305</v>
      </c>
      <c r="UC20">
        <v>84770</v>
      </c>
      <c r="UD20">
        <v>284</v>
      </c>
      <c r="UE20">
        <v>44305</v>
      </c>
      <c r="UF20">
        <v>84771</v>
      </c>
      <c r="UG20">
        <v>284</v>
      </c>
      <c r="UH20">
        <v>44306</v>
      </c>
      <c r="UI20">
        <v>85059</v>
      </c>
      <c r="UJ20">
        <v>285</v>
      </c>
      <c r="UK20">
        <v>44307</v>
      </c>
      <c r="UL20">
        <v>85300</v>
      </c>
      <c r="UM20">
        <v>240</v>
      </c>
      <c r="UN20">
        <v>44311</v>
      </c>
      <c r="UO20">
        <v>86120</v>
      </c>
      <c r="UP20">
        <v>141</v>
      </c>
      <c r="UQ20">
        <v>44312</v>
      </c>
      <c r="UR20">
        <v>86366</v>
      </c>
      <c r="US20">
        <v>243</v>
      </c>
      <c r="UT20">
        <v>44313</v>
      </c>
      <c r="UU20">
        <v>86590</v>
      </c>
      <c r="UV20">
        <v>228</v>
      </c>
      <c r="UW20">
        <v>44314</v>
      </c>
      <c r="UX20">
        <v>86862</v>
      </c>
      <c r="UY20">
        <v>273</v>
      </c>
      <c r="UZ20">
        <v>44316</v>
      </c>
      <c r="VA20">
        <v>87259</v>
      </c>
      <c r="VB20">
        <v>195</v>
      </c>
      <c r="VC20">
        <v>44316</v>
      </c>
      <c r="VD20">
        <v>87254</v>
      </c>
      <c r="VE20">
        <v>195</v>
      </c>
      <c r="VF20">
        <v>44317</v>
      </c>
      <c r="VG20">
        <v>87361</v>
      </c>
      <c r="VH20">
        <v>105</v>
      </c>
    </row>
    <row r="21" spans="2:580" s="10" customFormat="1">
      <c r="B21" t="str">
        <f t="shared" ca="1" si="2"/>
        <v>2.5</v>
      </c>
      <c r="C21" s="9">
        <f t="shared" ca="1" si="0"/>
        <v>44318</v>
      </c>
      <c r="D21" s="10">
        <f t="shared" ca="1" si="1"/>
        <v>87496</v>
      </c>
      <c r="E21" s="10">
        <f t="shared" ca="1" si="3"/>
        <v>135</v>
      </c>
      <c r="F21" s="10">
        <f t="shared" ca="1" si="4"/>
        <v>0</v>
      </c>
      <c r="G21" s="10">
        <f t="shared" ca="1" si="5"/>
        <v>135</v>
      </c>
      <c r="H21" s="10">
        <f ca="1">SUM(E21:E27)</f>
        <v>1511</v>
      </c>
      <c r="I21" s="10" t="str">
        <f ca="1">TEXT(H21/H14-1,"0 %")</f>
        <v>9 %</v>
      </c>
      <c r="J21" s="10">
        <f ca="1">SUM(E21:E34)</f>
        <v>2744</v>
      </c>
      <c r="L21" s="14"/>
      <c r="M21"/>
      <c r="N21" s="17">
        <v>44318</v>
      </c>
      <c r="O21" s="10">
        <v>87496</v>
      </c>
      <c r="P21">
        <v>135</v>
      </c>
      <c r="Q21" s="17">
        <v>44318</v>
      </c>
      <c r="R21" s="10">
        <v>87496</v>
      </c>
      <c r="S21" s="10">
        <v>135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c r="TJ21" s="10">
        <v>44299</v>
      </c>
      <c r="TK21" s="10">
        <v>83264</v>
      </c>
      <c r="TL21" s="10">
        <v>324</v>
      </c>
      <c r="TM21" s="10">
        <v>44300</v>
      </c>
      <c r="TN21" s="10">
        <v>83610</v>
      </c>
      <c r="TO21" s="10">
        <v>345</v>
      </c>
      <c r="TP21" s="10">
        <v>44302</v>
      </c>
      <c r="TQ21" s="10">
        <v>84152</v>
      </c>
      <c r="TR21" s="10">
        <v>264</v>
      </c>
      <c r="TS21" s="10">
        <v>44303</v>
      </c>
      <c r="TT21" s="10">
        <v>84325</v>
      </c>
      <c r="TU21" s="10">
        <v>169</v>
      </c>
      <c r="TV21" s="10">
        <v>44303</v>
      </c>
      <c r="TW21" s="10">
        <v>84331</v>
      </c>
      <c r="TX21" s="10">
        <v>169</v>
      </c>
      <c r="TY21" s="10">
        <v>44304</v>
      </c>
      <c r="TZ21" s="10">
        <v>84486</v>
      </c>
      <c r="UA21" s="10">
        <v>155</v>
      </c>
      <c r="UB21" s="10">
        <v>44306</v>
      </c>
      <c r="UC21" s="10">
        <v>85055</v>
      </c>
      <c r="UD21" s="10">
        <v>285</v>
      </c>
      <c r="UE21" s="10">
        <v>44306</v>
      </c>
      <c r="UF21" s="10">
        <v>85056</v>
      </c>
      <c r="UG21" s="10">
        <v>285</v>
      </c>
      <c r="UH21" s="10">
        <v>44307</v>
      </c>
      <c r="UI21" s="10">
        <v>85299</v>
      </c>
      <c r="UJ21" s="10">
        <v>240</v>
      </c>
      <c r="UK21" s="10">
        <v>44308</v>
      </c>
      <c r="UL21" s="10">
        <v>85561</v>
      </c>
      <c r="UM21" s="10">
        <v>261</v>
      </c>
      <c r="UN21" s="10">
        <v>44312</v>
      </c>
      <c r="UO21" s="10">
        <v>86361</v>
      </c>
      <c r="UP21" s="10">
        <v>241</v>
      </c>
      <c r="UQ21" s="10">
        <v>44313</v>
      </c>
      <c r="UR21" s="10">
        <v>86594</v>
      </c>
      <c r="US21" s="10">
        <v>228</v>
      </c>
      <c r="UT21" s="10">
        <v>44314</v>
      </c>
      <c r="UU21" s="10">
        <v>86863</v>
      </c>
      <c r="UV21" s="10">
        <v>273</v>
      </c>
      <c r="UW21" s="10">
        <v>44315</v>
      </c>
      <c r="UX21" s="10">
        <v>87063</v>
      </c>
      <c r="UY21" s="10">
        <v>201</v>
      </c>
      <c r="UZ21" s="10">
        <v>44317</v>
      </c>
      <c r="VA21" s="10">
        <v>87364</v>
      </c>
      <c r="VB21" s="10">
        <v>105</v>
      </c>
      <c r="VC21" s="10">
        <v>44317</v>
      </c>
      <c r="VD21" s="10">
        <v>87359</v>
      </c>
      <c r="VE21" s="10">
        <v>105</v>
      </c>
      <c r="VF21" s="10">
        <v>44318</v>
      </c>
      <c r="VG21" s="10">
        <v>87496</v>
      </c>
      <c r="VH21" s="10">
        <v>135</v>
      </c>
    </row>
    <row r="22" spans="2:580">
      <c r="B22" t="str">
        <f t="shared" ca="1" si="2"/>
        <v>Ma 3</v>
      </c>
      <c r="C22" s="4">
        <f t="shared" ca="1" si="0"/>
        <v>44319</v>
      </c>
      <c r="D22" s="11">
        <f t="shared" ca="1" si="1"/>
        <v>87814</v>
      </c>
      <c r="E22">
        <f t="shared" ca="1" si="3"/>
        <v>318</v>
      </c>
      <c r="F22" s="11">
        <f t="shared" ca="1" si="4"/>
        <v>-1</v>
      </c>
      <c r="G22" s="11">
        <f t="shared" ca="1" si="5"/>
        <v>319</v>
      </c>
      <c r="H22" s="10"/>
      <c r="L22" s="3"/>
      <c r="N22" s="16">
        <v>44319</v>
      </c>
      <c r="O22">
        <v>87815</v>
      </c>
      <c r="P22">
        <v>319</v>
      </c>
      <c r="Q22" s="16">
        <v>44319</v>
      </c>
      <c r="R22">
        <v>87815</v>
      </c>
      <c r="S22">
        <v>319</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c r="TJ22">
        <v>44300</v>
      </c>
      <c r="TK22">
        <v>83609</v>
      </c>
      <c r="TL22">
        <v>345</v>
      </c>
      <c r="TM22">
        <v>44301</v>
      </c>
      <c r="TN22">
        <v>83884</v>
      </c>
      <c r="TO22">
        <v>274</v>
      </c>
      <c r="TP22">
        <v>44303</v>
      </c>
      <c r="TQ22">
        <v>84321</v>
      </c>
      <c r="TR22">
        <v>169</v>
      </c>
      <c r="TS22">
        <v>44304</v>
      </c>
      <c r="TT22">
        <v>84480</v>
      </c>
      <c r="TU22">
        <v>155</v>
      </c>
      <c r="TV22">
        <v>44304</v>
      </c>
      <c r="TW22">
        <v>84486</v>
      </c>
      <c r="TX22">
        <v>155</v>
      </c>
      <c r="TY22">
        <v>44305</v>
      </c>
      <c r="TZ22">
        <v>84770</v>
      </c>
      <c r="UA22">
        <v>284</v>
      </c>
      <c r="UB22">
        <v>44307</v>
      </c>
      <c r="UC22">
        <v>85297</v>
      </c>
      <c r="UD22">
        <v>242</v>
      </c>
      <c r="UE22">
        <v>44307</v>
      </c>
      <c r="UF22">
        <v>85296</v>
      </c>
      <c r="UG22">
        <v>240</v>
      </c>
      <c r="UH22">
        <v>44308</v>
      </c>
      <c r="UI22">
        <v>85559</v>
      </c>
      <c r="UJ22">
        <v>260</v>
      </c>
      <c r="UK22">
        <v>44309</v>
      </c>
      <c r="UL22">
        <v>85818</v>
      </c>
      <c r="UM22">
        <v>257</v>
      </c>
      <c r="UN22">
        <v>44313</v>
      </c>
      <c r="UO22">
        <v>86589</v>
      </c>
      <c r="UP22">
        <v>228</v>
      </c>
      <c r="UQ22">
        <v>44314</v>
      </c>
      <c r="UR22">
        <v>86867</v>
      </c>
      <c r="US22">
        <v>273</v>
      </c>
      <c r="UT22">
        <v>44315</v>
      </c>
      <c r="UU22">
        <v>87064</v>
      </c>
      <c r="UV22">
        <v>201</v>
      </c>
      <c r="UW22">
        <v>44316</v>
      </c>
      <c r="UX22">
        <v>87258</v>
      </c>
      <c r="UY22">
        <v>195</v>
      </c>
      <c r="UZ22">
        <v>44318</v>
      </c>
      <c r="VA22">
        <v>87500</v>
      </c>
      <c r="VB22">
        <v>136</v>
      </c>
      <c r="VC22">
        <v>44318</v>
      </c>
      <c r="VD22">
        <v>87495</v>
      </c>
      <c r="VE22">
        <v>136</v>
      </c>
      <c r="VF22">
        <v>44319</v>
      </c>
      <c r="VG22">
        <v>87815</v>
      </c>
      <c r="VH22">
        <v>319</v>
      </c>
    </row>
    <row r="23" spans="2:580">
      <c r="B23" t="str">
        <f t="shared" ca="1" si="2"/>
        <v>4.5</v>
      </c>
      <c r="C23" s="4">
        <f t="shared" ca="1" si="0"/>
        <v>44320</v>
      </c>
      <c r="D23" s="11">
        <f t="shared" ca="1" si="1"/>
        <v>88020</v>
      </c>
      <c r="E23">
        <f t="shared" ca="1" si="3"/>
        <v>206</v>
      </c>
      <c r="F23" s="11">
        <f t="shared" ca="1" si="4"/>
        <v>0</v>
      </c>
      <c r="G23" s="11">
        <f t="shared" ca="1" si="5"/>
        <v>206</v>
      </c>
      <c r="K23" s="13"/>
      <c r="L23" s="3"/>
      <c r="N23" s="16">
        <v>44320</v>
      </c>
      <c r="O23">
        <v>88021</v>
      </c>
      <c r="P23">
        <v>206</v>
      </c>
      <c r="Q23" s="16">
        <v>44320</v>
      </c>
      <c r="R23">
        <v>88021</v>
      </c>
      <c r="S23">
        <v>206</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c r="TJ23">
        <v>44301</v>
      </c>
      <c r="TK23">
        <v>83883</v>
      </c>
      <c r="TL23">
        <v>274</v>
      </c>
      <c r="TM23">
        <v>44302</v>
      </c>
      <c r="TN23">
        <v>84148</v>
      </c>
      <c r="TO23">
        <v>264</v>
      </c>
      <c r="TP23">
        <v>44304</v>
      </c>
      <c r="TQ23">
        <v>84476</v>
      </c>
      <c r="TR23">
        <v>155</v>
      </c>
      <c r="TS23">
        <v>44305</v>
      </c>
      <c r="TT23">
        <v>84764</v>
      </c>
      <c r="TU23">
        <v>284</v>
      </c>
      <c r="TV23">
        <v>44305</v>
      </c>
      <c r="TW23">
        <v>84770</v>
      </c>
      <c r="TX23">
        <v>284</v>
      </c>
      <c r="TY23">
        <v>44306</v>
      </c>
      <c r="TZ23">
        <v>85055</v>
      </c>
      <c r="UA23">
        <v>285</v>
      </c>
      <c r="UB23">
        <v>44308</v>
      </c>
      <c r="UC23">
        <v>85557</v>
      </c>
      <c r="UD23">
        <v>260</v>
      </c>
      <c r="UE23">
        <v>44308</v>
      </c>
      <c r="UF23">
        <v>85556</v>
      </c>
      <c r="UG23">
        <v>260</v>
      </c>
      <c r="UH23">
        <v>44309</v>
      </c>
      <c r="UI23">
        <v>85816</v>
      </c>
      <c r="UJ23">
        <v>257</v>
      </c>
      <c r="UK23">
        <v>44310</v>
      </c>
      <c r="UL23">
        <v>85972</v>
      </c>
      <c r="UM23">
        <v>154</v>
      </c>
      <c r="UN23">
        <v>44314</v>
      </c>
      <c r="UO23">
        <v>86863</v>
      </c>
      <c r="UP23">
        <v>274</v>
      </c>
      <c r="UQ23">
        <v>44315</v>
      </c>
      <c r="UR23">
        <v>87068</v>
      </c>
      <c r="US23">
        <v>201</v>
      </c>
      <c r="UT23">
        <v>44316</v>
      </c>
      <c r="UU23">
        <v>87259</v>
      </c>
      <c r="UV23">
        <v>195</v>
      </c>
      <c r="UW23">
        <v>44317</v>
      </c>
      <c r="UX23">
        <v>87363</v>
      </c>
      <c r="UY23">
        <v>105</v>
      </c>
      <c r="UZ23">
        <v>44319</v>
      </c>
      <c r="VA23">
        <v>87819</v>
      </c>
      <c r="VB23">
        <v>319</v>
      </c>
      <c r="VC23">
        <v>44319</v>
      </c>
      <c r="VD23">
        <v>87814</v>
      </c>
      <c r="VE23">
        <v>319</v>
      </c>
      <c r="VF23">
        <v>44320</v>
      </c>
      <c r="VG23">
        <v>88021</v>
      </c>
      <c r="VH23">
        <v>206</v>
      </c>
    </row>
    <row r="24" spans="2:580">
      <c r="B24" t="str">
        <f t="shared" ca="1" si="2"/>
        <v>5.5</v>
      </c>
      <c r="C24" s="4">
        <f t="shared" ca="1" si="0"/>
        <v>44321</v>
      </c>
      <c r="D24" s="11">
        <f t="shared" ca="1" si="1"/>
        <v>88288</v>
      </c>
      <c r="E24">
        <f t="shared" ca="1" si="3"/>
        <v>268</v>
      </c>
      <c r="F24" s="11">
        <f t="shared" ca="1" si="4"/>
        <v>-2</v>
      </c>
      <c r="G24" s="11">
        <f t="shared" ca="1" si="5"/>
        <v>270</v>
      </c>
      <c r="N24" s="16">
        <v>44321</v>
      </c>
      <c r="O24">
        <v>88291</v>
      </c>
      <c r="P24">
        <v>270</v>
      </c>
      <c r="Q24" s="16">
        <v>44321</v>
      </c>
      <c r="R24">
        <v>88291</v>
      </c>
      <c r="S24">
        <v>270</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c r="TJ24">
        <v>44302</v>
      </c>
      <c r="TK24">
        <v>84147</v>
      </c>
      <c r="TL24">
        <v>264</v>
      </c>
      <c r="TM24">
        <v>44303</v>
      </c>
      <c r="TN24">
        <v>84317</v>
      </c>
      <c r="TO24">
        <v>169</v>
      </c>
      <c r="TP24">
        <v>44305</v>
      </c>
      <c r="TQ24">
        <v>84760</v>
      </c>
      <c r="TR24">
        <v>284</v>
      </c>
      <c r="TS24">
        <v>44306</v>
      </c>
      <c r="TT24">
        <v>85050</v>
      </c>
      <c r="TU24">
        <v>286</v>
      </c>
      <c r="TV24">
        <v>44306</v>
      </c>
      <c r="TW24">
        <v>85056</v>
      </c>
      <c r="TX24">
        <v>286</v>
      </c>
      <c r="TY24">
        <v>44307</v>
      </c>
      <c r="TZ24">
        <v>85298</v>
      </c>
      <c r="UA24">
        <v>243</v>
      </c>
      <c r="UB24">
        <v>44309</v>
      </c>
      <c r="UC24">
        <v>85814</v>
      </c>
      <c r="UD24">
        <v>257</v>
      </c>
      <c r="UE24">
        <v>44309</v>
      </c>
      <c r="UF24">
        <v>85813</v>
      </c>
      <c r="UG24">
        <v>257</v>
      </c>
      <c r="UH24">
        <v>44310</v>
      </c>
      <c r="UI24">
        <v>85969</v>
      </c>
      <c r="UJ24">
        <v>153</v>
      </c>
      <c r="UK24">
        <v>44311</v>
      </c>
      <c r="UL24">
        <v>86114</v>
      </c>
      <c r="UM24">
        <v>142</v>
      </c>
      <c r="UN24">
        <v>44315</v>
      </c>
      <c r="UO24">
        <v>87062</v>
      </c>
      <c r="UP24">
        <v>199</v>
      </c>
      <c r="UQ24">
        <v>44316</v>
      </c>
      <c r="UR24">
        <v>87263</v>
      </c>
      <c r="US24">
        <v>195</v>
      </c>
      <c r="UT24">
        <v>44317</v>
      </c>
      <c r="UU24">
        <v>87364</v>
      </c>
      <c r="UV24">
        <v>105</v>
      </c>
      <c r="UW24">
        <v>44318</v>
      </c>
      <c r="UX24">
        <v>87499</v>
      </c>
      <c r="UY24">
        <v>136</v>
      </c>
      <c r="UZ24">
        <v>44320</v>
      </c>
      <c r="VA24">
        <v>88023</v>
      </c>
      <c r="VB24">
        <v>204</v>
      </c>
      <c r="VC24">
        <v>44320</v>
      </c>
      <c r="VD24">
        <v>88018</v>
      </c>
      <c r="VE24">
        <v>204</v>
      </c>
      <c r="VF24">
        <v>44321</v>
      </c>
      <c r="VG24">
        <v>88291</v>
      </c>
      <c r="VH24">
        <v>270</v>
      </c>
    </row>
    <row r="25" spans="2:580">
      <c r="B25" t="str">
        <f t="shared" ca="1" si="2"/>
        <v>6.5</v>
      </c>
      <c r="C25" s="4">
        <f t="shared" ca="1" si="0"/>
        <v>44322</v>
      </c>
      <c r="D25" s="11">
        <f t="shared" ca="1" si="1"/>
        <v>88526</v>
      </c>
      <c r="E25">
        <f t="shared" ca="1" si="3"/>
        <v>238</v>
      </c>
      <c r="F25" s="11">
        <f t="shared" ca="1" si="4"/>
        <v>0</v>
      </c>
      <c r="G25" s="11">
        <f t="shared" ca="1" si="5"/>
        <v>238</v>
      </c>
      <c r="J25" s="10"/>
      <c r="K25" s="10">
        <f ca="1">SUM(E25:E31)</f>
        <v>1399</v>
      </c>
      <c r="L25" s="10" t="str">
        <f ca="1">TEXT(K25/K18-1,"0 %")</f>
        <v>-2 %</v>
      </c>
      <c r="N25" s="16">
        <v>44322</v>
      </c>
      <c r="O25">
        <v>88529</v>
      </c>
      <c r="P25">
        <v>238</v>
      </c>
      <c r="Q25" s="16">
        <v>44322</v>
      </c>
      <c r="R25">
        <v>88529</v>
      </c>
      <c r="S25">
        <v>238</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c r="TJ25">
        <v>44303</v>
      </c>
      <c r="TK25">
        <v>84316</v>
      </c>
      <c r="TL25">
        <v>169</v>
      </c>
      <c r="TM25">
        <v>44304</v>
      </c>
      <c r="TN25">
        <v>84473</v>
      </c>
      <c r="TO25">
        <v>156</v>
      </c>
      <c r="TP25">
        <v>44306</v>
      </c>
      <c r="TQ25">
        <v>85046</v>
      </c>
      <c r="TR25">
        <v>286</v>
      </c>
      <c r="TS25">
        <v>44307</v>
      </c>
      <c r="TT25">
        <v>85293</v>
      </c>
      <c r="TU25">
        <v>243</v>
      </c>
      <c r="TV25">
        <v>44307</v>
      </c>
      <c r="TW25">
        <v>85299</v>
      </c>
      <c r="TX25">
        <v>243</v>
      </c>
      <c r="TY25">
        <v>44308</v>
      </c>
      <c r="TZ25">
        <v>85558</v>
      </c>
      <c r="UA25">
        <v>260</v>
      </c>
      <c r="UB25">
        <v>44310</v>
      </c>
      <c r="UC25">
        <v>85966</v>
      </c>
      <c r="UD25">
        <v>152</v>
      </c>
      <c r="UE25">
        <v>44310</v>
      </c>
      <c r="UF25">
        <v>85965</v>
      </c>
      <c r="UG25">
        <v>152</v>
      </c>
      <c r="UH25">
        <v>44311</v>
      </c>
      <c r="UI25">
        <v>86111</v>
      </c>
      <c r="UJ25">
        <v>142</v>
      </c>
      <c r="UK25">
        <v>44312</v>
      </c>
      <c r="UL25">
        <v>86356</v>
      </c>
      <c r="UM25">
        <v>242</v>
      </c>
      <c r="UN25">
        <v>44316</v>
      </c>
      <c r="UO25">
        <v>87260</v>
      </c>
      <c r="UP25">
        <v>198</v>
      </c>
      <c r="UQ25">
        <v>44317</v>
      </c>
      <c r="UR25">
        <v>87368</v>
      </c>
      <c r="US25">
        <v>105</v>
      </c>
      <c r="UT25">
        <v>44318</v>
      </c>
      <c r="UU25">
        <v>87500</v>
      </c>
      <c r="UV25">
        <v>136</v>
      </c>
      <c r="UW25">
        <v>44319</v>
      </c>
      <c r="UX25">
        <v>87818</v>
      </c>
      <c r="UY25">
        <v>319</v>
      </c>
      <c r="UZ25">
        <v>44321</v>
      </c>
      <c r="VA25">
        <v>88293</v>
      </c>
      <c r="VB25">
        <v>270</v>
      </c>
      <c r="VC25">
        <v>44321</v>
      </c>
      <c r="VD25">
        <v>88288</v>
      </c>
      <c r="VE25">
        <v>270</v>
      </c>
      <c r="VF25">
        <v>44322</v>
      </c>
      <c r="VG25">
        <v>88529</v>
      </c>
      <c r="VH25">
        <v>238</v>
      </c>
    </row>
    <row r="26" spans="2:580">
      <c r="B26" t="str">
        <f t="shared" ca="1" si="2"/>
        <v>7.5</v>
      </c>
      <c r="C26" s="4">
        <f t="shared" ca="1" si="0"/>
        <v>44323</v>
      </c>
      <c r="D26" s="11">
        <f t="shared" ca="1" si="1"/>
        <v>88742</v>
      </c>
      <c r="E26">
        <f t="shared" ca="1" si="3"/>
        <v>216</v>
      </c>
      <c r="F26" s="11">
        <f t="shared" ca="1" si="4"/>
        <v>0</v>
      </c>
      <c r="G26" s="11">
        <f t="shared" ca="1" si="5"/>
        <v>216</v>
      </c>
      <c r="L26" s="3"/>
      <c r="N26" s="16">
        <v>44323</v>
      </c>
      <c r="O26">
        <v>88745</v>
      </c>
      <c r="P26">
        <v>216</v>
      </c>
      <c r="Q26" s="16">
        <v>44323</v>
      </c>
      <c r="R26">
        <v>88745</v>
      </c>
      <c r="S26">
        <v>216</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c r="TJ26">
        <v>44304</v>
      </c>
      <c r="TK26">
        <v>84472</v>
      </c>
      <c r="TL26">
        <v>156</v>
      </c>
      <c r="TM26">
        <v>44305</v>
      </c>
      <c r="TN26">
        <v>84756</v>
      </c>
      <c r="TO26">
        <v>283</v>
      </c>
      <c r="TP26">
        <v>44307</v>
      </c>
      <c r="TQ26">
        <v>85289</v>
      </c>
      <c r="TR26">
        <v>243</v>
      </c>
      <c r="TS26">
        <v>44308</v>
      </c>
      <c r="TT26">
        <v>85554</v>
      </c>
      <c r="TU26">
        <v>261</v>
      </c>
      <c r="TV26">
        <v>44308</v>
      </c>
      <c r="TW26">
        <v>85559</v>
      </c>
      <c r="TX26">
        <v>260</v>
      </c>
      <c r="TY26">
        <v>44309</v>
      </c>
      <c r="TZ26">
        <v>85815</v>
      </c>
      <c r="UA26">
        <v>257</v>
      </c>
      <c r="UB26">
        <v>44311</v>
      </c>
      <c r="UC26">
        <v>86106</v>
      </c>
      <c r="UD26">
        <v>140</v>
      </c>
      <c r="UE26">
        <v>44311</v>
      </c>
      <c r="UF26">
        <v>86106</v>
      </c>
      <c r="UG26">
        <v>141</v>
      </c>
      <c r="UH26">
        <v>44312</v>
      </c>
      <c r="UI26">
        <v>86352</v>
      </c>
      <c r="UJ26">
        <v>241</v>
      </c>
      <c r="UK26">
        <v>44313</v>
      </c>
      <c r="UL26">
        <v>86586</v>
      </c>
      <c r="UM26">
        <v>230</v>
      </c>
      <c r="UN26">
        <v>44317</v>
      </c>
      <c r="UO26">
        <v>87365</v>
      </c>
      <c r="UP26">
        <v>105</v>
      </c>
      <c r="UQ26">
        <v>44318</v>
      </c>
      <c r="UR26">
        <v>87506</v>
      </c>
      <c r="US26">
        <v>138</v>
      </c>
      <c r="UT26">
        <v>44319</v>
      </c>
      <c r="UU26">
        <v>87819</v>
      </c>
      <c r="UV26">
        <v>319</v>
      </c>
      <c r="UW26">
        <v>44320</v>
      </c>
      <c r="UX26">
        <v>88022</v>
      </c>
      <c r="UY26">
        <v>204</v>
      </c>
      <c r="UZ26">
        <v>44322</v>
      </c>
      <c r="VA26">
        <v>88531</v>
      </c>
      <c r="VB26">
        <v>238</v>
      </c>
      <c r="VC26">
        <v>44322</v>
      </c>
      <c r="VD26">
        <v>88526</v>
      </c>
      <c r="VE26">
        <v>238</v>
      </c>
      <c r="VF26">
        <v>44323</v>
      </c>
      <c r="VG26">
        <v>88745</v>
      </c>
      <c r="VH26">
        <v>216</v>
      </c>
    </row>
    <row r="27" spans="2:580">
      <c r="B27" t="str">
        <f t="shared" ca="1" si="2"/>
        <v>8.5</v>
      </c>
      <c r="C27" s="4">
        <f t="shared" ca="1" si="0"/>
        <v>44324</v>
      </c>
      <c r="D27" s="11">
        <f t="shared" ca="1" si="1"/>
        <v>88872</v>
      </c>
      <c r="E27">
        <f t="shared" ca="1" si="3"/>
        <v>130</v>
      </c>
      <c r="F27" s="11">
        <f t="shared" ca="1" si="4"/>
        <v>0</v>
      </c>
      <c r="G27" s="11">
        <f t="shared" ca="1" si="5"/>
        <v>130</v>
      </c>
      <c r="K27" s="13"/>
      <c r="L27" s="3"/>
      <c r="N27" s="16">
        <v>44324</v>
      </c>
      <c r="O27">
        <v>88875</v>
      </c>
      <c r="P27" s="10">
        <v>130</v>
      </c>
      <c r="Q27" s="16">
        <v>44324</v>
      </c>
      <c r="R27">
        <v>88875</v>
      </c>
      <c r="S27">
        <v>130</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c r="TJ27">
        <v>44305</v>
      </c>
      <c r="TK27">
        <v>84754</v>
      </c>
      <c r="TL27">
        <v>282</v>
      </c>
      <c r="TM27">
        <v>44306</v>
      </c>
      <c r="TN27">
        <v>85043</v>
      </c>
      <c r="TO27">
        <v>287</v>
      </c>
      <c r="TP27">
        <v>44308</v>
      </c>
      <c r="TQ27">
        <v>85550</v>
      </c>
      <c r="TR27">
        <v>261</v>
      </c>
      <c r="TS27">
        <v>44309</v>
      </c>
      <c r="TT27">
        <v>85812</v>
      </c>
      <c r="TU27">
        <v>258</v>
      </c>
      <c r="TV27">
        <v>44309</v>
      </c>
      <c r="TW27">
        <v>85817</v>
      </c>
      <c r="TX27">
        <v>258</v>
      </c>
      <c r="TY27">
        <v>44310</v>
      </c>
      <c r="TZ27">
        <v>85967</v>
      </c>
      <c r="UA27">
        <v>152</v>
      </c>
      <c r="UB27">
        <v>44312</v>
      </c>
      <c r="UC27">
        <v>86347</v>
      </c>
      <c r="UD27">
        <v>241</v>
      </c>
      <c r="UE27">
        <v>44312</v>
      </c>
      <c r="UF27">
        <v>86347</v>
      </c>
      <c r="UG27">
        <v>241</v>
      </c>
      <c r="UH27">
        <v>44313</v>
      </c>
      <c r="UI27">
        <v>86581</v>
      </c>
      <c r="UJ27">
        <v>229</v>
      </c>
      <c r="UK27">
        <v>44314</v>
      </c>
      <c r="UL27">
        <v>86861</v>
      </c>
      <c r="UM27">
        <v>275</v>
      </c>
      <c r="UN27">
        <v>44318</v>
      </c>
      <c r="UO27">
        <v>87502</v>
      </c>
      <c r="UP27">
        <v>137</v>
      </c>
      <c r="UQ27">
        <v>44319</v>
      </c>
      <c r="UR27">
        <v>87827</v>
      </c>
      <c r="US27">
        <v>321</v>
      </c>
      <c r="UT27">
        <v>44320</v>
      </c>
      <c r="UU27">
        <v>88023</v>
      </c>
      <c r="UV27">
        <v>204</v>
      </c>
      <c r="UW27">
        <v>44321</v>
      </c>
      <c r="UX27">
        <v>88292</v>
      </c>
      <c r="UY27">
        <v>270</v>
      </c>
      <c r="UZ27">
        <v>44323</v>
      </c>
      <c r="VA27">
        <v>88746</v>
      </c>
      <c r="VB27">
        <v>215</v>
      </c>
      <c r="VC27">
        <v>44323</v>
      </c>
      <c r="VD27">
        <v>88741</v>
      </c>
      <c r="VE27">
        <v>215</v>
      </c>
      <c r="VF27">
        <v>44324</v>
      </c>
      <c r="VG27">
        <v>88875</v>
      </c>
      <c r="VH27">
        <v>130</v>
      </c>
    </row>
    <row r="28" spans="2:580" s="10" customFormat="1">
      <c r="B28" t="str">
        <f t="shared" ca="1" si="2"/>
        <v>9.5</v>
      </c>
      <c r="C28" s="9">
        <f t="shared" ca="1" si="0"/>
        <v>44325</v>
      </c>
      <c r="D28" s="10">
        <f t="shared" ca="1" si="1"/>
        <v>89002</v>
      </c>
      <c r="E28" s="10">
        <f t="shared" ca="1" si="3"/>
        <v>130</v>
      </c>
      <c r="F28" s="10">
        <f t="shared" ca="1" si="4"/>
        <v>0</v>
      </c>
      <c r="G28" s="10">
        <f t="shared" ca="1" si="5"/>
        <v>130</v>
      </c>
      <c r="H28" s="10">
        <f ca="1">SUM(E28:E34)</f>
        <v>1233</v>
      </c>
      <c r="I28" s="10" t="str">
        <f ca="1">TEXT(H28/H21-1,"0 %")</f>
        <v>-18 %</v>
      </c>
      <c r="L28" s="14"/>
      <c r="M28"/>
      <c r="N28" s="17">
        <v>44325</v>
      </c>
      <c r="O28" s="10">
        <v>89005</v>
      </c>
      <c r="P28">
        <v>130</v>
      </c>
      <c r="Q28" s="17">
        <v>44325</v>
      </c>
      <c r="R28" s="10">
        <v>89005</v>
      </c>
      <c r="S28" s="10">
        <v>130</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c r="TJ28" s="10">
        <v>44306</v>
      </c>
      <c r="TK28" s="10">
        <v>85044</v>
      </c>
      <c r="TL28" s="10">
        <v>290</v>
      </c>
      <c r="TM28" s="10">
        <v>44307</v>
      </c>
      <c r="TN28" s="10">
        <v>85288</v>
      </c>
      <c r="TO28" s="10">
        <v>245</v>
      </c>
      <c r="TP28" s="10">
        <v>44309</v>
      </c>
      <c r="TQ28" s="10">
        <v>85807</v>
      </c>
      <c r="TR28" s="10">
        <v>257</v>
      </c>
      <c r="TS28" s="10">
        <v>44310</v>
      </c>
      <c r="TT28" s="10">
        <v>85965</v>
      </c>
      <c r="TU28" s="10">
        <v>153</v>
      </c>
      <c r="TV28" s="10">
        <v>44310</v>
      </c>
      <c r="TW28" s="10">
        <v>85969</v>
      </c>
      <c r="TX28" s="10">
        <v>152</v>
      </c>
      <c r="TY28" s="10">
        <v>44311</v>
      </c>
      <c r="TZ28" s="10">
        <v>86106</v>
      </c>
      <c r="UA28" s="10">
        <v>139</v>
      </c>
      <c r="UB28" s="10">
        <v>44313</v>
      </c>
      <c r="UC28" s="10">
        <v>86577</v>
      </c>
      <c r="UD28" s="10">
        <v>230</v>
      </c>
      <c r="UE28" s="10">
        <v>44313</v>
      </c>
      <c r="UF28" s="10">
        <v>86578</v>
      </c>
      <c r="UG28" s="10">
        <v>231</v>
      </c>
      <c r="UH28" s="10">
        <v>44314</v>
      </c>
      <c r="UI28" s="10">
        <v>86856</v>
      </c>
      <c r="UJ28" s="10">
        <v>275</v>
      </c>
      <c r="UK28" s="10">
        <v>44315</v>
      </c>
      <c r="UL28" s="10">
        <v>87059</v>
      </c>
      <c r="UM28" s="10">
        <v>198</v>
      </c>
      <c r="UN28" s="10">
        <v>44319</v>
      </c>
      <c r="UO28" s="10">
        <v>87803</v>
      </c>
      <c r="UP28" s="10">
        <v>301</v>
      </c>
      <c r="UQ28" s="10">
        <v>44320</v>
      </c>
      <c r="UR28" s="10">
        <v>88033</v>
      </c>
      <c r="US28" s="10">
        <v>206</v>
      </c>
      <c r="UT28" s="10">
        <v>44321</v>
      </c>
      <c r="UU28" s="10">
        <v>88294</v>
      </c>
      <c r="UV28" s="10">
        <v>271</v>
      </c>
      <c r="UW28" s="10">
        <v>44322</v>
      </c>
      <c r="UX28" s="10">
        <v>88528</v>
      </c>
      <c r="UY28" s="10">
        <v>236</v>
      </c>
      <c r="UZ28" s="10">
        <v>44324</v>
      </c>
      <c r="VA28" s="10">
        <v>88875</v>
      </c>
      <c r="VB28" s="10">
        <v>129</v>
      </c>
      <c r="VC28" s="10">
        <v>44324</v>
      </c>
      <c r="VD28" s="10">
        <v>88871</v>
      </c>
      <c r="VE28" s="10">
        <v>130</v>
      </c>
      <c r="VF28" s="10">
        <v>44325</v>
      </c>
      <c r="VG28" s="10">
        <v>89005</v>
      </c>
      <c r="VH28" s="10">
        <v>130</v>
      </c>
    </row>
    <row r="29" spans="2:580">
      <c r="B29" t="str">
        <f t="shared" ca="1" si="2"/>
        <v>Ma 10</v>
      </c>
      <c r="C29" s="4">
        <f t="shared" ca="1" si="0"/>
        <v>44326</v>
      </c>
      <c r="D29" s="11">
        <f t="shared" ca="1" si="1"/>
        <v>89257</v>
      </c>
      <c r="E29">
        <f t="shared" ca="1" si="3"/>
        <v>255</v>
      </c>
      <c r="F29" s="11">
        <f t="shared" ca="1" si="4"/>
        <v>0</v>
      </c>
      <c r="G29" s="11">
        <f t="shared" ca="1" si="5"/>
        <v>255</v>
      </c>
      <c r="I29" s="10"/>
      <c r="K29" s="13"/>
      <c r="L29" s="3"/>
      <c r="N29" s="16">
        <v>44326</v>
      </c>
      <c r="O29">
        <v>89260</v>
      </c>
      <c r="P29">
        <v>255</v>
      </c>
      <c r="Q29" s="16">
        <v>44326</v>
      </c>
      <c r="R29">
        <v>89260</v>
      </c>
      <c r="S29">
        <v>255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c r="TJ29">
        <v>44307</v>
      </c>
      <c r="TK29">
        <v>85259</v>
      </c>
      <c r="TL29">
        <v>215</v>
      </c>
      <c r="TM29">
        <v>44308</v>
      </c>
      <c r="TN29">
        <v>85538</v>
      </c>
      <c r="TO29">
        <v>250</v>
      </c>
      <c r="TP29">
        <v>44310</v>
      </c>
      <c r="TQ29">
        <v>85960</v>
      </c>
      <c r="TR29">
        <v>153</v>
      </c>
      <c r="TS29">
        <v>44311</v>
      </c>
      <c r="TT29">
        <v>86103</v>
      </c>
      <c r="TU29">
        <v>138</v>
      </c>
      <c r="TV29">
        <v>44311</v>
      </c>
      <c r="TW29">
        <v>86108</v>
      </c>
      <c r="TX29">
        <v>139</v>
      </c>
      <c r="TY29">
        <v>44312</v>
      </c>
      <c r="TZ29">
        <v>86347</v>
      </c>
      <c r="UA29">
        <v>241</v>
      </c>
      <c r="UB29">
        <v>44314</v>
      </c>
      <c r="UC29">
        <v>86825</v>
      </c>
      <c r="UD29">
        <v>248</v>
      </c>
      <c r="UE29">
        <v>44314</v>
      </c>
      <c r="UF29">
        <v>86827</v>
      </c>
      <c r="UG29">
        <v>249</v>
      </c>
      <c r="UH29">
        <v>44315</v>
      </c>
      <c r="UI29">
        <v>87040</v>
      </c>
      <c r="UJ29">
        <v>184</v>
      </c>
      <c r="UK29">
        <v>44316</v>
      </c>
      <c r="UL29">
        <v>87258</v>
      </c>
      <c r="UM29">
        <v>199</v>
      </c>
      <c r="UN29">
        <v>44320</v>
      </c>
      <c r="UO29">
        <v>87972</v>
      </c>
      <c r="UP29">
        <v>169</v>
      </c>
      <c r="UQ29">
        <v>44321</v>
      </c>
      <c r="UR29">
        <v>88270</v>
      </c>
      <c r="US29">
        <v>237</v>
      </c>
      <c r="UT29">
        <v>44322</v>
      </c>
      <c r="UU29">
        <v>88514</v>
      </c>
      <c r="UV29">
        <v>220</v>
      </c>
      <c r="UW29">
        <v>44323</v>
      </c>
      <c r="UX29">
        <v>88743</v>
      </c>
      <c r="UY29">
        <v>215</v>
      </c>
      <c r="UZ29">
        <v>44325</v>
      </c>
      <c r="VA29">
        <v>89004</v>
      </c>
      <c r="VB29">
        <v>129</v>
      </c>
      <c r="VC29">
        <v>44325</v>
      </c>
      <c r="VD29">
        <v>89000</v>
      </c>
      <c r="VE29">
        <v>129</v>
      </c>
      <c r="VF29">
        <v>44326</v>
      </c>
      <c r="VG29">
        <v>89260</v>
      </c>
      <c r="VH29">
        <v>255</v>
      </c>
    </row>
    <row r="30" spans="2:580">
      <c r="B30" t="str">
        <f t="shared" ca="1" si="2"/>
        <v>11.5</v>
      </c>
      <c r="C30" s="4">
        <f t="shared" ca="1" si="0"/>
        <v>44327</v>
      </c>
      <c r="D30" s="11">
        <f t="shared" ca="1" si="1"/>
        <v>89467</v>
      </c>
      <c r="E30">
        <f t="shared" ca="1" si="3"/>
        <v>210</v>
      </c>
      <c r="F30" s="11">
        <f t="shared" ca="1" si="4"/>
        <v>0</v>
      </c>
      <c r="G30" s="11">
        <f t="shared" ca="1" si="5"/>
        <v>210</v>
      </c>
      <c r="K30" s="4"/>
      <c r="L30" s="3"/>
      <c r="N30" s="16">
        <v>44327</v>
      </c>
      <c r="O30">
        <v>89470</v>
      </c>
      <c r="P30">
        <v>210</v>
      </c>
      <c r="Q30" s="16">
        <v>44327</v>
      </c>
      <c r="R30">
        <v>89470</v>
      </c>
      <c r="S30">
        <v>210</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c r="TJ30">
        <v>44308</v>
      </c>
      <c r="TK30">
        <v>85501</v>
      </c>
      <c r="TL30">
        <v>242</v>
      </c>
      <c r="TM30">
        <v>44309</v>
      </c>
      <c r="TN30">
        <v>85769</v>
      </c>
      <c r="TO30">
        <v>231</v>
      </c>
      <c r="TP30">
        <v>44311</v>
      </c>
      <c r="TQ30">
        <v>86091</v>
      </c>
      <c r="TR30">
        <v>131</v>
      </c>
      <c r="TS30">
        <v>44312</v>
      </c>
      <c r="TT30">
        <v>86311</v>
      </c>
      <c r="TU30">
        <v>208</v>
      </c>
      <c r="TV30">
        <v>44312</v>
      </c>
      <c r="TW30">
        <v>86331</v>
      </c>
      <c r="TX30">
        <v>223</v>
      </c>
      <c r="TY30">
        <v>44313</v>
      </c>
      <c r="TZ30">
        <v>86577</v>
      </c>
      <c r="UA30">
        <v>230</v>
      </c>
      <c r="UB30">
        <v>44315</v>
      </c>
      <c r="UC30">
        <v>87011</v>
      </c>
      <c r="UD30">
        <v>186</v>
      </c>
      <c r="UE30">
        <v>44315</v>
      </c>
      <c r="UF30">
        <v>87013</v>
      </c>
      <c r="UG30">
        <v>186</v>
      </c>
      <c r="UH30">
        <v>44316</v>
      </c>
      <c r="UI30">
        <v>87223</v>
      </c>
      <c r="UJ30">
        <v>183</v>
      </c>
      <c r="UK30">
        <v>44317</v>
      </c>
      <c r="UL30">
        <v>87362</v>
      </c>
      <c r="UM30">
        <v>104</v>
      </c>
      <c r="UN30">
        <v>44321</v>
      </c>
      <c r="UO30">
        <v>88078</v>
      </c>
      <c r="UP30">
        <v>106</v>
      </c>
      <c r="UQ30">
        <v>44322</v>
      </c>
      <c r="UR30">
        <v>88494</v>
      </c>
      <c r="US30">
        <v>224</v>
      </c>
      <c r="UT30">
        <v>44323</v>
      </c>
      <c r="UU30">
        <v>88706</v>
      </c>
      <c r="UV30">
        <v>192</v>
      </c>
      <c r="UW30">
        <v>44324</v>
      </c>
      <c r="UX30">
        <v>88869</v>
      </c>
      <c r="UY30">
        <v>126</v>
      </c>
      <c r="UZ30">
        <v>44326</v>
      </c>
      <c r="VA30">
        <v>89248</v>
      </c>
      <c r="VB30">
        <v>244</v>
      </c>
      <c r="VC30">
        <v>44326</v>
      </c>
      <c r="VD30">
        <v>89256</v>
      </c>
      <c r="VE30">
        <v>256</v>
      </c>
      <c r="VF30">
        <v>44327</v>
      </c>
      <c r="VG30">
        <v>89470</v>
      </c>
      <c r="VH30">
        <v>210</v>
      </c>
    </row>
    <row r="31" spans="2:580">
      <c r="B31" t="str">
        <f t="shared" ca="1" si="2"/>
        <v>12.5</v>
      </c>
      <c r="C31" s="4">
        <f t="shared" ca="1" si="0"/>
        <v>44328</v>
      </c>
      <c r="D31" s="11">
        <f t="shared" ca="1" si="1"/>
        <v>89687</v>
      </c>
      <c r="E31">
        <f t="shared" ca="1" si="3"/>
        <v>220</v>
      </c>
      <c r="F31" s="11">
        <f t="shared" ca="1" si="4"/>
        <v>1</v>
      </c>
      <c r="G31" s="11">
        <f t="shared" ca="1" si="5"/>
        <v>219</v>
      </c>
      <c r="K31" s="4"/>
      <c r="L31" s="3"/>
      <c r="N31" s="16">
        <v>44328</v>
      </c>
      <c r="O31">
        <v>89689</v>
      </c>
      <c r="P31">
        <v>219</v>
      </c>
      <c r="Q31" s="16">
        <v>44328</v>
      </c>
      <c r="R31">
        <v>89689</v>
      </c>
      <c r="S31">
        <v>219</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c r="TJ31">
        <v>44309</v>
      </c>
      <c r="TK31">
        <v>85730</v>
      </c>
      <c r="TL31">
        <v>229</v>
      </c>
      <c r="TM31">
        <v>44310</v>
      </c>
      <c r="TN31">
        <v>85917</v>
      </c>
      <c r="TO31">
        <v>148</v>
      </c>
      <c r="TP31">
        <v>44312</v>
      </c>
      <c r="TQ31">
        <v>86298</v>
      </c>
      <c r="TR31">
        <v>207</v>
      </c>
      <c r="TS31">
        <v>44313</v>
      </c>
      <c r="TT31">
        <v>86504</v>
      </c>
      <c r="TU31">
        <v>193</v>
      </c>
      <c r="TV31">
        <v>44313</v>
      </c>
      <c r="TW31">
        <v>86535</v>
      </c>
      <c r="TX31">
        <v>204</v>
      </c>
      <c r="TY31">
        <v>44314</v>
      </c>
      <c r="TZ31">
        <v>86824</v>
      </c>
      <c r="UA31">
        <v>247</v>
      </c>
      <c r="UB31">
        <v>44316</v>
      </c>
      <c r="UC31">
        <v>87179</v>
      </c>
      <c r="UD31">
        <v>168</v>
      </c>
      <c r="UE31">
        <v>44316</v>
      </c>
      <c r="UF31">
        <v>87195</v>
      </c>
      <c r="UG31">
        <v>182</v>
      </c>
      <c r="UH31">
        <v>44317</v>
      </c>
      <c r="UI31">
        <v>87319</v>
      </c>
      <c r="UJ31">
        <v>96</v>
      </c>
      <c r="UK31">
        <v>44318</v>
      </c>
      <c r="UL31">
        <v>87471</v>
      </c>
      <c r="UM31">
        <v>109</v>
      </c>
      <c r="UN31">
        <v>44322</v>
      </c>
      <c r="UO31">
        <v>88078</v>
      </c>
      <c r="UP31">
        <v>0</v>
      </c>
      <c r="UQ31">
        <v>44323</v>
      </c>
      <c r="UR31">
        <v>88681</v>
      </c>
      <c r="US31">
        <v>187</v>
      </c>
      <c r="UT31">
        <v>44324</v>
      </c>
      <c r="UU31">
        <v>88826</v>
      </c>
      <c r="UV31">
        <v>120</v>
      </c>
      <c r="UW31">
        <v>44325</v>
      </c>
      <c r="UX31">
        <v>88994</v>
      </c>
      <c r="UY31">
        <v>125</v>
      </c>
      <c r="UZ31">
        <v>44327</v>
      </c>
      <c r="VA31">
        <v>89423</v>
      </c>
      <c r="VB31">
        <v>175</v>
      </c>
      <c r="VC31">
        <v>44327</v>
      </c>
      <c r="VD31">
        <v>89438</v>
      </c>
      <c r="VE31">
        <v>182</v>
      </c>
      <c r="VF31">
        <v>44328</v>
      </c>
      <c r="VG31">
        <v>89689</v>
      </c>
      <c r="VH31">
        <v>219</v>
      </c>
    </row>
    <row r="32" spans="2:580">
      <c r="B32" t="str">
        <f t="shared" ca="1" si="2"/>
        <v>13.5</v>
      </c>
      <c r="C32" s="4">
        <f t="shared" ca="1" si="0"/>
        <v>44329</v>
      </c>
      <c r="D32" s="11">
        <f t="shared" ca="1" si="1"/>
        <v>89830</v>
      </c>
      <c r="E32">
        <f t="shared" ca="1" si="3"/>
        <v>143</v>
      </c>
      <c r="F32" s="11">
        <f t="shared" ca="1" si="4"/>
        <v>19</v>
      </c>
      <c r="G32" s="11">
        <f t="shared" ca="1" si="5"/>
        <v>124</v>
      </c>
      <c r="K32" s="4"/>
      <c r="L32" s="3"/>
      <c r="N32" s="16">
        <v>44329</v>
      </c>
      <c r="O32">
        <v>89813</v>
      </c>
      <c r="P32">
        <v>124</v>
      </c>
      <c r="Q32" s="16">
        <v>44329</v>
      </c>
      <c r="R32">
        <v>89813</v>
      </c>
      <c r="S32">
        <v>124</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c r="TJ32">
        <v>44310</v>
      </c>
      <c r="TK32">
        <v>85860</v>
      </c>
      <c r="TL32">
        <v>130</v>
      </c>
      <c r="TM32">
        <v>44311</v>
      </c>
      <c r="TN32">
        <v>86038</v>
      </c>
      <c r="TO32">
        <v>121</v>
      </c>
      <c r="TP32">
        <v>44313</v>
      </c>
      <c r="TQ32">
        <v>86405</v>
      </c>
      <c r="TR32">
        <v>107</v>
      </c>
      <c r="TS32">
        <v>44314</v>
      </c>
      <c r="TT32">
        <v>86613</v>
      </c>
      <c r="TU32">
        <v>109</v>
      </c>
      <c r="TV32">
        <v>44314</v>
      </c>
      <c r="TW32">
        <v>86741</v>
      </c>
      <c r="TX32">
        <v>206</v>
      </c>
      <c r="TY32">
        <v>44315</v>
      </c>
      <c r="TZ32">
        <v>87001</v>
      </c>
      <c r="UA32">
        <v>177</v>
      </c>
      <c r="UB32">
        <v>44317</v>
      </c>
      <c r="UC32">
        <v>87228</v>
      </c>
      <c r="UD32">
        <v>49</v>
      </c>
      <c r="UE32">
        <v>44317</v>
      </c>
      <c r="UF32">
        <v>87289</v>
      </c>
      <c r="UG32">
        <v>94</v>
      </c>
      <c r="UH32">
        <v>44318</v>
      </c>
      <c r="UI32">
        <v>87421</v>
      </c>
      <c r="UJ32">
        <v>102</v>
      </c>
      <c r="UK32">
        <v>44319</v>
      </c>
      <c r="UL32">
        <v>87703</v>
      </c>
      <c r="UM32">
        <v>232</v>
      </c>
      <c r="UN32">
        <v>44323</v>
      </c>
      <c r="UO32">
        <v>88078</v>
      </c>
      <c r="UP32">
        <v>0</v>
      </c>
      <c r="UQ32">
        <v>44324</v>
      </c>
      <c r="UR32">
        <v>88796</v>
      </c>
      <c r="US32">
        <v>115</v>
      </c>
      <c r="UT32">
        <v>44325</v>
      </c>
      <c r="UU32">
        <v>88927</v>
      </c>
      <c r="UV32">
        <v>101</v>
      </c>
      <c r="UW32">
        <v>44326</v>
      </c>
      <c r="UX32">
        <v>89195</v>
      </c>
      <c r="UY32">
        <v>201</v>
      </c>
      <c r="UZ32">
        <v>44328</v>
      </c>
      <c r="VA32">
        <v>89532</v>
      </c>
      <c r="VB32">
        <v>109</v>
      </c>
      <c r="VC32">
        <v>44328</v>
      </c>
      <c r="VD32">
        <v>89618</v>
      </c>
      <c r="VE32">
        <v>180</v>
      </c>
      <c r="VF32">
        <v>44329</v>
      </c>
      <c r="VG32">
        <v>89813</v>
      </c>
      <c r="VH32">
        <v>124</v>
      </c>
    </row>
    <row r="33" spans="2:580">
      <c r="B33" t="str">
        <f t="shared" ca="1" si="2"/>
        <v>14.5</v>
      </c>
      <c r="C33" s="4">
        <f t="shared" ca="1" si="0"/>
        <v>44330</v>
      </c>
      <c r="D33" s="11">
        <f t="shared" ca="1" si="1"/>
        <v>90015</v>
      </c>
      <c r="E33">
        <f t="shared" ca="1" si="3"/>
        <v>185</v>
      </c>
      <c r="F33" s="11">
        <f t="shared" ca="1" si="4"/>
        <v>120</v>
      </c>
      <c r="G33" s="11">
        <f t="shared" ca="1" si="5"/>
        <v>65</v>
      </c>
      <c r="K33" s="4"/>
      <c r="L33" s="3"/>
      <c r="N33" s="16">
        <v>44330</v>
      </c>
      <c r="O33">
        <v>89878</v>
      </c>
      <c r="P33">
        <v>65</v>
      </c>
      <c r="Q33" s="16">
        <v>44330</v>
      </c>
      <c r="R33">
        <v>89878</v>
      </c>
      <c r="S33">
        <v>65</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c r="TJ33">
        <v>44311</v>
      </c>
      <c r="TK33">
        <v>85937</v>
      </c>
      <c r="TL33">
        <v>77</v>
      </c>
      <c r="TM33">
        <v>44312</v>
      </c>
      <c r="TN33">
        <v>86161</v>
      </c>
      <c r="TO33">
        <v>123</v>
      </c>
      <c r="TP33">
        <v>44314</v>
      </c>
      <c r="TQ33">
        <v>86405</v>
      </c>
      <c r="TR33">
        <v>0</v>
      </c>
      <c r="TS33">
        <v>44315</v>
      </c>
      <c r="TT33">
        <v>86613</v>
      </c>
      <c r="TU33">
        <v>0</v>
      </c>
      <c r="TV33">
        <v>44315</v>
      </c>
      <c r="TW33">
        <v>86808</v>
      </c>
      <c r="TX33">
        <v>67</v>
      </c>
      <c r="TY33">
        <v>44316</v>
      </c>
      <c r="TZ33">
        <v>87096</v>
      </c>
      <c r="UA33">
        <v>95</v>
      </c>
      <c r="UB33">
        <v>44318</v>
      </c>
      <c r="UC33">
        <v>87228</v>
      </c>
      <c r="UD33">
        <v>0</v>
      </c>
      <c r="UE33">
        <v>44318</v>
      </c>
      <c r="UF33">
        <v>87345</v>
      </c>
      <c r="UG33">
        <v>56</v>
      </c>
      <c r="UH33">
        <v>44319</v>
      </c>
      <c r="UI33">
        <v>87529</v>
      </c>
      <c r="UJ33">
        <v>108</v>
      </c>
      <c r="UK33">
        <v>44320</v>
      </c>
      <c r="UL33">
        <v>87798</v>
      </c>
      <c r="UM33">
        <v>95</v>
      </c>
      <c r="UN33">
        <v>44324</v>
      </c>
      <c r="UO33">
        <v>88078</v>
      </c>
      <c r="UP33">
        <v>0</v>
      </c>
      <c r="UQ33">
        <v>44325</v>
      </c>
      <c r="UR33">
        <v>88866</v>
      </c>
      <c r="US33">
        <v>70</v>
      </c>
      <c r="UT33">
        <v>44326</v>
      </c>
      <c r="UU33">
        <v>88990</v>
      </c>
      <c r="UV33">
        <v>63</v>
      </c>
      <c r="UW33">
        <v>44327</v>
      </c>
      <c r="UX33">
        <v>89270</v>
      </c>
      <c r="UY33">
        <v>75</v>
      </c>
      <c r="UZ33">
        <v>44329</v>
      </c>
      <c r="VA33">
        <v>89532</v>
      </c>
      <c r="VB33">
        <v>0</v>
      </c>
      <c r="VC33">
        <v>44329</v>
      </c>
      <c r="VD33">
        <v>89686</v>
      </c>
      <c r="VE33">
        <v>68</v>
      </c>
      <c r="VF33">
        <v>44330</v>
      </c>
      <c r="VG33">
        <v>89878</v>
      </c>
      <c r="VH33">
        <v>65</v>
      </c>
    </row>
    <row r="34" spans="2:580" s="10" customFormat="1">
      <c r="B34" t="str">
        <f t="shared" ca="1" si="2"/>
        <v>15.5</v>
      </c>
      <c r="C34" s="9">
        <f t="shared" ca="1" si="0"/>
        <v>44331</v>
      </c>
      <c r="D34" s="10">
        <f t="shared" ca="1" si="1"/>
        <v>90105</v>
      </c>
      <c r="E34" s="10">
        <f t="shared" ca="1" si="3"/>
        <v>90</v>
      </c>
      <c r="F34" s="10">
        <f t="shared" ca="1" si="4"/>
        <v>90</v>
      </c>
      <c r="G34" s="10">
        <f t="shared" ca="1" si="5"/>
        <v>0</v>
      </c>
      <c r="K34" s="9"/>
      <c r="L34" s="14"/>
      <c r="N34" s="17">
        <v>44331</v>
      </c>
      <c r="O34" s="10">
        <v>89878</v>
      </c>
      <c r="P34" s="10">
        <v>0</v>
      </c>
      <c r="Q34" s="17">
        <v>44331</v>
      </c>
      <c r="R34" s="10">
        <v>89878</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c r="TJ34" s="10">
        <v>44312</v>
      </c>
      <c r="TK34" s="10">
        <v>85937</v>
      </c>
      <c r="TL34" s="10">
        <v>0</v>
      </c>
      <c r="TM34" s="10">
        <v>44313</v>
      </c>
      <c r="TN34" s="10">
        <v>86161</v>
      </c>
      <c r="TO34" s="10">
        <v>0</v>
      </c>
      <c r="TP34" s="10">
        <v>44315</v>
      </c>
      <c r="TQ34" s="10">
        <v>86405</v>
      </c>
      <c r="TR34" s="10">
        <v>0</v>
      </c>
      <c r="TS34" s="10">
        <v>44316</v>
      </c>
      <c r="TT34" s="10">
        <v>86613</v>
      </c>
      <c r="TU34" s="10">
        <v>0</v>
      </c>
      <c r="TV34" s="10">
        <v>44316</v>
      </c>
      <c r="TW34" s="10">
        <v>86808</v>
      </c>
      <c r="TX34" s="10">
        <v>0</v>
      </c>
      <c r="TY34" s="10">
        <v>44317</v>
      </c>
      <c r="TZ34" s="10">
        <v>87096</v>
      </c>
      <c r="UA34" s="10">
        <v>0</v>
      </c>
      <c r="UB34" s="10">
        <v>44319</v>
      </c>
      <c r="UC34" s="10">
        <v>87228</v>
      </c>
      <c r="UD34" s="10">
        <v>0</v>
      </c>
      <c r="UE34" s="10">
        <v>44319</v>
      </c>
      <c r="UF34" s="10">
        <v>87345</v>
      </c>
      <c r="UG34" s="10">
        <v>0</v>
      </c>
      <c r="UH34" s="10">
        <v>44320</v>
      </c>
      <c r="UI34" s="10">
        <v>87529</v>
      </c>
      <c r="UJ34" s="10">
        <v>0</v>
      </c>
      <c r="UK34" s="10">
        <v>44321</v>
      </c>
      <c r="UL34" s="10">
        <v>87798</v>
      </c>
      <c r="UM34" s="10">
        <v>0</v>
      </c>
      <c r="UN34" s="10">
        <v>44325</v>
      </c>
      <c r="UO34" s="10">
        <v>88078</v>
      </c>
      <c r="UP34" s="10">
        <v>0</v>
      </c>
      <c r="UQ34" s="10">
        <v>44326</v>
      </c>
      <c r="UR34" s="10">
        <v>88866</v>
      </c>
      <c r="US34" s="10">
        <v>0</v>
      </c>
      <c r="UT34" s="10">
        <v>44327</v>
      </c>
      <c r="UU34" s="10">
        <v>88990</v>
      </c>
      <c r="UV34" s="10">
        <v>0</v>
      </c>
      <c r="UW34" s="10">
        <v>44328</v>
      </c>
      <c r="UX34" s="10">
        <v>89270</v>
      </c>
      <c r="UY34" s="10">
        <v>0</v>
      </c>
      <c r="UZ34" s="10">
        <v>44330</v>
      </c>
      <c r="VA34" s="10">
        <v>89532</v>
      </c>
      <c r="VB34" s="10">
        <v>0</v>
      </c>
      <c r="VC34" s="10">
        <v>44330</v>
      </c>
      <c r="VD34" s="10">
        <v>89686</v>
      </c>
      <c r="VE34" s="10">
        <v>0</v>
      </c>
      <c r="VF34" s="10">
        <v>44331</v>
      </c>
      <c r="VG34" s="10">
        <v>89878</v>
      </c>
      <c r="VH34" s="10">
        <v>0</v>
      </c>
    </row>
    <row r="35" spans="2:580">
      <c r="B35" t="str">
        <f t="shared" ca="1" si="2"/>
        <v>16.5</v>
      </c>
      <c r="C35" s="12">
        <f ca="1">FLOOR(NOW(),1)</f>
        <v>44332</v>
      </c>
      <c r="D35" s="11">
        <f t="shared" ca="1" si="1"/>
        <v>90105</v>
      </c>
      <c r="E35" s="11">
        <f t="shared" ca="1" si="3"/>
        <v>0</v>
      </c>
      <c r="F35" s="11">
        <f t="shared" ca="1" si="4"/>
        <v>0</v>
      </c>
      <c r="G35" s="11">
        <f t="shared" ca="1" si="5"/>
        <v>0</v>
      </c>
      <c r="N35" s="16">
        <v>44332</v>
      </c>
      <c r="O35">
        <v>89878</v>
      </c>
      <c r="P35" s="11">
        <v>0</v>
      </c>
      <c r="Q35" s="16">
        <v>44332</v>
      </c>
      <c r="R35">
        <v>89878</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c r="TJ35">
        <v>44313</v>
      </c>
      <c r="TK35">
        <v>85937</v>
      </c>
      <c r="TL35">
        <v>0</v>
      </c>
      <c r="TM35">
        <v>44314</v>
      </c>
      <c r="TN35">
        <v>86161</v>
      </c>
      <c r="TO35">
        <v>0</v>
      </c>
      <c r="TP35">
        <v>44316</v>
      </c>
      <c r="TQ35">
        <v>86405</v>
      </c>
      <c r="TR35">
        <v>0</v>
      </c>
      <c r="TS35">
        <v>44317</v>
      </c>
      <c r="TT35">
        <v>86613</v>
      </c>
      <c r="TU35">
        <v>0</v>
      </c>
      <c r="TV35">
        <v>44317</v>
      </c>
      <c r="TW35">
        <v>86808</v>
      </c>
      <c r="TX35">
        <v>0</v>
      </c>
      <c r="TY35">
        <v>44318</v>
      </c>
      <c r="TZ35">
        <v>87096</v>
      </c>
      <c r="UA35">
        <v>0</v>
      </c>
      <c r="UB35">
        <v>44320</v>
      </c>
      <c r="UC35">
        <v>87228</v>
      </c>
      <c r="UD35">
        <v>0</v>
      </c>
      <c r="UE35">
        <v>44320</v>
      </c>
      <c r="UF35">
        <v>87345</v>
      </c>
      <c r="UG35">
        <v>0</v>
      </c>
      <c r="UH35">
        <v>44321</v>
      </c>
      <c r="UI35">
        <v>87529</v>
      </c>
      <c r="UJ35">
        <v>0</v>
      </c>
      <c r="UK35">
        <v>44322</v>
      </c>
      <c r="UL35">
        <v>87798</v>
      </c>
      <c r="UM35">
        <v>0</v>
      </c>
      <c r="UN35">
        <v>44326</v>
      </c>
      <c r="UO35">
        <v>88078</v>
      </c>
      <c r="UP35">
        <v>0</v>
      </c>
      <c r="UQ35">
        <v>44327</v>
      </c>
      <c r="UR35">
        <v>88866</v>
      </c>
      <c r="US35">
        <v>0</v>
      </c>
      <c r="UT35">
        <v>44328</v>
      </c>
      <c r="UU35">
        <v>88990</v>
      </c>
      <c r="UV35">
        <v>0</v>
      </c>
      <c r="UW35">
        <v>44329</v>
      </c>
      <c r="UX35">
        <v>89270</v>
      </c>
      <c r="UY35">
        <v>0</v>
      </c>
      <c r="UZ35">
        <v>44331</v>
      </c>
      <c r="VA35">
        <v>89532</v>
      </c>
      <c r="VB35">
        <v>0</v>
      </c>
      <c r="VC35">
        <v>44331</v>
      </c>
      <c r="VD35">
        <v>89686</v>
      </c>
      <c r="VE35">
        <v>0</v>
      </c>
      <c r="VF35">
        <v>44332</v>
      </c>
      <c r="VG35">
        <v>89878</v>
      </c>
      <c r="VH35">
        <v>0</v>
      </c>
    </row>
    <row r="36" spans="2:580" s="24" customFormat="1">
      <c r="Q36" s="24">
        <f>Q35</f>
        <v>44332</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row>
    <row r="37" spans="2:580" s="25" customFormat="1">
      <c r="B37" s="25">
        <v>1</v>
      </c>
      <c r="C37" s="25">
        <v>2</v>
      </c>
      <c r="D37" s="25">
        <v>3</v>
      </c>
      <c r="E37" s="25">
        <v>4</v>
      </c>
      <c r="F37" s="25">
        <v>5</v>
      </c>
      <c r="G37" s="25">
        <v>6</v>
      </c>
      <c r="H37" s="25">
        <v>7</v>
      </c>
      <c r="I37" s="25">
        <v>8</v>
      </c>
      <c r="J37" s="25">
        <v>9</v>
      </c>
      <c r="K37" s="25">
        <v>10</v>
      </c>
      <c r="L37" s="25">
        <v>11</v>
      </c>
      <c r="M37" s="25">
        <v>12</v>
      </c>
      <c r="O37" s="25" t="s">
        <v>352</v>
      </c>
      <c r="Q37" s="25">
        <f ca="1">D35-O35</f>
        <v>227</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row>
    <row r="38" spans="2:58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580">
      <c r="Q39" s="20"/>
      <c r="T39" s="20"/>
    </row>
    <row r="40" spans="2:580">
      <c r="B40" s="21">
        <f>Q36</f>
        <v>44332</v>
      </c>
      <c r="C40">
        <f t="shared" ref="C40:C47" ca="1" si="6">HLOOKUP(B40,$36:$37,2,FALSE)</f>
        <v>227</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80">
      <c r="B41" s="21">
        <f>B40-7</f>
        <v>44325</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80">
      <c r="B42" s="21">
        <f t="shared" ref="B42:B47" si="7">B41-7</f>
        <v>44318</v>
      </c>
      <c r="C42">
        <f t="shared" si="6"/>
        <v>132</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80">
      <c r="B43" s="21">
        <f t="shared" si="7"/>
        <v>44311</v>
      </c>
      <c r="C43">
        <f t="shared" si="6"/>
        <v>460</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80">
      <c r="B44" s="21">
        <f t="shared" si="7"/>
        <v>44304</v>
      </c>
      <c r="C44">
        <f t="shared" si="6"/>
        <v>498</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80">
      <c r="B45" s="21">
        <f t="shared" si="7"/>
        <v>44297</v>
      </c>
      <c r="C45">
        <f t="shared" si="6"/>
        <v>346</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80">
      <c r="B46" s="21">
        <f t="shared" si="7"/>
        <v>44290</v>
      </c>
      <c r="C46">
        <f t="shared" si="6"/>
        <v>302</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80">
      <c r="B47" s="21">
        <f t="shared" si="7"/>
        <v>44283</v>
      </c>
      <c r="C47">
        <f t="shared" si="6"/>
        <v>458</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8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44328.625</v>
      </c>
      <c r="C50">
        <f>DMAX(_xlnm.Database,"n",B49:B50)</f>
        <v>220</v>
      </c>
      <c r="D50" s="21">
        <f>B50</f>
        <v>44328.625</v>
      </c>
      <c r="E50">
        <f>C50</f>
        <v>220</v>
      </c>
      <c r="F50" s="13">
        <f>B50-1</f>
        <v>44327.625</v>
      </c>
      <c r="G50">
        <f>DMAX(_xlnm.Database,"n",F49:F50)</f>
        <v>210</v>
      </c>
      <c r="H50" s="21">
        <f>F50</f>
        <v>44327.625</v>
      </c>
      <c r="I50">
        <f>G50</f>
        <v>210</v>
      </c>
      <c r="J50" s="13">
        <f>F50-1</f>
        <v>44326.625</v>
      </c>
      <c r="K50">
        <f>DMAX(_xlnm.Database,"n",J49:J50)</f>
        <v>255</v>
      </c>
      <c r="L50" s="21">
        <f>J50</f>
        <v>44326.625</v>
      </c>
      <c r="M50">
        <f>K50</f>
        <v>255</v>
      </c>
      <c r="N50" s="22">
        <f>J50-1</f>
        <v>44325.625</v>
      </c>
      <c r="O50">
        <f>DMAX(_xlnm.Database,"n",N49:N50)</f>
        <v>130</v>
      </c>
      <c r="P50" s="21">
        <f>N50</f>
        <v>44325.625</v>
      </c>
      <c r="Q50">
        <f>O50</f>
        <v>130</v>
      </c>
      <c r="R50" s="22">
        <f>N50-1</f>
        <v>44324.625</v>
      </c>
      <c r="S50">
        <f>DMAX(_xlnm.Database,"n",R49:R50)</f>
        <v>130</v>
      </c>
      <c r="T50" s="21">
        <f>R50</f>
        <v>44324.625</v>
      </c>
      <c r="U50">
        <f>S50</f>
        <v>130</v>
      </c>
      <c r="V50" s="22">
        <f>R50-1</f>
        <v>44323.625</v>
      </c>
      <c r="W50">
        <f>DMAX(_xlnm.Database,"n",V49:V50)</f>
        <v>216</v>
      </c>
      <c r="X50" s="21">
        <f>V50</f>
        <v>44323.625</v>
      </c>
      <c r="Y50">
        <f>W50</f>
        <v>216</v>
      </c>
      <c r="Z50" s="22">
        <f>V50-1</f>
        <v>44322.625</v>
      </c>
      <c r="AA50">
        <f>DMAX(_xlnm.Database,"n",Z49:Z50)</f>
        <v>238</v>
      </c>
      <c r="AB50" s="21">
        <f>Z50</f>
        <v>44322.625</v>
      </c>
      <c r="AC50">
        <f>AA50</f>
        <v>238</v>
      </c>
      <c r="AD50" s="22">
        <f>Z50-1</f>
        <v>44321.625</v>
      </c>
      <c r="AE50">
        <f>DMAX(_xlnm.Database,"n",AD49:AD50)</f>
        <v>268</v>
      </c>
      <c r="AF50" s="21">
        <f>AD50</f>
        <v>44321.625</v>
      </c>
      <c r="AG50">
        <f>AE50</f>
        <v>268</v>
      </c>
      <c r="AH50" s="16"/>
      <c r="AI50"/>
      <c r="AK50" s="16"/>
      <c r="AL50"/>
      <c r="AN50" s="16"/>
      <c r="AO50"/>
      <c r="AQ50" s="16"/>
      <c r="AR50"/>
      <c r="AT50" s="16"/>
    </row>
    <row r="51" spans="2:46">
      <c r="B51" s="13" t="s">
        <v>7</v>
      </c>
      <c r="D51" s="16">
        <f>D50-7</f>
        <v>44321.625</v>
      </c>
      <c r="E51">
        <f>C52</f>
        <v>268</v>
      </c>
      <c r="F51" s="13" t="s">
        <v>7</v>
      </c>
      <c r="H51" s="16">
        <f>H50-7</f>
        <v>44320.625</v>
      </c>
      <c r="I51">
        <f>G52</f>
        <v>206</v>
      </c>
      <c r="J51" s="13" t="s">
        <v>7</v>
      </c>
      <c r="L51" s="16">
        <f>L50-7</f>
        <v>44319.625</v>
      </c>
      <c r="M51">
        <f>K52</f>
        <v>318</v>
      </c>
      <c r="N51" t="s">
        <v>7</v>
      </c>
      <c r="P51" s="16">
        <f>P50-7</f>
        <v>44318.625</v>
      </c>
      <c r="Q51">
        <f>O52</f>
        <v>135</v>
      </c>
      <c r="R51" t="s">
        <v>7</v>
      </c>
      <c r="T51" s="16">
        <f>T50-7</f>
        <v>44317.625</v>
      </c>
      <c r="U51">
        <f>S52</f>
        <v>105</v>
      </c>
      <c r="V51" t="s">
        <v>7</v>
      </c>
      <c r="W51"/>
      <c r="X51" s="16">
        <f>X50-7</f>
        <v>44316.625</v>
      </c>
      <c r="Y51">
        <f>W52</f>
        <v>195</v>
      </c>
      <c r="Z51" t="s">
        <v>7</v>
      </c>
      <c r="AB51" s="16">
        <f>AB50-7</f>
        <v>44315.625</v>
      </c>
      <c r="AC51">
        <f>AA52</f>
        <v>200</v>
      </c>
      <c r="AD51" t="s">
        <v>7</v>
      </c>
      <c r="AF51" s="16">
        <f>AF50-7</f>
        <v>44314.625</v>
      </c>
      <c r="AG51">
        <f>AE52</f>
        <v>273</v>
      </c>
      <c r="AH51" s="16"/>
      <c r="AI51"/>
      <c r="AK51" s="16"/>
      <c r="AL51"/>
      <c r="AN51" s="16"/>
      <c r="AO51"/>
      <c r="AQ51" s="16"/>
      <c r="AR51"/>
      <c r="AT51" s="16"/>
    </row>
    <row r="52" spans="2:46">
      <c r="B52" s="13">
        <f>B50-7</f>
        <v>44321.625</v>
      </c>
      <c r="C52">
        <f>DMAX(_xlnm.Database,"n",B51:B52)</f>
        <v>268</v>
      </c>
      <c r="D52" s="16">
        <f t="shared" ref="D52:D59" si="8">D51-7</f>
        <v>44314.625</v>
      </c>
      <c r="E52">
        <f>C54</f>
        <v>273</v>
      </c>
      <c r="F52" s="13">
        <f>F50-7</f>
        <v>44320.625</v>
      </c>
      <c r="G52">
        <f>DMAX(_xlnm.Database,"n",F51:F52)</f>
        <v>206</v>
      </c>
      <c r="H52" s="16">
        <f t="shared" ref="H52:H59" si="9">H51-7</f>
        <v>44313.625</v>
      </c>
      <c r="I52">
        <f>G54</f>
        <v>228</v>
      </c>
      <c r="J52" s="13">
        <f>J50-7</f>
        <v>44319.625</v>
      </c>
      <c r="K52">
        <f>DMAX(_xlnm.Database,"n",J51:J52)</f>
        <v>318</v>
      </c>
      <c r="L52" s="16">
        <f t="shared" ref="L52:L59" si="10">L51-7</f>
        <v>44312.625</v>
      </c>
      <c r="M52">
        <f>K54</f>
        <v>243</v>
      </c>
      <c r="N52" s="22">
        <f>N50-7</f>
        <v>44318.625</v>
      </c>
      <c r="O52">
        <f>DMAX(_xlnm.Database,"n",N51:N52)</f>
        <v>135</v>
      </c>
      <c r="P52" s="16">
        <f t="shared" ref="P52:P59" si="11">P51-7</f>
        <v>44311.625</v>
      </c>
      <c r="Q52">
        <f>O54</f>
        <v>141</v>
      </c>
      <c r="R52" s="22">
        <f>R50-7</f>
        <v>44317.625</v>
      </c>
      <c r="S52">
        <f>DMAX(_xlnm.Database,"n",R51:R52)</f>
        <v>105</v>
      </c>
      <c r="T52" s="16">
        <f t="shared" ref="T52:T59" si="12">T51-7</f>
        <v>44310.625</v>
      </c>
      <c r="U52">
        <f>S54</f>
        <v>154</v>
      </c>
      <c r="V52" s="22">
        <f>V50-7</f>
        <v>44316.625</v>
      </c>
      <c r="W52">
        <f>DMAX(_xlnm.Database,"n",V51:V52)</f>
        <v>195</v>
      </c>
      <c r="X52" s="16">
        <f t="shared" ref="X52:X59" si="13">X51-7</f>
        <v>44309.625</v>
      </c>
      <c r="Y52">
        <f>W54</f>
        <v>255</v>
      </c>
      <c r="Z52" s="22">
        <f>Z50-7</f>
        <v>44315.625</v>
      </c>
      <c r="AA52">
        <f>DMAX(_xlnm.Database,"n",Z51:Z52)</f>
        <v>200</v>
      </c>
      <c r="AB52" s="16">
        <f t="shared" ref="AB52:AB59" si="14">AB51-7</f>
        <v>44308.625</v>
      </c>
      <c r="AC52">
        <f>AA54</f>
        <v>258</v>
      </c>
      <c r="AD52" s="22">
        <f>AD50-7</f>
        <v>44314.625</v>
      </c>
      <c r="AE52">
        <f>DMAX(_xlnm.Database,"n",AD51:AD52)</f>
        <v>273</v>
      </c>
      <c r="AF52" s="16">
        <f t="shared" ref="AF52:AF59" si="15">AF51-7</f>
        <v>44307.625</v>
      </c>
      <c r="AG52">
        <f>AE54</f>
        <v>233</v>
      </c>
      <c r="AH52" s="16"/>
      <c r="AI52"/>
      <c r="AK52" s="16"/>
      <c r="AL52"/>
      <c r="AN52" s="16"/>
      <c r="AO52"/>
      <c r="AQ52" s="16"/>
      <c r="AR52"/>
      <c r="AT52" s="16"/>
    </row>
    <row r="53" spans="2:46">
      <c r="B53" s="13" t="s">
        <v>7</v>
      </c>
      <c r="D53" s="16">
        <f t="shared" si="8"/>
        <v>44307.625</v>
      </c>
      <c r="E53">
        <f>C56</f>
        <v>233</v>
      </c>
      <c r="F53" s="13" t="s">
        <v>7</v>
      </c>
      <c r="H53" s="16">
        <f t="shared" si="9"/>
        <v>44306.625</v>
      </c>
      <c r="I53">
        <f>G56</f>
        <v>285</v>
      </c>
      <c r="J53" s="13" t="s">
        <v>7</v>
      </c>
      <c r="L53" s="16">
        <f t="shared" si="10"/>
        <v>44305.625</v>
      </c>
      <c r="M53">
        <f>K56</f>
        <v>283</v>
      </c>
      <c r="N53" t="s">
        <v>7</v>
      </c>
      <c r="P53" s="16">
        <f t="shared" si="11"/>
        <v>44304.625</v>
      </c>
      <c r="Q53">
        <f>O56</f>
        <v>156</v>
      </c>
      <c r="R53" t="s">
        <v>7</v>
      </c>
      <c r="T53" s="16">
        <f t="shared" si="12"/>
        <v>44303.625</v>
      </c>
      <c r="U53">
        <f>S56</f>
        <v>171</v>
      </c>
      <c r="V53" t="s">
        <v>7</v>
      </c>
      <c r="W53"/>
      <c r="X53" s="16">
        <f t="shared" si="13"/>
        <v>44302.625</v>
      </c>
      <c r="Y53">
        <f>W56</f>
        <v>264</v>
      </c>
      <c r="Z53" t="s">
        <v>7</v>
      </c>
      <c r="AB53" s="16">
        <f t="shared" si="14"/>
        <v>44301.625</v>
      </c>
      <c r="AC53">
        <f>AA56</f>
        <v>274</v>
      </c>
      <c r="AD53" t="s">
        <v>7</v>
      </c>
      <c r="AF53" s="16">
        <f t="shared" si="15"/>
        <v>44300.625</v>
      </c>
      <c r="AG53">
        <f>AE56</f>
        <v>345</v>
      </c>
      <c r="AH53" s="16"/>
      <c r="AI53"/>
      <c r="AK53" s="16"/>
      <c r="AL53"/>
      <c r="AN53" s="16"/>
      <c r="AO53"/>
      <c r="AQ53" s="16"/>
      <c r="AR53"/>
      <c r="AT53" s="16"/>
    </row>
    <row r="54" spans="2:46">
      <c r="B54" s="13">
        <f>B52-7</f>
        <v>44314.625</v>
      </c>
      <c r="C54">
        <f>DMAX(_xlnm.Database,"n",B53:B54)</f>
        <v>273</v>
      </c>
      <c r="D54" s="16">
        <f t="shared" si="8"/>
        <v>44300.625</v>
      </c>
      <c r="E54">
        <f>C58</f>
        <v>345</v>
      </c>
      <c r="F54" s="13">
        <f>F52-7</f>
        <v>44313.625</v>
      </c>
      <c r="G54">
        <f>DMAX(_xlnm.Database,"n",F53:F54)</f>
        <v>228</v>
      </c>
      <c r="H54" s="16">
        <f t="shared" si="9"/>
        <v>44299.625</v>
      </c>
      <c r="I54">
        <f>G58</f>
        <v>325</v>
      </c>
      <c r="J54" s="13">
        <f>J52-7</f>
        <v>44312.625</v>
      </c>
      <c r="K54">
        <f>DMAX(_xlnm.Database,"n",J53:J54)</f>
        <v>243</v>
      </c>
      <c r="L54" s="16">
        <f t="shared" si="10"/>
        <v>44298.625</v>
      </c>
      <c r="M54">
        <f>K58</f>
        <v>396</v>
      </c>
      <c r="N54" s="22">
        <f>N52-7</f>
        <v>44311.625</v>
      </c>
      <c r="O54">
        <f>DMAX(_xlnm.Database,"n",N53:N54)</f>
        <v>141</v>
      </c>
      <c r="P54" s="16">
        <f t="shared" si="11"/>
        <v>44297.625</v>
      </c>
      <c r="Q54">
        <f>O58</f>
        <v>239</v>
      </c>
      <c r="R54" s="22">
        <f>R52-7</f>
        <v>44310.625</v>
      </c>
      <c r="S54">
        <f>DMAX(_xlnm.Database,"n",R53:R54)</f>
        <v>154</v>
      </c>
      <c r="T54" s="16">
        <f t="shared" si="12"/>
        <v>44296.625</v>
      </c>
      <c r="U54">
        <f>S58</f>
        <v>225</v>
      </c>
      <c r="V54" s="22">
        <f>V52-7</f>
        <v>44309.625</v>
      </c>
      <c r="W54">
        <f>DMAX(_xlnm.Database,"n",V53:V54)</f>
        <v>255</v>
      </c>
      <c r="X54" s="16">
        <f t="shared" si="13"/>
        <v>44295.625</v>
      </c>
      <c r="Y54">
        <f>W58</f>
        <v>350</v>
      </c>
      <c r="Z54" s="22">
        <f>Z52-7</f>
        <v>44308.625</v>
      </c>
      <c r="AA54">
        <f>DMAX(_xlnm.Database,"n",Z53:Z54)</f>
        <v>258</v>
      </c>
      <c r="AB54" s="16">
        <f t="shared" si="14"/>
        <v>44294.625</v>
      </c>
      <c r="AC54">
        <f>AA58</f>
        <v>405</v>
      </c>
      <c r="AD54" s="22">
        <f>AD52-7</f>
        <v>44307.625</v>
      </c>
      <c r="AE54">
        <f>DMAX(_xlnm.Database,"n",AD53:AD54)</f>
        <v>233</v>
      </c>
      <c r="AF54" s="16">
        <f t="shared" si="15"/>
        <v>44293.625</v>
      </c>
      <c r="AG54">
        <f>AE58</f>
        <v>426</v>
      </c>
      <c r="AH54" s="16"/>
      <c r="AI54"/>
      <c r="AK54" s="16"/>
      <c r="AL54"/>
      <c r="AN54" s="16"/>
      <c r="AO54"/>
      <c r="AQ54" s="16"/>
      <c r="AR54"/>
      <c r="AT54" s="16"/>
    </row>
    <row r="55" spans="2:46">
      <c r="B55" s="13" t="s">
        <v>7</v>
      </c>
      <c r="D55" s="16">
        <f t="shared" si="8"/>
        <v>44293.625</v>
      </c>
      <c r="E55">
        <f>C60</f>
        <v>426</v>
      </c>
      <c r="F55" s="13" t="s">
        <v>7</v>
      </c>
      <c r="H55" s="16">
        <f t="shared" si="9"/>
        <v>44292.625</v>
      </c>
      <c r="I55">
        <f>G60</f>
        <v>545</v>
      </c>
      <c r="J55" s="13" t="s">
        <v>7</v>
      </c>
      <c r="L55" s="16">
        <f t="shared" si="10"/>
        <v>44291.625</v>
      </c>
      <c r="M55">
        <f>K60</f>
        <v>359</v>
      </c>
      <c r="N55" t="s">
        <v>7</v>
      </c>
      <c r="P55" s="16">
        <f t="shared" si="11"/>
        <v>44290.625</v>
      </c>
      <c r="Q55">
        <f>O60</f>
        <v>322</v>
      </c>
      <c r="R55" t="s">
        <v>7</v>
      </c>
      <c r="T55" s="16">
        <f t="shared" si="12"/>
        <v>44289.625</v>
      </c>
      <c r="U55">
        <f>S60</f>
        <v>320</v>
      </c>
      <c r="V55" t="s">
        <v>7</v>
      </c>
      <c r="W55"/>
      <c r="X55" s="16">
        <f t="shared" si="13"/>
        <v>44288.625</v>
      </c>
      <c r="Y55">
        <f>W60</f>
        <v>361</v>
      </c>
      <c r="Z55" t="s">
        <v>7</v>
      </c>
      <c r="AB55" s="16">
        <f t="shared" si="14"/>
        <v>44287.625</v>
      </c>
      <c r="AC55">
        <f>AA60</f>
        <v>486</v>
      </c>
      <c r="AD55" t="s">
        <v>7</v>
      </c>
      <c r="AF55" s="16">
        <f t="shared" si="15"/>
        <v>44286.625</v>
      </c>
      <c r="AG55">
        <f>AE60</f>
        <v>550</v>
      </c>
      <c r="AH55" s="16"/>
      <c r="AI55"/>
      <c r="AK55" s="16"/>
      <c r="AL55"/>
      <c r="AN55" s="16"/>
      <c r="AO55"/>
      <c r="AQ55" s="16"/>
      <c r="AR55"/>
      <c r="AT55" s="16"/>
    </row>
    <row r="56" spans="2:46">
      <c r="B56" s="13">
        <f>B54-7</f>
        <v>44307.625</v>
      </c>
      <c r="C56">
        <f>DMAX(_xlnm.Database,"n",B55:B56)</f>
        <v>233</v>
      </c>
      <c r="D56" s="16">
        <f t="shared" si="8"/>
        <v>44286.625</v>
      </c>
      <c r="E56">
        <f>C62</f>
        <v>550</v>
      </c>
      <c r="F56" s="13">
        <f>F54-7</f>
        <v>44306.625</v>
      </c>
      <c r="G56">
        <f>DMAX(_xlnm.Database,"n",F55:F56)</f>
        <v>285</v>
      </c>
      <c r="H56" s="16">
        <f t="shared" si="9"/>
        <v>44285.625</v>
      </c>
      <c r="I56">
        <f>G62</f>
        <v>570</v>
      </c>
      <c r="J56" s="13">
        <f>J54-7</f>
        <v>44305.625</v>
      </c>
      <c r="K56">
        <f>DMAX(_xlnm.Database,"n",J55:J56)</f>
        <v>283</v>
      </c>
      <c r="L56" s="16">
        <f t="shared" si="10"/>
        <v>44284.625</v>
      </c>
      <c r="M56">
        <f>K62</f>
        <v>654</v>
      </c>
      <c r="N56" s="22">
        <f>N54-7</f>
        <v>44304.625</v>
      </c>
      <c r="O56">
        <f>DMAX(_xlnm.Database,"n",N55:N56)</f>
        <v>156</v>
      </c>
      <c r="P56" s="16">
        <f t="shared" si="11"/>
        <v>44283.625</v>
      </c>
      <c r="Q56">
        <f>O62</f>
        <v>370</v>
      </c>
      <c r="R56" s="22">
        <f>R54-7</f>
        <v>44303.625</v>
      </c>
      <c r="S56">
        <f>DMAX(_xlnm.Database,"n",R55:R56)</f>
        <v>171</v>
      </c>
      <c r="T56" s="16">
        <f t="shared" si="12"/>
        <v>44282.625</v>
      </c>
      <c r="U56">
        <f>S62</f>
        <v>351</v>
      </c>
      <c r="V56" s="22">
        <f>V54-7</f>
        <v>44302.625</v>
      </c>
      <c r="W56">
        <f>DMAX(_xlnm.Database,"n",V55:V56)</f>
        <v>264</v>
      </c>
      <c r="X56" s="16">
        <f t="shared" si="13"/>
        <v>44281.625</v>
      </c>
      <c r="Y56">
        <f>W62</f>
        <v>688</v>
      </c>
      <c r="Z56" s="22">
        <f>Z54-7</f>
        <v>44301.625</v>
      </c>
      <c r="AA56">
        <f>DMAX(_xlnm.Database,"n",Z55:Z56)</f>
        <v>274</v>
      </c>
      <c r="AB56" s="16">
        <f t="shared" si="14"/>
        <v>44280.625</v>
      </c>
      <c r="AC56">
        <f>AA62</f>
        <v>606</v>
      </c>
      <c r="AD56" s="22">
        <f>AD54-7</f>
        <v>44300.625</v>
      </c>
      <c r="AE56">
        <f>DMAX(_xlnm.Database,"n",AD55:AD56)</f>
        <v>345</v>
      </c>
      <c r="AF56" s="16">
        <f t="shared" si="15"/>
        <v>44279.625</v>
      </c>
      <c r="AG56">
        <f>AE62</f>
        <v>694</v>
      </c>
      <c r="AH56" s="16"/>
      <c r="AI56"/>
      <c r="AK56" s="16"/>
      <c r="AL56"/>
      <c r="AN56" s="16"/>
      <c r="AO56"/>
      <c r="AQ56" s="16"/>
      <c r="AR56"/>
      <c r="AT56" s="16"/>
    </row>
    <row r="57" spans="2:46">
      <c r="B57" s="13" t="s">
        <v>7</v>
      </c>
      <c r="D57" s="16">
        <f t="shared" si="8"/>
        <v>44279.625</v>
      </c>
      <c r="E57">
        <f>C64</f>
        <v>694</v>
      </c>
      <c r="F57" s="13" t="s">
        <v>7</v>
      </c>
      <c r="H57" s="16">
        <f t="shared" si="9"/>
        <v>44278.625</v>
      </c>
      <c r="I57">
        <f>G64</f>
        <v>703</v>
      </c>
      <c r="J57" s="13" t="s">
        <v>7</v>
      </c>
      <c r="L57" s="16">
        <f t="shared" si="10"/>
        <v>44277.625</v>
      </c>
      <c r="M57">
        <f>K64</f>
        <v>768</v>
      </c>
      <c r="N57" t="s">
        <v>7</v>
      </c>
      <c r="P57" s="16">
        <f t="shared" si="11"/>
        <v>44276.625</v>
      </c>
      <c r="Q57">
        <f>O64</f>
        <v>417</v>
      </c>
      <c r="R57" t="s">
        <v>7</v>
      </c>
      <c r="T57" s="16">
        <f t="shared" si="12"/>
        <v>44275.625</v>
      </c>
      <c r="U57">
        <f>S64</f>
        <v>404</v>
      </c>
      <c r="V57" t="s">
        <v>7</v>
      </c>
      <c r="W57"/>
      <c r="X57" s="16">
        <f t="shared" si="13"/>
        <v>44274.625</v>
      </c>
      <c r="Y57">
        <f>W64</f>
        <v>744</v>
      </c>
      <c r="Z57" t="s">
        <v>7</v>
      </c>
      <c r="AB57" s="16">
        <f t="shared" si="14"/>
        <v>44273.625</v>
      </c>
      <c r="AC57">
        <f>AA64</f>
        <v>735</v>
      </c>
      <c r="AD57" t="s">
        <v>7</v>
      </c>
      <c r="AF57" s="16">
        <f t="shared" si="15"/>
        <v>44272.625</v>
      </c>
      <c r="AG57">
        <f>AE64</f>
        <v>743</v>
      </c>
      <c r="AH57" s="16"/>
      <c r="AI57"/>
      <c r="AK57" s="16"/>
      <c r="AL57"/>
      <c r="AN57" s="16"/>
      <c r="AO57"/>
      <c r="AQ57" s="16"/>
      <c r="AR57"/>
      <c r="AT57" s="16"/>
    </row>
    <row r="58" spans="2:46">
      <c r="B58" s="13">
        <f>B56-7</f>
        <v>44300.625</v>
      </c>
      <c r="C58">
        <f>DMAX(_xlnm.Database,"n",B57:B58)</f>
        <v>345</v>
      </c>
      <c r="D58" s="16">
        <f>D57-7</f>
        <v>44272.625</v>
      </c>
      <c r="E58">
        <f>C66</f>
        <v>743</v>
      </c>
      <c r="F58" s="13">
        <f>F56-7</f>
        <v>44299.625</v>
      </c>
      <c r="G58">
        <f>DMAX(_xlnm.Database,"n",F57:F58)</f>
        <v>325</v>
      </c>
      <c r="H58" s="16">
        <f>H57-7</f>
        <v>44271.625</v>
      </c>
      <c r="I58">
        <f>G66</f>
        <v>767</v>
      </c>
      <c r="J58" s="13">
        <f>J56-7</f>
        <v>44298.625</v>
      </c>
      <c r="K58">
        <f>DMAX(_xlnm.Database,"n",J57:J58)</f>
        <v>396</v>
      </c>
      <c r="L58" s="16">
        <f>L57-7</f>
        <v>44270.625</v>
      </c>
      <c r="M58">
        <f>K66</f>
        <v>892</v>
      </c>
      <c r="N58" s="22">
        <f>N56-7</f>
        <v>44297.625</v>
      </c>
      <c r="O58">
        <f>DMAX(_xlnm.Database,"n",N57:N58)</f>
        <v>239</v>
      </c>
      <c r="P58" s="16">
        <f>P57-7</f>
        <v>44269.625</v>
      </c>
      <c r="Q58">
        <f>O66</f>
        <v>433</v>
      </c>
      <c r="R58" s="22">
        <f>R56-7</f>
        <v>44296.625</v>
      </c>
      <c r="S58">
        <f>DMAX(_xlnm.Database,"n",R57:R58)</f>
        <v>225</v>
      </c>
      <c r="T58" s="16">
        <f>T57-7</f>
        <v>44268.625</v>
      </c>
      <c r="U58">
        <f>S66</f>
        <v>491</v>
      </c>
      <c r="V58" s="22">
        <f>V56-7</f>
        <v>44295.625</v>
      </c>
      <c r="W58">
        <f>DMAX(_xlnm.Database,"n",V57:V58)</f>
        <v>350</v>
      </c>
      <c r="X58" s="16">
        <f>X57-7</f>
        <v>44267.625</v>
      </c>
      <c r="Y58">
        <f>W66</f>
        <v>808</v>
      </c>
      <c r="Z58" s="22">
        <f>Z56-7</f>
        <v>44294.625</v>
      </c>
      <c r="AA58">
        <f>DMAX(_xlnm.Database,"n",Z57:Z58)</f>
        <v>405</v>
      </c>
      <c r="AB58" s="16">
        <f>AB57-7</f>
        <v>44266.625</v>
      </c>
      <c r="AC58">
        <f>AA66</f>
        <v>779</v>
      </c>
      <c r="AD58" s="22">
        <f>AD56-7</f>
        <v>44293.625</v>
      </c>
      <c r="AE58">
        <f>DMAX(_xlnm.Database,"n",AD57:AD58)</f>
        <v>426</v>
      </c>
      <c r="AF58" s="16">
        <f>AF57-7</f>
        <v>44265.625</v>
      </c>
      <c r="AG58">
        <f>AE66</f>
        <v>822</v>
      </c>
      <c r="AH58" s="16"/>
      <c r="AI58"/>
      <c r="AK58" s="16"/>
      <c r="AL58"/>
      <c r="AN58" s="16"/>
      <c r="AO58"/>
      <c r="AQ58" s="16"/>
      <c r="AR58"/>
      <c r="AT58" s="16"/>
    </row>
    <row r="59" spans="2:46">
      <c r="B59" s="13" t="s">
        <v>7</v>
      </c>
      <c r="D59" s="16">
        <f t="shared" si="8"/>
        <v>44265.625</v>
      </c>
      <c r="E59">
        <f>C68</f>
        <v>822</v>
      </c>
      <c r="F59" s="13" t="s">
        <v>7</v>
      </c>
      <c r="H59" s="16">
        <f t="shared" si="9"/>
        <v>44264.625</v>
      </c>
      <c r="I59">
        <f>G68</f>
        <v>774</v>
      </c>
      <c r="J59" s="13" t="s">
        <v>7</v>
      </c>
      <c r="L59" s="16">
        <f t="shared" si="10"/>
        <v>44263.625</v>
      </c>
      <c r="M59">
        <f>K68</f>
        <v>834</v>
      </c>
      <c r="N59" t="s">
        <v>7</v>
      </c>
      <c r="P59" s="16">
        <f t="shared" si="11"/>
        <v>44262.625</v>
      </c>
      <c r="Q59">
        <f>O68</f>
        <v>396</v>
      </c>
      <c r="R59" t="s">
        <v>7</v>
      </c>
      <c r="T59" s="16">
        <f t="shared" si="12"/>
        <v>44261.625</v>
      </c>
      <c r="U59">
        <f>S68</f>
        <v>431</v>
      </c>
      <c r="V59" t="s">
        <v>7</v>
      </c>
      <c r="W59"/>
      <c r="X59" s="16">
        <f t="shared" si="13"/>
        <v>44260.625</v>
      </c>
      <c r="Y59">
        <f>W68</f>
        <v>630</v>
      </c>
      <c r="Z59" t="s">
        <v>7</v>
      </c>
      <c r="AB59" s="16">
        <f t="shared" si="14"/>
        <v>44259.625</v>
      </c>
      <c r="AC59">
        <f>AA68</f>
        <v>640</v>
      </c>
      <c r="AD59" t="s">
        <v>7</v>
      </c>
      <c r="AF59" s="16">
        <f t="shared" si="15"/>
        <v>44258.625</v>
      </c>
      <c r="AG59">
        <f>AE68</f>
        <v>732</v>
      </c>
      <c r="AH59" s="16"/>
      <c r="AI59"/>
      <c r="AK59" s="16"/>
      <c r="AL59"/>
      <c r="AN59" s="16"/>
      <c r="AO59"/>
      <c r="AQ59" s="16"/>
      <c r="AR59"/>
      <c r="AT59" s="16"/>
    </row>
    <row r="60" spans="2:46">
      <c r="B60" s="13">
        <f>B58-7</f>
        <v>44293.625</v>
      </c>
      <c r="C60">
        <f>DMAX(_xlnm.Database,"n",B59:B60)</f>
        <v>426</v>
      </c>
      <c r="D60" s="16"/>
      <c r="F60" s="13">
        <f>F58-7</f>
        <v>44292.625</v>
      </c>
      <c r="G60">
        <f>DMAX(_xlnm.Database,"n",F59:F60)</f>
        <v>545</v>
      </c>
      <c r="H60" s="16"/>
      <c r="J60" s="13">
        <f>J58-7</f>
        <v>44291.625</v>
      </c>
      <c r="K60">
        <f>DMAX(_xlnm.Database,"n",J59:J60)</f>
        <v>359</v>
      </c>
      <c r="L60" s="16"/>
      <c r="N60" s="22">
        <f>N58-7</f>
        <v>44290.625</v>
      </c>
      <c r="O60">
        <f>DMAX(_xlnm.Database,"n",N59:N60)</f>
        <v>322</v>
      </c>
      <c r="P60" s="16"/>
      <c r="Q60"/>
      <c r="R60" s="22">
        <f>R58-7</f>
        <v>44289.625</v>
      </c>
      <c r="S60">
        <f>DMAX(_xlnm.Database,"n",R59:R60)</f>
        <v>320</v>
      </c>
      <c r="V60" s="22">
        <f>V58-7</f>
        <v>44288.625</v>
      </c>
      <c r="W60">
        <f>DMAX(_xlnm.Database,"n",V59:V60)</f>
        <v>361</v>
      </c>
      <c r="X60" s="16"/>
      <c r="Z60" s="22">
        <f>Z58-7</f>
        <v>44287.625</v>
      </c>
      <c r="AA60">
        <f>DMAX(_xlnm.Database,"n",Z59:Z60)</f>
        <v>486</v>
      </c>
      <c r="AB60" s="16"/>
      <c r="AC60"/>
      <c r="AD60" s="22">
        <f>AD58-7</f>
        <v>44286.625</v>
      </c>
      <c r="AE60">
        <f>DMAX(_xlnm.Database,"n",AD59:AD60)</f>
        <v>550</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44286.625</v>
      </c>
      <c r="C62">
        <f>DMAX(_xlnm.Database,"n",B61:B62)</f>
        <v>550</v>
      </c>
      <c r="D62" s="16"/>
      <c r="F62" s="13">
        <f>F60-7</f>
        <v>44285.625</v>
      </c>
      <c r="G62">
        <f>DMAX(_xlnm.Database,"n",F61:F62)</f>
        <v>570</v>
      </c>
      <c r="H62" s="16"/>
      <c r="J62" s="13">
        <f>J60-7</f>
        <v>44284.625</v>
      </c>
      <c r="K62">
        <f>DMAX(_xlnm.Database,"n",J61:J62)</f>
        <v>654</v>
      </c>
      <c r="L62" s="16"/>
      <c r="N62" s="22">
        <f>N60-7</f>
        <v>44283.625</v>
      </c>
      <c r="O62">
        <f>DMAX(_xlnm.Database,"n",N61:N62)</f>
        <v>370</v>
      </c>
      <c r="P62" s="16"/>
      <c r="Q62"/>
      <c r="R62" s="22">
        <f>R60-7</f>
        <v>44282.625</v>
      </c>
      <c r="S62">
        <f>DMAX(_xlnm.Database,"n",R61:R62)</f>
        <v>351</v>
      </c>
      <c r="V62" s="22">
        <f>V60-7</f>
        <v>44281.625</v>
      </c>
      <c r="W62">
        <f>DMAX(_xlnm.Database,"n",V61:V62)</f>
        <v>688</v>
      </c>
      <c r="X62" s="16"/>
      <c r="Z62" s="22">
        <f>Z60-7</f>
        <v>44280.625</v>
      </c>
      <c r="AA62">
        <f>DMAX(_xlnm.Database,"n",Z61:Z62)</f>
        <v>606</v>
      </c>
      <c r="AB62" s="16"/>
      <c r="AC62"/>
      <c r="AD62" s="22">
        <f>AD60-7</f>
        <v>44279.625</v>
      </c>
      <c r="AE62">
        <f>DMAX(_xlnm.Database,"n",AD61:AD62)</f>
        <v>694</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44279.625</v>
      </c>
      <c r="C64">
        <f>DMAX(_xlnm.Database,"n",B63:B64)</f>
        <v>694</v>
      </c>
      <c r="D64" s="16"/>
      <c r="F64" s="13">
        <f>F62-7</f>
        <v>44278.625</v>
      </c>
      <c r="G64">
        <f>DMAX(_xlnm.Database,"n",F63:F64)</f>
        <v>703</v>
      </c>
      <c r="H64" s="16"/>
      <c r="J64" s="13">
        <f>J62-7</f>
        <v>44277.625</v>
      </c>
      <c r="K64">
        <f>DMAX(_xlnm.Database,"n",J63:J64)</f>
        <v>768</v>
      </c>
      <c r="L64" s="16"/>
      <c r="N64" s="22">
        <f>N62-7</f>
        <v>44276.625</v>
      </c>
      <c r="O64">
        <f>DMAX(_xlnm.Database,"n",N63:N64)</f>
        <v>417</v>
      </c>
      <c r="P64" s="16"/>
      <c r="Q64"/>
      <c r="R64" s="22">
        <f>R62-7</f>
        <v>44275.625</v>
      </c>
      <c r="S64">
        <f>DMAX(_xlnm.Database,"n",R63:R64)</f>
        <v>404</v>
      </c>
      <c r="V64" s="22">
        <f>V62-7</f>
        <v>44274.625</v>
      </c>
      <c r="W64">
        <f>DMAX(_xlnm.Database,"n",V63:V64)</f>
        <v>744</v>
      </c>
      <c r="X64" s="16"/>
      <c r="Z64" s="22">
        <f>Z62-7</f>
        <v>44273.625</v>
      </c>
      <c r="AA64">
        <f>DMAX(_xlnm.Database,"n",Z63:Z64)</f>
        <v>735</v>
      </c>
      <c r="AB64" s="16"/>
      <c r="AC64"/>
      <c r="AD64" s="22">
        <f>AD62-7</f>
        <v>44272.625</v>
      </c>
      <c r="AE64">
        <f>DMAX(_xlnm.Database,"n",AD63:AD64)</f>
        <v>743</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44272.625</v>
      </c>
      <c r="C66">
        <f>DMAX(_xlnm.Database,"n",B65:B66)</f>
        <v>743</v>
      </c>
      <c r="D66" s="16"/>
      <c r="F66" s="13">
        <f>F64-7</f>
        <v>44271.625</v>
      </c>
      <c r="G66">
        <f>DMAX(_xlnm.Database,"n",F65:F66)</f>
        <v>767</v>
      </c>
      <c r="H66" s="16"/>
      <c r="J66" s="13">
        <f>J64-7</f>
        <v>44270.625</v>
      </c>
      <c r="K66">
        <f>DMAX(_xlnm.Database,"n",J65:J66)</f>
        <v>892</v>
      </c>
      <c r="L66" s="16"/>
      <c r="N66" s="22">
        <f>N64-7</f>
        <v>44269.625</v>
      </c>
      <c r="O66">
        <f>DMAX(_xlnm.Database,"n",N65:N66)</f>
        <v>433</v>
      </c>
      <c r="P66" s="16"/>
      <c r="Q66"/>
      <c r="R66" s="22">
        <f>R64-7</f>
        <v>44268.625</v>
      </c>
      <c r="S66">
        <f>DMAX(_xlnm.Database,"n",R65:R66)</f>
        <v>491</v>
      </c>
      <c r="V66" s="22">
        <f>V64-7</f>
        <v>44267.625</v>
      </c>
      <c r="W66">
        <f>DMAX(_xlnm.Database,"n",V65:V66)</f>
        <v>808</v>
      </c>
      <c r="X66" s="16"/>
      <c r="Z66" s="22">
        <f>Z64-7</f>
        <v>44266.625</v>
      </c>
      <c r="AA66">
        <f>DMAX(_xlnm.Database,"n",Z65:Z66)</f>
        <v>779</v>
      </c>
      <c r="AB66" s="16"/>
      <c r="AC66"/>
      <c r="AD66" s="22">
        <f>AD64-7</f>
        <v>44265.625</v>
      </c>
      <c r="AE66">
        <f>DMAX(_xlnm.Database,"n",AD65:AD66)</f>
        <v>822</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44265.625</v>
      </c>
      <c r="C68">
        <f>DMAX(_xlnm.Database,"n",B67:B68)</f>
        <v>822</v>
      </c>
      <c r="D68" s="16"/>
      <c r="F68" s="13">
        <f>F66-7</f>
        <v>44264.625</v>
      </c>
      <c r="G68">
        <f>DMAX(_xlnm.Database,"n",F67:F68)</f>
        <v>774</v>
      </c>
      <c r="H68" s="16"/>
      <c r="J68" s="13">
        <f>J66-7</f>
        <v>44263.625</v>
      </c>
      <c r="K68">
        <f>DMAX(_xlnm.Database,"n",J67:J68)</f>
        <v>834</v>
      </c>
      <c r="L68" s="16"/>
      <c r="N68" s="22">
        <f>N66-7</f>
        <v>44262.625</v>
      </c>
      <c r="O68">
        <f>DMAX(_xlnm.Database,"n",N67:N68)</f>
        <v>396</v>
      </c>
      <c r="P68" s="16"/>
      <c r="Q68"/>
      <c r="R68" s="22">
        <f>R66-7</f>
        <v>44261.625</v>
      </c>
      <c r="S68">
        <f>DMAX(_xlnm.Database,"n",R67:R68)</f>
        <v>431</v>
      </c>
      <c r="V68" s="22">
        <f>V66-7</f>
        <v>44260.625</v>
      </c>
      <c r="W68">
        <f>DMAX(_xlnm.Database,"n",V67:V68)</f>
        <v>630</v>
      </c>
      <c r="X68" s="16"/>
      <c r="Z68" s="22">
        <f>Z66-7</f>
        <v>44259.625</v>
      </c>
      <c r="AA68">
        <f>DMAX(_xlnm.Database,"n",Z67:Z68)</f>
        <v>640</v>
      </c>
      <c r="AB68" s="16"/>
      <c r="AC68"/>
      <c r="AD68" s="22">
        <f>AD66-7</f>
        <v>44258.625</v>
      </c>
      <c r="AE68">
        <f>DMAX(_xlnm.Database,"n",AD67:AD68)</f>
        <v>732</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44328.625</v>
      </c>
      <c r="C73">
        <f>DMAX(_xlnm.Database,"n",B72:B73)</f>
        <v>220</v>
      </c>
      <c r="D73" s="21">
        <f>B73</f>
        <v>44328.625</v>
      </c>
      <c r="E73">
        <f>C73</f>
        <v>220</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44327.625</v>
      </c>
      <c r="E74">
        <f>C75</f>
        <v>210</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44327.625</v>
      </c>
      <c r="C75">
        <f>DMAX(_xlnm.Database,"n",B74:B75)</f>
        <v>210</v>
      </c>
      <c r="D75" s="16">
        <f t="shared" ref="D75:D109" si="16">D74-1</f>
        <v>44326.625</v>
      </c>
      <c r="E75">
        <f>C77</f>
        <v>255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44325.625</v>
      </c>
      <c r="E76">
        <f>C79</f>
        <v>130</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44326.625</v>
      </c>
      <c r="C77">
        <f>DMAX(_xlnm.Database,"n",B76:B77)</f>
        <v>255</v>
      </c>
      <c r="D77" s="16">
        <f t="shared" si="16"/>
        <v>44324.625</v>
      </c>
      <c r="E77">
        <f>C81</f>
        <v>130</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44323.625</v>
      </c>
      <c r="E78">
        <f>C83</f>
        <v>216</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44325.625</v>
      </c>
      <c r="C79">
        <f>DMAX(_xlnm.Database,"n",B78:B79)</f>
        <v>130</v>
      </c>
      <c r="D79" s="16">
        <f t="shared" si="16"/>
        <v>44322.625</v>
      </c>
      <c r="E79">
        <f>C85</f>
        <v>238</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44321.625</v>
      </c>
      <c r="E80">
        <f>C87</f>
        <v>268</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44324.625</v>
      </c>
      <c r="C81">
        <f>DMAX(_xlnm.Database,"n",B80:B81)</f>
        <v>130</v>
      </c>
      <c r="D81" s="16">
        <f t="shared" si="16"/>
        <v>44320.625</v>
      </c>
      <c r="E81">
        <f>C89</f>
        <v>206</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44319.625</v>
      </c>
      <c r="E82">
        <f>C91</f>
        <v>318</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44323.625</v>
      </c>
      <c r="C83">
        <f>DMAX(_xlnm.Database,"n",B82:B83)</f>
        <v>216</v>
      </c>
      <c r="D83" s="16">
        <f t="shared" si="16"/>
        <v>44318.625</v>
      </c>
      <c r="E83">
        <f>C93</f>
        <v>135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44317.625</v>
      </c>
      <c r="E84">
        <f>C95</f>
        <v>105</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44322.625</v>
      </c>
      <c r="C85">
        <f>DMAX(_xlnm.Database,"n",B84:B85)</f>
        <v>238</v>
      </c>
      <c r="D85" s="16">
        <f t="shared" si="16"/>
        <v>44316.625</v>
      </c>
      <c r="E85">
        <f>C97</f>
        <v>195</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44315.625</v>
      </c>
      <c r="E86">
        <f>C99</f>
        <v>200</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44321.625</v>
      </c>
      <c r="C87">
        <f>DMAX(_xlnm.Database,"n",B86:B87)</f>
        <v>268</v>
      </c>
      <c r="D87" s="16">
        <f t="shared" si="16"/>
        <v>44314.625</v>
      </c>
      <c r="E87">
        <f>C101</f>
        <v>273</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44313.625</v>
      </c>
      <c r="E88">
        <f>C103</f>
        <v>228</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44320.625</v>
      </c>
      <c r="C89">
        <f>DMAX(_xlnm.Database,"n",B88:B89)</f>
        <v>206</v>
      </c>
      <c r="D89" s="16">
        <f t="shared" si="16"/>
        <v>44312.625</v>
      </c>
      <c r="E89">
        <f>C105</f>
        <v>243</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44311.625</v>
      </c>
      <c r="E90">
        <f>C107</f>
        <v>141</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44319.625</v>
      </c>
      <c r="C91">
        <f>DMAX(_xlnm.Database,"n",B90:B91)</f>
        <v>318</v>
      </c>
      <c r="D91" s="16">
        <f t="shared" si="16"/>
        <v>44310.625</v>
      </c>
      <c r="E91">
        <f>C109</f>
        <v>154</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44309.625</v>
      </c>
      <c r="E92">
        <f>C111</f>
        <v>255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44318.625</v>
      </c>
      <c r="C93">
        <f>DMAX(_xlnm.Database,"n",B92:B93)</f>
        <v>135</v>
      </c>
      <c r="D93" s="16">
        <f t="shared" si="16"/>
        <v>44308.625</v>
      </c>
      <c r="E93">
        <f>C113</f>
        <v>258</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44307.625</v>
      </c>
      <c r="E94">
        <f>C115</f>
        <v>233</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44317.625</v>
      </c>
      <c r="C95">
        <f>DMAX(_xlnm.Database,"n",B94:B95)</f>
        <v>105</v>
      </c>
      <c r="D95" s="16">
        <f t="shared" si="16"/>
        <v>44306.625</v>
      </c>
      <c r="E95">
        <f>C117</f>
        <v>285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44305.625</v>
      </c>
      <c r="E96">
        <f>C119</f>
        <v>283</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44316.625</v>
      </c>
      <c r="C97">
        <f>DMAX(_xlnm.Database,"n",B96:B97)</f>
        <v>195</v>
      </c>
      <c r="D97" s="16">
        <f t="shared" si="16"/>
        <v>44304.625</v>
      </c>
      <c r="E97">
        <f>C121</f>
        <v>156</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44303.625</v>
      </c>
      <c r="E98">
        <f>C123</f>
        <v>171</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44315.625</v>
      </c>
      <c r="C99">
        <f>DMAX(_xlnm.Database,"n",B98:B99)</f>
        <v>200</v>
      </c>
      <c r="D99" s="16">
        <f t="shared" si="16"/>
        <v>44302.625</v>
      </c>
      <c r="E99">
        <f>C125</f>
        <v>264</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44301.625</v>
      </c>
      <c r="E100">
        <f>C127</f>
        <v>274</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44314.625</v>
      </c>
      <c r="C101">
        <f>DMAX(_xlnm.Database,"n",B100:B101)</f>
        <v>273</v>
      </c>
      <c r="D101" s="16">
        <f t="shared" si="16"/>
        <v>44300.625</v>
      </c>
      <c r="E101">
        <f>C129</f>
        <v>345</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44299.625</v>
      </c>
      <c r="E102">
        <f>C131</f>
        <v>325</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44313.625</v>
      </c>
      <c r="C103">
        <f>DMAX(_xlnm.Database,"n",B102:B103)</f>
        <v>228</v>
      </c>
      <c r="D103" s="16">
        <f t="shared" si="16"/>
        <v>44298.625</v>
      </c>
      <c r="E103">
        <f>C133</f>
        <v>396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44297.625</v>
      </c>
      <c r="E104">
        <f>C135</f>
        <v>239</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44312.625</v>
      </c>
      <c r="C105">
        <f>DMAX(_xlnm.Database,"n",B104:B105)</f>
        <v>243</v>
      </c>
      <c r="D105" s="16">
        <f t="shared" si="16"/>
        <v>44296.625</v>
      </c>
      <c r="E105">
        <f>C137</f>
        <v>225</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44295.625</v>
      </c>
      <c r="E106">
        <f>C139</f>
        <v>350</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44311.625</v>
      </c>
      <c r="C107">
        <f>DMAX(_xlnm.Database,"n",B106:B107)</f>
        <v>141</v>
      </c>
      <c r="D107" s="16">
        <f t="shared" si="16"/>
        <v>44294.625</v>
      </c>
      <c r="E107">
        <f>C141</f>
        <v>405</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44293.625</v>
      </c>
      <c r="E108">
        <f>C143</f>
        <v>426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44310.625</v>
      </c>
      <c r="C109">
        <f>DMAX(_xlnm.Database,"n",B108:B109)</f>
        <v>154</v>
      </c>
      <c r="D109" s="16">
        <f t="shared" si="16"/>
        <v>44292.625</v>
      </c>
      <c r="E109">
        <f>C145</f>
        <v>545</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44309.625</v>
      </c>
      <c r="C111">
        <f>DMAX(_xlnm.Database,"n",B110:B111)</f>
        <v>255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44308.625</v>
      </c>
      <c r="C113">
        <f>DMAX(_xlnm.Database,"n",B112:B113)</f>
        <v>258</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44307.625</v>
      </c>
      <c r="C115">
        <f>DMAX(_xlnm.Database,"n",B114:B115)</f>
        <v>233</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44306.625</v>
      </c>
      <c r="C117">
        <f>DMAX(_xlnm.Database,"n",B116:B117)</f>
        <v>285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44305.625</v>
      </c>
      <c r="C119">
        <f>DMAX(_xlnm.Database,"n",B118:B119)</f>
        <v>283</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44304.625</v>
      </c>
      <c r="C121">
        <f>DMAX(_xlnm.Database,"n",B120:B121)</f>
        <v>156</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44303.625</v>
      </c>
      <c r="C123">
        <f>DMAX(_xlnm.Database,"n",B122:B123)</f>
        <v>171</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44302.625</v>
      </c>
      <c r="C125">
        <f>DMAX(_xlnm.Database,"n",B124:B125)</f>
        <v>264</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44301.625</v>
      </c>
      <c r="C127">
        <f>DMAX(_xlnm.Database,"n",B126:B127)</f>
        <v>274</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44300.625</v>
      </c>
      <c r="C129">
        <f>DMAX(_xlnm.Database,"n",B128:B129)</f>
        <v>345</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44299.625</v>
      </c>
      <c r="C131">
        <f>DMAX(_xlnm.Database,"n",B130:B131)</f>
        <v>325</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44298.625</v>
      </c>
      <c r="C133">
        <f>DMAX(_xlnm.Database,"n",B132:B133)</f>
        <v>396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44297.625</v>
      </c>
      <c r="C135">
        <f>DMAX(_xlnm.Database,"n",B134:B135)</f>
        <v>239</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44296.625</v>
      </c>
      <c r="C137">
        <f>DMAX(_xlnm.Database,"n",B136:B137)</f>
        <v>225</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44295.625</v>
      </c>
      <c r="C139">
        <f>DMAX(_xlnm.Database,"n",B138:B139)</f>
        <v>350</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44294.625</v>
      </c>
      <c r="C141">
        <f>DMAX(_xlnm.Database,"n",B140:B141)</f>
        <v>405</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44293.625</v>
      </c>
      <c r="C143">
        <f>DMAX(_xlnm.Database,"n",B142:B143)</f>
        <v>426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44292.625</v>
      </c>
      <c r="C145">
        <f>DMAX(_xlnm.Database,"n",B144:B145)</f>
        <v>545</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50" workbookViewId="0">
      <selection activeCell="A68" sqref="A68"/>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234.98591549295776</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203.02816901408451</v>
      </c>
      <c r="O26" s="32">
        <f>T27</f>
        <v>774</v>
      </c>
      <c r="P26" s="13">
        <f>S27</f>
        <v>44264.625</v>
      </c>
      <c r="R26" s="13"/>
      <c r="T26" s="3" t="s">
        <v>290</v>
      </c>
      <c r="U26" t="s">
        <v>299</v>
      </c>
    </row>
    <row r="27" spans="2:22">
      <c r="L27">
        <v>3</v>
      </c>
      <c r="M27" t="s">
        <v>432</v>
      </c>
      <c r="N27" s="29">
        <f>AVERAGEIF(Kaikki!E:E,L27,DataN)</f>
        <v>202.86111111111111</v>
      </c>
      <c r="O27" s="32">
        <f>T29</f>
        <v>822</v>
      </c>
      <c r="P27" s="13">
        <f>S29</f>
        <v>44265.625</v>
      </c>
      <c r="R27" s="13"/>
      <c r="S27" s="30">
        <f>DMAX(_xlnm.Database,"aika",T26:U27)</f>
        <v>44264.625</v>
      </c>
      <c r="T27" s="3">
        <f>DMAX(_xlnm.Database,"n",U26:U27)</f>
        <v>774</v>
      </c>
      <c r="U27">
        <v>2</v>
      </c>
      <c r="V27" s="3"/>
    </row>
    <row r="28" spans="2:22">
      <c r="L28">
        <v>4</v>
      </c>
      <c r="M28" t="s">
        <v>433</v>
      </c>
      <c r="N28" s="29">
        <f>AVERAGEIF(Kaikki!E:E,L28,DataN)</f>
        <v>192.90277777777777</v>
      </c>
      <c r="O28" s="32">
        <f>T31</f>
        <v>779</v>
      </c>
      <c r="P28" s="13">
        <f>S31</f>
        <v>44266.625</v>
      </c>
      <c r="R28" s="13"/>
      <c r="T28" s="3" t="s">
        <v>290</v>
      </c>
      <c r="U28" t="s">
        <v>299</v>
      </c>
    </row>
    <row r="29" spans="2:22">
      <c r="L29">
        <v>5</v>
      </c>
      <c r="M29" t="s">
        <v>434</v>
      </c>
      <c r="N29" s="29">
        <f>AVERAGEIF(Kaikki!E:E,L29,DataN)</f>
        <v>185.97222222222223</v>
      </c>
      <c r="O29" s="32">
        <f>T33</f>
        <v>808</v>
      </c>
      <c r="P29" s="13">
        <f>S33</f>
        <v>44267.625</v>
      </c>
      <c r="R29" s="13"/>
      <c r="S29" s="30">
        <f>DMAX(_xlnm.Database,"aika",T28:U29)</f>
        <v>44265.625</v>
      </c>
      <c r="T29" s="3">
        <f>DMAX(_xlnm.Database,"n",U28:U29)</f>
        <v>822</v>
      </c>
      <c r="U29">
        <v>3</v>
      </c>
      <c r="V29" s="3"/>
    </row>
    <row r="30" spans="2:22">
      <c r="L30">
        <v>6</v>
      </c>
      <c r="M30" t="s">
        <v>435</v>
      </c>
      <c r="N30" s="29">
        <f>AVERAGEIF(Kaikki!E:E,L30,DataN)</f>
        <v>115.97222222222223</v>
      </c>
      <c r="O30" s="32">
        <f>T35</f>
        <v>491</v>
      </c>
      <c r="P30" s="13">
        <f>S35</f>
        <v>44268.625</v>
      </c>
      <c r="R30" s="13"/>
      <c r="T30" s="3" t="s">
        <v>290</v>
      </c>
      <c r="U30" t="s">
        <v>299</v>
      </c>
    </row>
    <row r="31" spans="2:22">
      <c r="L31">
        <v>7</v>
      </c>
      <c r="M31" t="s">
        <v>436</v>
      </c>
      <c r="N31" s="29">
        <f>AVERAGEIF(Kaikki!E:E,L31,DataN)</f>
        <v>121.81944444444444</v>
      </c>
      <c r="O31" s="32">
        <f>T37</f>
        <v>433</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433</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16.5 n=227. Yhteensä N=90105. Edelliset 7 päivää 1233 (päivittyy), 1511 (muutos 9 %), 1385 (-15 %) ja 1624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N=90105. Uusimmat 16.5.2021 lisäykset 227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16.5.2021 n=227. Yhteensä N=90105. Melko pysyvät 7 päivää 6.5-12.5 yhteensä 1399 (muutos -2 %), aiemmat 7 päivää 1427 (-8 %) ja 1552 https://github.com/jussivirkkala/excel/tree/master/hs-koronavirus-avoindata</v>
      </c>
    </row>
    <row r="80" spans="2:2" ht="18.75">
      <c r="B80" s="23" t="str">
        <f>" COVID-19 tapauksia 7 päivän välein "&amp;TEXT(Lisäys!B73,"p.k.vvvv")&amp;" saakka (- uusin ... vanhin)."</f>
        <v xml:space="preserve"> COVID-19 tapauksia 7 päivän välein 12.5.2021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2021-05-16T14:06:47Z</dcterms:modified>
</cp:coreProperties>
</file>