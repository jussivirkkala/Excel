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8CFF63DE-4BED-4B90-A99B-69D75DA09C7F}" xr6:coauthVersionLast="45" xr6:coauthVersionMax="45" xr10:uidLastSave="{00000000-0000-0000-0000-000000000000}"/>
  <bookViews>
    <workbookView xWindow="1114" yWindow="17" windowWidth="20829" windowHeight="12326"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N68" i="2" l="1"/>
  <c r="GK68" i="2"/>
  <c r="GH68" i="2"/>
  <c r="GE68" i="2"/>
  <c r="GB68" i="2"/>
  <c r="FY68" i="2"/>
  <c r="FV68" i="2"/>
  <c r="FS68" i="2"/>
  <c r="FP68" i="2"/>
  <c r="FM68" i="2"/>
  <c r="FJ68" i="2"/>
  <c r="FG68" i="2"/>
  <c r="FD68" i="2"/>
  <c r="FA68" i="2"/>
  <c r="EX68" i="2"/>
  <c r="EU68" i="2"/>
  <c r="ER68" i="2"/>
  <c r="EO68" i="2"/>
  <c r="EL68" i="2"/>
  <c r="EI68" i="2"/>
  <c r="EF68" i="2"/>
  <c r="EC68" i="2"/>
  <c r="DZ68" i="2"/>
  <c r="DW68" i="2"/>
  <c r="ID67" i="2" l="1"/>
  <c r="IA67" i="2"/>
  <c r="HX67" i="2"/>
  <c r="HU67" i="2"/>
  <c r="HR67" i="2"/>
  <c r="HO67" i="2"/>
  <c r="HL67" i="2"/>
  <c r="HI67" i="2"/>
  <c r="HF67" i="2"/>
  <c r="HC67" i="2"/>
  <c r="GZ67" i="2"/>
  <c r="GW67" i="2"/>
  <c r="ID66" i="2"/>
  <c r="ID68" i="2" s="1"/>
  <c r="IA66" i="2"/>
  <c r="IA68" i="2" s="1"/>
  <c r="HX66" i="2"/>
  <c r="HX68" i="2" s="1"/>
  <c r="HU66" i="2"/>
  <c r="HU68" i="2" s="1"/>
  <c r="HR66" i="2"/>
  <c r="HR68" i="2" s="1"/>
  <c r="HO66" i="2"/>
  <c r="HO68" i="2" s="1"/>
  <c r="HL66" i="2"/>
  <c r="HL68" i="2" s="1"/>
  <c r="HI66" i="2"/>
  <c r="HI68" i="2" s="1"/>
  <c r="HF66" i="2"/>
  <c r="HF68" i="2" s="1"/>
  <c r="HC66" i="2"/>
  <c r="HC68" i="2" s="1"/>
  <c r="GZ66" i="2"/>
  <c r="GZ68" i="2" s="1"/>
  <c r="GW66" i="2"/>
  <c r="GW68" i="2" s="1"/>
  <c r="I343" i="1" l="1"/>
  <c r="I336" i="1"/>
  <c r="I329" i="1"/>
  <c r="I322" i="1"/>
  <c r="I315" i="1"/>
  <c r="I308" i="1"/>
  <c r="I301" i="1"/>
  <c r="I294" i="1"/>
  <c r="I287" i="1"/>
  <c r="I280" i="1"/>
  <c r="I273" i="1"/>
  <c r="I259" i="1"/>
  <c r="I266" i="1"/>
  <c r="GQ68" i="2" l="1"/>
  <c r="GT68" i="2"/>
  <c r="V68" i="2"/>
  <c r="Y68" i="2"/>
  <c r="AB68" i="2"/>
  <c r="S68" i="2"/>
  <c r="GT67" i="2"/>
  <c r="GQ67" i="2"/>
  <c r="GN67" i="2"/>
  <c r="GK67" i="2"/>
  <c r="GH67" i="2"/>
  <c r="GE67" i="2"/>
  <c r="GB67" i="2"/>
  <c r="GT66" i="2"/>
  <c r="GQ66" i="2"/>
  <c r="GN66" i="2"/>
  <c r="GK66" i="2"/>
  <c r="GH66" i="2"/>
  <c r="GE66" i="2"/>
  <c r="GB66" i="2"/>
  <c r="FY67" i="2" l="1"/>
  <c r="FV67" i="2"/>
  <c r="FS67" i="2"/>
  <c r="FP67" i="2"/>
  <c r="FM67" i="2"/>
  <c r="FJ67" i="2"/>
  <c r="FG67" i="2"/>
  <c r="FD67" i="2"/>
  <c r="FA67" i="2"/>
  <c r="P66" i="2" l="1"/>
  <c r="N70" i="2" s="1"/>
  <c r="FY66" i="2"/>
  <c r="FV66" i="2"/>
  <c r="FS66" i="2"/>
  <c r="FP66" i="2"/>
  <c r="FM66" i="2"/>
  <c r="FJ66" i="2"/>
  <c r="FG66" i="2"/>
  <c r="FD66" i="2"/>
  <c r="FA66" i="2"/>
  <c r="EX66" i="2"/>
  <c r="EU66" i="2"/>
  <c r="ER66" i="2"/>
  <c r="EO66" i="2"/>
  <c r="EL66" i="2"/>
  <c r="EI66" i="2"/>
  <c r="EF66" i="2"/>
  <c r="EC66" i="2"/>
  <c r="DZ66" i="2"/>
  <c r="DW66" i="2"/>
  <c r="DT66" i="2"/>
  <c r="DQ66" i="2"/>
  <c r="DN66" i="2"/>
  <c r="DK66" i="2"/>
  <c r="DH66" i="2"/>
  <c r="DE66" i="2"/>
  <c r="DB66" i="2"/>
  <c r="CY66" i="2"/>
  <c r="CV66" i="2"/>
  <c r="CS66" i="2"/>
  <c r="CP66" i="2"/>
  <c r="CM66" i="2"/>
  <c r="CJ66" i="2"/>
  <c r="CG66" i="2"/>
  <c r="CD66" i="2"/>
  <c r="CA66" i="2"/>
  <c r="BX66" i="2"/>
  <c r="BU66" i="2"/>
  <c r="BR66" i="2"/>
  <c r="BO66" i="2"/>
  <c r="BL66" i="2"/>
  <c r="BI66" i="2"/>
  <c r="BF66" i="2"/>
  <c r="BC66" i="2"/>
  <c r="AZ66" i="2"/>
  <c r="AW66" i="2"/>
  <c r="AT66" i="2"/>
  <c r="AQ66" i="2"/>
  <c r="AN66" i="2"/>
  <c r="AK66" i="2"/>
  <c r="AH66" i="2"/>
  <c r="AE66" i="2"/>
  <c r="AB66" i="2"/>
  <c r="Y66" i="2"/>
  <c r="V66" i="2"/>
  <c r="S66" i="2"/>
  <c r="N80" i="2" l="1"/>
  <c r="N71" i="2"/>
  <c r="EX67" i="2"/>
  <c r="EU67" i="2"/>
  <c r="ER67" i="2"/>
  <c r="EO67" i="2"/>
  <c r="EL67" i="2"/>
  <c r="EI67" i="2"/>
  <c r="EF67" i="2"/>
  <c r="EC67" i="2"/>
  <c r="DZ67" i="2"/>
  <c r="DW67" i="2"/>
  <c r="DT67" i="2"/>
  <c r="DQ67" i="2"/>
  <c r="DN67" i="2"/>
  <c r="DK67" i="2"/>
  <c r="DH67" i="2"/>
  <c r="DE67" i="2"/>
  <c r="DB67" i="2"/>
  <c r="CY67" i="2"/>
  <c r="CV67" i="2"/>
  <c r="CS67" i="2"/>
  <c r="CP67" i="2"/>
  <c r="CM67" i="2"/>
  <c r="CJ67" i="2"/>
  <c r="R80" i="2" l="1"/>
  <c r="T80" i="2" s="1"/>
  <c r="T81" i="2" s="1"/>
  <c r="T82" i="2" s="1"/>
  <c r="T83" i="2" s="1"/>
  <c r="T84" i="2" s="1"/>
  <c r="T85" i="2" s="1"/>
  <c r="T86" i="2" s="1"/>
  <c r="T87" i="2" s="1"/>
  <c r="T88" i="2" s="1"/>
  <c r="T89" i="2" s="1"/>
  <c r="R104" i="2"/>
  <c r="N101" i="2" s="1"/>
  <c r="S80" i="2"/>
  <c r="U80" i="2" s="1"/>
  <c r="O71" i="2"/>
  <c r="N72" i="2"/>
  <c r="N82" i="2"/>
  <c r="P80" i="2"/>
  <c r="P81" i="2" s="1"/>
  <c r="P82" i="2" s="1"/>
  <c r="P83" i="2" s="1"/>
  <c r="P84" i="2" s="1"/>
  <c r="P85" i="2" s="1"/>
  <c r="P86" i="2" s="1"/>
  <c r="P87" i="2" s="1"/>
  <c r="P88" i="2" s="1"/>
  <c r="P89" i="2" s="1"/>
  <c r="O80" i="2"/>
  <c r="Q80" i="2" s="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R82" i="2" l="1"/>
  <c r="V80" i="2"/>
  <c r="Z80" i="2" s="1"/>
  <c r="AD80" i="2" s="1"/>
  <c r="R106" i="2"/>
  <c r="T104" i="2"/>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S104" i="2"/>
  <c r="U104" i="2" s="1"/>
  <c r="R84" i="2"/>
  <c r="S82" i="2"/>
  <c r="U81" i="2" s="1"/>
  <c r="V82" i="2"/>
  <c r="W80" i="2"/>
  <c r="Y80" i="2" s="1"/>
  <c r="N84" i="2"/>
  <c r="O82" i="2"/>
  <c r="Q81" i="2" s="1"/>
  <c r="N73" i="2"/>
  <c r="O72" i="2"/>
  <c r="M1" i="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X80" i="2" l="1"/>
  <c r="X81" i="2" s="1"/>
  <c r="X82" i="2" s="1"/>
  <c r="X83" i="2" s="1"/>
  <c r="X84" i="2" s="1"/>
  <c r="X85" i="2" s="1"/>
  <c r="X86" i="2" s="1"/>
  <c r="X87" i="2" s="1"/>
  <c r="X88" i="2" s="1"/>
  <c r="X89" i="2" s="1"/>
  <c r="AD82" i="2"/>
  <c r="AH80" i="2"/>
  <c r="AE80" i="2"/>
  <c r="AG80" i="2" s="1"/>
  <c r="AF80" i="2"/>
  <c r="AF81" i="2" s="1"/>
  <c r="AF82" i="2" s="1"/>
  <c r="AF83" i="2" s="1"/>
  <c r="AF84" i="2" s="1"/>
  <c r="AF85" i="2" s="1"/>
  <c r="AF86" i="2" s="1"/>
  <c r="AF87" i="2" s="1"/>
  <c r="AF88" i="2" s="1"/>
  <c r="AF89" i="2" s="1"/>
  <c r="R108" i="2"/>
  <c r="S106" i="2"/>
  <c r="U105" i="2" s="1"/>
  <c r="Z82" i="2"/>
  <c r="AB80" i="2"/>
  <c r="AB81" i="2" s="1"/>
  <c r="AB82" i="2" s="1"/>
  <c r="AB83" i="2" s="1"/>
  <c r="AB84" i="2" s="1"/>
  <c r="AB85" i="2" s="1"/>
  <c r="AB86" i="2" s="1"/>
  <c r="AB87" i="2" s="1"/>
  <c r="AB88" i="2" s="1"/>
  <c r="AB89" i="2" s="1"/>
  <c r="AA80" i="2"/>
  <c r="AC80" i="2" s="1"/>
  <c r="W82" i="2"/>
  <c r="Y81" i="2" s="1"/>
  <c r="V84" i="2"/>
  <c r="R86" i="2"/>
  <c r="S84" i="2"/>
  <c r="U82" i="2" s="1"/>
  <c r="N74" i="2"/>
  <c r="O73" i="2"/>
  <c r="N86" i="2"/>
  <c r="O84" i="2"/>
  <c r="Q82" i="2" s="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AD84" i="2" l="1"/>
  <c r="AE82" i="2"/>
  <c r="AG81" i="2" s="1"/>
  <c r="AH82" i="2"/>
  <c r="AL80" i="2"/>
  <c r="AI80" i="2"/>
  <c r="AK80" i="2" s="1"/>
  <c r="AJ80" i="2"/>
  <c r="AJ81" i="2" s="1"/>
  <c r="AJ82" i="2" s="1"/>
  <c r="AJ83" i="2" s="1"/>
  <c r="AJ84" i="2" s="1"/>
  <c r="AJ85" i="2" s="1"/>
  <c r="AJ86" i="2" s="1"/>
  <c r="AJ87" i="2" s="1"/>
  <c r="AJ88" i="2" s="1"/>
  <c r="AJ89" i="2" s="1"/>
  <c r="R110" i="2"/>
  <c r="S108" i="2"/>
  <c r="U106" i="2" s="1"/>
  <c r="R88" i="2"/>
  <c r="S86" i="2"/>
  <c r="U83" i="2" s="1"/>
  <c r="V86" i="2"/>
  <c r="W84" i="2"/>
  <c r="Y82" i="2" s="1"/>
  <c r="Z84" i="2"/>
  <c r="AA82" i="2"/>
  <c r="AC81" i="2" s="1"/>
  <c r="N88" i="2"/>
  <c r="O86" i="2"/>
  <c r="Q83" i="2" s="1"/>
  <c r="N75" i="2"/>
  <c r="O74" i="2"/>
  <c r="CG67" i="2"/>
  <c r="CD67" i="2"/>
  <c r="CA67" i="2"/>
  <c r="BX67" i="2"/>
  <c r="BU67" i="2"/>
  <c r="BR67" i="2"/>
  <c r="BO67" i="2"/>
  <c r="AL82" i="2" l="1"/>
  <c r="AP80" i="2"/>
  <c r="AM80" i="2"/>
  <c r="AO80" i="2" s="1"/>
  <c r="AN80" i="2"/>
  <c r="AN81" i="2" s="1"/>
  <c r="AN82" i="2" s="1"/>
  <c r="AN83" i="2" s="1"/>
  <c r="AN84" i="2" s="1"/>
  <c r="AN85" i="2" s="1"/>
  <c r="AN86" i="2" s="1"/>
  <c r="AN87" i="2" s="1"/>
  <c r="AN88" i="2" s="1"/>
  <c r="AN89" i="2" s="1"/>
  <c r="AI82" i="2"/>
  <c r="AK81" i="2" s="1"/>
  <c r="AH84" i="2"/>
  <c r="AD86" i="2"/>
  <c r="AE84" i="2"/>
  <c r="AG82" i="2" s="1"/>
  <c r="R112" i="2"/>
  <c r="S110" i="2"/>
  <c r="U107" i="2" s="1"/>
  <c r="W86" i="2"/>
  <c r="Y83" i="2" s="1"/>
  <c r="V88" i="2"/>
  <c r="Z86" i="2"/>
  <c r="AA84" i="2"/>
  <c r="AC82" i="2" s="1"/>
  <c r="R90" i="2"/>
  <c r="S88" i="2"/>
  <c r="U84" i="2" s="1"/>
  <c r="N76" i="2"/>
  <c r="O75" i="2"/>
  <c r="N90" i="2"/>
  <c r="O88" i="2"/>
  <c r="Q84" i="2" s="1"/>
  <c r="BL67" i="2"/>
  <c r="BI67" i="2"/>
  <c r="AT67" i="2"/>
  <c r="AD88" i="2" l="1"/>
  <c r="AE86" i="2"/>
  <c r="AG83" i="2" s="1"/>
  <c r="AH86" i="2"/>
  <c r="AI84" i="2"/>
  <c r="AK82" i="2" s="1"/>
  <c r="AP82" i="2"/>
  <c r="AQ80" i="2"/>
  <c r="AS80" i="2" s="1"/>
  <c r="AR80" i="2"/>
  <c r="AR81" i="2" s="1"/>
  <c r="AR82" i="2" s="1"/>
  <c r="AR83" i="2" s="1"/>
  <c r="AR84" i="2" s="1"/>
  <c r="AR85" i="2" s="1"/>
  <c r="AR86" i="2" s="1"/>
  <c r="AR87" i="2" s="1"/>
  <c r="AR88" i="2" s="1"/>
  <c r="AR89" i="2" s="1"/>
  <c r="AL84" i="2"/>
  <c r="AM82" i="2"/>
  <c r="AO81" i="2" s="1"/>
  <c r="R114" i="2"/>
  <c r="S112" i="2"/>
  <c r="U108" i="2" s="1"/>
  <c r="AA86" i="2"/>
  <c r="AC83" i="2" s="1"/>
  <c r="Z88" i="2"/>
  <c r="V90" i="2"/>
  <c r="W88" i="2"/>
  <c r="Y84" i="2" s="1"/>
  <c r="R92" i="2"/>
  <c r="S90" i="2"/>
  <c r="U85" i="2" s="1"/>
  <c r="N92" i="2"/>
  <c r="O90" i="2"/>
  <c r="Q85" i="2" s="1"/>
  <c r="N77" i="2"/>
  <c r="O77" i="2" s="1"/>
  <c r="O76" i="2"/>
  <c r="BC67" i="2"/>
  <c r="BF67" i="2"/>
  <c r="AZ67" i="2"/>
  <c r="AL86" i="2" l="1"/>
  <c r="AM84" i="2"/>
  <c r="AO82" i="2" s="1"/>
  <c r="AI86" i="2"/>
  <c r="AK83" i="2" s="1"/>
  <c r="AH88" i="2"/>
  <c r="AP84" i="2"/>
  <c r="AQ82" i="2"/>
  <c r="AS81" i="2" s="1"/>
  <c r="AD90" i="2"/>
  <c r="AE88" i="2"/>
  <c r="AG84" i="2" s="1"/>
  <c r="R116" i="2"/>
  <c r="S114" i="2"/>
  <c r="U109" i="2" s="1"/>
  <c r="V92" i="2"/>
  <c r="W90" i="2"/>
  <c r="Y85" i="2" s="1"/>
  <c r="Z90" i="2"/>
  <c r="AA88" i="2"/>
  <c r="AC84" i="2" s="1"/>
  <c r="R94" i="2"/>
  <c r="S92" i="2"/>
  <c r="U86" i="2" s="1"/>
  <c r="N94" i="2"/>
  <c r="O92" i="2"/>
  <c r="Q86" i="2" s="1"/>
  <c r="AW67" i="2"/>
  <c r="AH90" i="2" l="1"/>
  <c r="AI88" i="2"/>
  <c r="AK84" i="2" s="1"/>
  <c r="AE90" i="2"/>
  <c r="AG85" i="2" s="1"/>
  <c r="AD92" i="2"/>
  <c r="AP86" i="2"/>
  <c r="AQ84" i="2"/>
  <c r="AS82" i="2" s="1"/>
  <c r="AM86" i="2"/>
  <c r="AO83" i="2" s="1"/>
  <c r="AL88" i="2"/>
  <c r="R118" i="2"/>
  <c r="S116" i="2"/>
  <c r="U110" i="2" s="1"/>
  <c r="AA90" i="2"/>
  <c r="AC85" i="2" s="1"/>
  <c r="Z92" i="2"/>
  <c r="R96" i="2"/>
  <c r="S94" i="2"/>
  <c r="U87" i="2" s="1"/>
  <c r="V94" i="2"/>
  <c r="W92" i="2"/>
  <c r="Y86" i="2" s="1"/>
  <c r="N96" i="2"/>
  <c r="O94" i="2"/>
  <c r="Q87" i="2" s="1"/>
  <c r="AQ67" i="2"/>
  <c r="AN67" i="2"/>
  <c r="AL90" i="2" l="1"/>
  <c r="AM88" i="2"/>
  <c r="AO84" i="2" s="1"/>
  <c r="AD94" i="2"/>
  <c r="AE92" i="2"/>
  <c r="AG86" i="2" s="1"/>
  <c r="AQ86" i="2"/>
  <c r="AS83" i="2" s="1"/>
  <c r="AP88" i="2"/>
  <c r="AH92" i="2"/>
  <c r="AI90" i="2"/>
  <c r="AK85" i="2" s="1"/>
  <c r="R120" i="2"/>
  <c r="S118" i="2"/>
  <c r="U111" i="2" s="1"/>
  <c r="R98" i="2"/>
  <c r="S98" i="2" s="1"/>
  <c r="U89" i="2" s="1"/>
  <c r="S96" i="2"/>
  <c r="U88" i="2" s="1"/>
  <c r="AA92" i="2"/>
  <c r="AC86" i="2" s="1"/>
  <c r="Z94" i="2"/>
  <c r="W94" i="2"/>
  <c r="Y87" i="2" s="1"/>
  <c r="V96" i="2"/>
  <c r="N98" i="2"/>
  <c r="O98" i="2" s="1"/>
  <c r="Q89" i="2" s="1"/>
  <c r="O96" i="2"/>
  <c r="Q88" i="2" s="1"/>
  <c r="AK67" i="2"/>
  <c r="AH67" i="2"/>
  <c r="Y67" i="2"/>
  <c r="AI92" i="2" l="1"/>
  <c r="AK86" i="2" s="1"/>
  <c r="AH94" i="2"/>
  <c r="AE94" i="2"/>
  <c r="AG87" i="2" s="1"/>
  <c r="AD96" i="2"/>
  <c r="AP90" i="2"/>
  <c r="AQ88" i="2"/>
  <c r="AS84" i="2" s="1"/>
  <c r="AM90" i="2"/>
  <c r="AO85" i="2" s="1"/>
  <c r="AL92" i="2"/>
  <c r="R122" i="2"/>
  <c r="S120" i="2"/>
  <c r="U112" i="2" s="1"/>
  <c r="AA94" i="2"/>
  <c r="AC87" i="2" s="1"/>
  <c r="Z96" i="2"/>
  <c r="V98" i="2"/>
  <c r="W98" i="2" s="1"/>
  <c r="Y89" i="2" s="1"/>
  <c r="W96" i="2"/>
  <c r="Y88" i="2" s="1"/>
  <c r="AE67" i="2"/>
  <c r="AB67" i="2"/>
  <c r="AP92" i="2" l="1"/>
  <c r="AQ90" i="2"/>
  <c r="AS85" i="2" s="1"/>
  <c r="AL94" i="2"/>
  <c r="AM92" i="2"/>
  <c r="AO86" i="2" s="1"/>
  <c r="AE96" i="2"/>
  <c r="AG88" i="2" s="1"/>
  <c r="AD98" i="2"/>
  <c r="AE98" i="2" s="1"/>
  <c r="AG89" i="2" s="1"/>
  <c r="AH96" i="2"/>
  <c r="AI94" i="2"/>
  <c r="AK87" i="2" s="1"/>
  <c r="R124" i="2"/>
  <c r="S122" i="2"/>
  <c r="U113" i="2" s="1"/>
  <c r="Z98" i="2"/>
  <c r="AA98" i="2" s="1"/>
  <c r="AC89" i="2" s="1"/>
  <c r="AA96" i="2"/>
  <c r="AC88" i="2" s="1"/>
  <c r="V67" i="2"/>
  <c r="AH98" i="2" l="1"/>
  <c r="AI98" i="2" s="1"/>
  <c r="AK89" i="2" s="1"/>
  <c r="AI96" i="2"/>
  <c r="AK88" i="2" s="1"/>
  <c r="AM94" i="2"/>
  <c r="AO87" i="2" s="1"/>
  <c r="AL96" i="2"/>
  <c r="AQ92" i="2"/>
  <c r="AS86" i="2" s="1"/>
  <c r="AP94" i="2"/>
  <c r="S124" i="2"/>
  <c r="U114" i="2" s="1"/>
  <c r="R126" i="2"/>
  <c r="S67" i="2"/>
  <c r="AL98" i="2" l="1"/>
  <c r="AM98" i="2" s="1"/>
  <c r="AO89" i="2" s="1"/>
  <c r="AM96" i="2"/>
  <c r="AO88" i="2" s="1"/>
  <c r="AP96" i="2"/>
  <c r="AQ94" i="2"/>
  <c r="AS87" i="2" s="1"/>
  <c r="S126" i="2"/>
  <c r="U115" i="2" s="1"/>
  <c r="R128"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AP98" i="2" l="1"/>
  <c r="AQ98" i="2" s="1"/>
  <c r="AS89" i="2" s="1"/>
  <c r="AQ96" i="2"/>
  <c r="AS88" i="2" s="1"/>
  <c r="R130" i="2"/>
  <c r="S128" i="2"/>
  <c r="U116" i="2" s="1"/>
  <c r="K36" i="1"/>
  <c r="K31" i="1"/>
  <c r="K33" i="1"/>
  <c r="K30" i="1"/>
  <c r="K34" i="1"/>
  <c r="K35" i="1"/>
  <c r="K32" i="1"/>
  <c r="S130" i="2" l="1"/>
  <c r="U117" i="2" s="1"/>
  <c r="R132" i="2"/>
  <c r="J1" i="1"/>
  <c r="R134" i="2" l="1"/>
  <c r="S132" i="2"/>
  <c r="U118" i="2" s="1"/>
  <c r="K1" i="1"/>
  <c r="L1" i="1" s="1"/>
  <c r="H1" i="1"/>
  <c r="S134" i="2" l="1"/>
  <c r="U119" i="2" s="1"/>
  <c r="R136" i="2"/>
  <c r="B65" i="2"/>
  <c r="A65" i="2" s="1"/>
  <c r="R138" i="2" l="1"/>
  <c r="S136" i="2"/>
  <c r="U120" i="2" s="1"/>
  <c r="C65" i="2"/>
  <c r="F65" i="2"/>
  <c r="S138" i="2" l="1"/>
  <c r="U121" i="2" s="1"/>
  <c r="R140" i="2"/>
  <c r="P67" i="2"/>
  <c r="P68" i="2" s="1"/>
  <c r="B64" i="2"/>
  <c r="A64" i="2" s="1"/>
  <c r="A34" i="2" l="1"/>
  <c r="R142" i="2"/>
  <c r="S140" i="2"/>
  <c r="U122" i="2" s="1"/>
  <c r="O70" i="2"/>
  <c r="C64" i="2"/>
  <c r="F64" i="2"/>
  <c r="B63" i="2"/>
  <c r="A63" i="2" s="1"/>
  <c r="S142" i="2" l="1"/>
  <c r="U123" i="2" s="1"/>
  <c r="R144" i="2"/>
  <c r="F63" i="2"/>
  <c r="C63" i="2"/>
  <c r="B62" i="2"/>
  <c r="A62" i="2" s="1"/>
  <c r="R146" i="2" l="1"/>
  <c r="S144" i="2"/>
  <c r="U124" i="2" s="1"/>
  <c r="F62" i="2"/>
  <c r="C62" i="2"/>
  <c r="B61" i="2"/>
  <c r="A61" i="2" s="1"/>
  <c r="S146" i="2" l="1"/>
  <c r="U125" i="2" s="1"/>
  <c r="R148" i="2"/>
  <c r="F61" i="2"/>
  <c r="C61" i="2"/>
  <c r="B60" i="2"/>
  <c r="A60" i="2" s="1"/>
  <c r="R150" i="2" l="1"/>
  <c r="S148" i="2"/>
  <c r="U126" i="2" s="1"/>
  <c r="F60" i="2"/>
  <c r="C60" i="2"/>
  <c r="B59" i="2"/>
  <c r="A59" i="2" s="1"/>
  <c r="S150" i="2" l="1"/>
  <c r="U127" i="2" s="1"/>
  <c r="R152" i="2"/>
  <c r="F59" i="2"/>
  <c r="C59" i="2"/>
  <c r="B58" i="2"/>
  <c r="A58" i="2" s="1"/>
  <c r="R154" i="2" l="1"/>
  <c r="S152" i="2"/>
  <c r="U128" i="2" s="1"/>
  <c r="F58" i="2"/>
  <c r="C58" i="2"/>
  <c r="B57" i="2"/>
  <c r="A57" i="2" s="1"/>
  <c r="D63" i="2"/>
  <c r="E63" i="2" s="1"/>
  <c r="R156" i="2" l="1"/>
  <c r="S154" i="2"/>
  <c r="U129" i="2" s="1"/>
  <c r="F57" i="2"/>
  <c r="C57" i="2"/>
  <c r="D58" i="2" s="1"/>
  <c r="B56" i="2"/>
  <c r="A56" i="2" s="1"/>
  <c r="D60" i="2"/>
  <c r="E60" i="2" s="1"/>
  <c r="D61" i="2"/>
  <c r="E61" i="2" s="1"/>
  <c r="D59" i="2"/>
  <c r="E59" i="2" s="1"/>
  <c r="D64" i="2"/>
  <c r="E64" i="2" s="1"/>
  <c r="D62" i="2"/>
  <c r="E62" i="2" s="1"/>
  <c r="D65" i="2"/>
  <c r="E65" i="2" s="1"/>
  <c r="R158" i="2" l="1"/>
  <c r="S156" i="2"/>
  <c r="U130" i="2" s="1"/>
  <c r="G58" i="2"/>
  <c r="E58" i="2"/>
  <c r="F56" i="2"/>
  <c r="C56" i="2"/>
  <c r="D57" i="2" s="1"/>
  <c r="E57" i="2" s="1"/>
  <c r="B55" i="2"/>
  <c r="A55" i="2" s="1"/>
  <c r="R160" i="2" l="1"/>
  <c r="S158" i="2"/>
  <c r="U131" i="2" s="1"/>
  <c r="F55" i="2"/>
  <c r="C55" i="2"/>
  <c r="D56" i="2" s="1"/>
  <c r="B54" i="2"/>
  <c r="A54" i="2" s="1"/>
  <c r="R162" i="2" l="1"/>
  <c r="S160" i="2"/>
  <c r="U132" i="2" s="1"/>
  <c r="E56" i="2"/>
  <c r="F54" i="2"/>
  <c r="C54" i="2"/>
  <c r="D55" i="2" s="1"/>
  <c r="B53" i="2"/>
  <c r="A53" i="2" s="1"/>
  <c r="R164" i="2" l="1"/>
  <c r="S162" i="2"/>
  <c r="U133" i="2" s="1"/>
  <c r="E55" i="2"/>
  <c r="J55" i="2"/>
  <c r="F53" i="2"/>
  <c r="C53" i="2"/>
  <c r="D54" i="2" s="1"/>
  <c r="B52" i="2"/>
  <c r="A52" i="2" s="1"/>
  <c r="R166" i="2" l="1"/>
  <c r="S164" i="2"/>
  <c r="U134" i="2" s="1"/>
  <c r="E54" i="2"/>
  <c r="F52" i="2"/>
  <c r="C52" i="2"/>
  <c r="D53" i="2" s="1"/>
  <c r="E53" i="2" s="1"/>
  <c r="B51" i="2"/>
  <c r="A51" i="2" s="1"/>
  <c r="S166" i="2" l="1"/>
  <c r="U135" i="2" s="1"/>
  <c r="R168" i="2"/>
  <c r="F51" i="2"/>
  <c r="C51" i="2"/>
  <c r="D52" i="2" s="1"/>
  <c r="E52" i="2" s="1"/>
  <c r="B50" i="2"/>
  <c r="A50" i="2" s="1"/>
  <c r="S168" i="2" l="1"/>
  <c r="U136" i="2" s="1"/>
  <c r="R170" i="2"/>
  <c r="F50" i="2"/>
  <c r="C50" i="2"/>
  <c r="D51" i="2" s="1"/>
  <c r="G51" i="2" s="1"/>
  <c r="H58" i="2" s="1"/>
  <c r="B49" i="2"/>
  <c r="A49" i="2" s="1"/>
  <c r="R172" i="2" l="1"/>
  <c r="S170" i="2"/>
  <c r="U137" i="2" s="1"/>
  <c r="E51" i="2"/>
  <c r="I51" i="2"/>
  <c r="F49" i="2"/>
  <c r="C49" i="2"/>
  <c r="D50" i="2" s="1"/>
  <c r="E50" i="2" s="1"/>
  <c r="B48" i="2"/>
  <c r="A48" i="2" s="1"/>
  <c r="R174" i="2" l="1"/>
  <c r="S172" i="2"/>
  <c r="U138" i="2" s="1"/>
  <c r="F48" i="2"/>
  <c r="C48" i="2"/>
  <c r="D49" i="2" s="1"/>
  <c r="E49" i="2" s="1"/>
  <c r="B47" i="2"/>
  <c r="A47" i="2" s="1"/>
  <c r="R176" i="2" l="1"/>
  <c r="S176" i="2" s="1"/>
  <c r="U140" i="2" s="1"/>
  <c r="S174" i="2"/>
  <c r="U139" i="2" s="1"/>
  <c r="F47" i="2"/>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G37" i="2"/>
  <c r="H44" i="2" s="1"/>
  <c r="E35" i="2" l="1"/>
  <c r="P28" i="2" s="1"/>
  <c r="A32" i="2" s="1"/>
  <c r="A31" i="2" l="1"/>
</calcChain>
</file>

<file path=xl/sharedStrings.xml><?xml version="1.0" encoding="utf-8"?>
<sst xmlns="http://schemas.openxmlformats.org/spreadsheetml/2006/main" count="862" uniqueCount="389">
  <si>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</si>
  <si>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</si>
  <si>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</si>
  <si>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</si>
  <si>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</si>
  <si>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</si>
  <si>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</si>
  <si>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</si>
  <si>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</si>
  <si>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</si>
  <si>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</si>
  <si>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</si>
  <si>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</si>
  <si>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</si>
  <si>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</si>
  <si>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</si>
  <si>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</si>
  <si>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</si>
  <si>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</si>
  <si>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</si>
  <si>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</si>
  <si>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</si>
  <si>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</si>
  <si>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</si>
  <si>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</si>
  <si>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</si>
  <si>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</si>
  <si>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</si>
  <si>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</si>
  <si>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</si>
  <si>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</si>
  <si>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</si>
  <si>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</si>
  <si>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</si>
  <si>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</si>
  <si>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</si>
  <si>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</si>
  <si>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</si>
  <si>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</si>
  <si>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</si>
  <si>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</si>
  <si>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</si>
  <si>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</si>
  <si>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</si>
  <si>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</si>
  <si>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</si>
  <si>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</si>
  <si>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</si>
  <si>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</si>
  <si>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</si>
  <si>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</si>
  <si>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</si>
  <si>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</si>
  <si>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</si>
  <si>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</si>
  <si>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</si>
  <si>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</si>
  <si>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</si>
  <si>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</si>
  <si>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</si>
  <si>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</si>
  <si>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</si>
  <si>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</si>
  <si>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</si>
  <si>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</si>
  <si>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</si>
  <si>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</si>
  <si>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</si>
  <si>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</si>
  <si>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</si>
  <si>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</si>
  <si>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</si>
  <si>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</si>
  <si>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</si>
  <si>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</si>
  <si>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</si>
  <si>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</si>
  <si>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</si>
  <si>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</si>
  <si>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</si>
  <si>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</si>
  <si>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</si>
  <si>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</si>
  <si>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</si>
  <si>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</si>
  <si>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</si>
  <si>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</si>
  <si>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</si>
  <si>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</si>
  <si>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</si>
  <si>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</si>
  <si>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</si>
  <si>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</si>
  <si>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</si>
  <si>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</si>
  <si>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</si>
  <si>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</si>
  <si>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</si>
  <si>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</si>
  <si>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</si>
  <si>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</si>
  <si>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</si>
  <si>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</si>
  <si>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</si>
  <si>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</si>
  <si>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</si>
  <si>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</si>
  <si>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</si>
  <si>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</si>
  <si>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</si>
  <si>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</si>
  <si>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</si>
  <si>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</si>
  <si>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</si>
  <si>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</si>
  <si>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</si>
  <si>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</si>
  <si>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</si>
  <si>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</si>
  <si>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</si>
  <si>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</si>
  <si>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</si>
  <si>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</si>
  <si>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</si>
  <si>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</si>
  <si>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</si>
  <si>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</si>
  <si>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</si>
  <si>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</si>
  <si>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</si>
  <si>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</si>
  <si>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</si>
  <si>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</si>
  <si>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</si>
  <si>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</si>
  <si>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</si>
  <si>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</si>
  <si>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</si>
  <si>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</si>
  <si>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</si>
  <si>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</si>
  <si>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</si>
  <si>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</si>
  <si>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</si>
  <si>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</si>
  <si>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</si>
  <si>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</si>
  <si>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</si>
  <si>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</si>
  <si>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</si>
  <si>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</si>
  <si>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</si>
  <si>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</si>
  <si>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</si>
  <si>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</si>
  <si>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</si>
  <si>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</si>
  <si>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</si>
  <si>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</si>
  <si>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</si>
  <si>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</si>
  <si>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</si>
  <si>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</si>
  <si>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</si>
  <si>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</si>
  <si>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</si>
  <si>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</si>
  <si>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</si>
  <si>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</si>
  <si>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</si>
  <si>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</si>
  <si>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</si>
  <si>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</si>
  <si>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</si>
  <si>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</si>
  <si>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</si>
  <si>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</si>
  <si>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</si>
  <si>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</si>
  <si>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</si>
  <si>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</si>
  <si>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</si>
  <si>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</si>
  <si>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</si>
  <si>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</si>
  <si>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</si>
  <si>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</si>
  <si>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</si>
  <si>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</si>
  <si>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</si>
  <si>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</si>
  <si>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</si>
  <si>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</si>
  <si>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</si>
  <si>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</si>
  <si>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</si>
  <si>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</si>
  <si>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</si>
  <si>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</si>
  <si>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</si>
  <si>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</si>
  <si>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</si>
  <si>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</si>
  <si>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</si>
  <si>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</si>
  <si>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</si>
  <si>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</si>
  <si>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</si>
  <si>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</si>
  <si>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</si>
  <si>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</si>
  <si>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</si>
  <si>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</si>
  <si>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</si>
  <si>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</si>
  <si>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</si>
  <si>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</si>
  <si>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</si>
  <si>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</si>
  <si>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</si>
  <si>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</si>
  <si>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</si>
  <si>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</si>
  <si>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</si>
  <si>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</si>
  <si>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</si>
  <si>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</si>
  <si>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</si>
  <si>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</si>
  <si>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</si>
  <si>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</si>
  <si>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</si>
  <si>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</si>
  <si>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</si>
  <si>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</si>
  <si>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</si>
  <si>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</si>
  <si>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</si>
  <si>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</si>
  <si>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</si>
  <si>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</si>
  <si>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</si>
  <si>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</si>
  <si>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</si>
  <si>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</si>
  <si>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</si>
  <si>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</si>
  <si>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</si>
  <si>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</si>
  <si>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</si>
  <si>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</si>
  <si>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</si>
  <si>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</si>
  <si>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</si>
  <si>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</si>
  <si>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</si>
  <si>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</si>
  <si>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</si>
  <si>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</si>
  <si>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</si>
  <si>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</si>
  <si>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</si>
  <si>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</si>
  <si>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</si>
  <si>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</si>
  <si>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</si>
  <si>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</si>
  <si>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</si>
  <si>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</si>
  <si>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</si>
  <si>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</si>
  <si>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</si>
  <si>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</si>
  <si>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</si>
  <si>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</si>
  <si>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</si>
  <si>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</si>
  <si>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</si>
  <si>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</si>
  <si>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</si>
  <si>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</si>
  <si>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</si>
  <si>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</si>
  <si>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</si>
  <si>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</si>
  <si>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</si>
  <si>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</si>
  <si>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</si>
  <si>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</si>
  <si>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</si>
  <si>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</si>
  <si>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</si>
  <si>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</si>
  <si>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</si>
  <si>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</si>
  <si>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</si>
  <si>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</si>
  <si>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</si>
  <si>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</si>
  <si>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</si>
  <si>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</si>
  <si>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</si>
  <si>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</si>
  <si>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</si>
  <si>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</si>
  <si>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</si>
  <si>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</si>
  <si>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</si>
  <si>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</si>
  <si>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</si>
  <si>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</si>
  <si>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</si>
  <si>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</si>
  <si>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</si>
  <si>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</si>
  <si>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</si>
  <si>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</si>
  <si>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</si>
  <si>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</si>
  <si>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</si>
  <si>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</si>
  <si>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</si>
  <si>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</si>
  <si>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</si>
  <si>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</si>
  <si>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</si>
  <si>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</si>
  <si>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</si>
  <si>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</si>
  <si>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</si>
  <si>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</si>
  <si>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</si>
  <si>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</si>
  <si>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</si>
  <si>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</si>
  <si>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</si>
  <si>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</si>
  <si>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</si>
  <si>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</si>
  <si>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</si>
  <si>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</si>
  <si>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</si>
  <si>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</si>
  <si>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</si>
  <si>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</si>
  <si>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</si>
  <si>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</si>
  <si>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</si>
  <si>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</si>
  <si>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</si>
  <si>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</si>
  <si>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</si>
  <si>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</si>
  <si>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</si>
  <si>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</si>
  <si>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</si>
  <si>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</si>
  <si>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</si>
  <si>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</si>
  <si>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</si>
  <si>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</si>
  <si>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</si>
  <si>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</si>
  <si>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</si>
  <si>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</si>
  <si>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</si>
  <si>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</si>
  <si>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</si>
  <si>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</si>
  <si>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</si>
  <si>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</si>
  <si>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</si>
  <si>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</si>
  <si>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</si>
  <si>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</si>
  <si>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</si>
  <si>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</si>
  <si>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</si>
  <si>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</si>
  <si>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</si>
  <si>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</si>
  <si>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</si>
  <si>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</si>
  <si>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</si>
  <si>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</si>
  <si>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</si>
  <si>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</si>
  <si>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</si>
  <si>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2020-12-20T09:38:15.119Z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</si>
</sst>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d/m\ hh:mm"/>
    <numFmt numFmtId="166" formatCode="d/m/;@"/>
    <numFmt numFmtId="167" formatCode="d/m"/>
    <numFmt numFmtId="168" formatCode="d/m/yyyy\ h:mm;@"/>
  </numFmts>
  <fonts count="6">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
      <sz val="14"/>
      <color rgb="FF595959"/>
      <name val="Calibri"/>
      <family val="2"/>
      <scheme val="minor"/>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30">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2" fontId="0" fillId="0" borderId="0" xfId="0" applyNumberFormat="1"/>
    <xf numFmtId="167" fontId="0" fillId="0" borderId="0" xfId="0" applyNumberFormat="1"/>
    <xf numFmtId="168" fontId="0" fillId="0" borderId="0" xfId="0" applyNumberFormat="1"/>
    <xf numFmtId="0" fontId="5" fillId="0" borderId="0" xfId="0" applyFont="1" applyAlignment="1">
      <alignment horizontal="left" vertical="center" readingOrder="1"/>
    </xf>
    <xf numFmtId="166" fontId="0" fillId="2" borderId="0" xfId="0" applyNumberFormat="1" applyFill="1"/>
    <xf numFmtId="0" fontId="0" fillId="2" borderId="0" xfId="0" applyFill="1"/>
    <xf numFmtId="0" fontId="4" fillId="2" borderId="0" xfId="0" applyFont="1" applyFill="1"/>
    <xf numFmtId="166" fontId="0" fillId="0" borderId="0" xfId="0" applyNumberFormat="1" applyAlignment="1">
      <alignment horizontal="right"/>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COVID-19 tapauksia vuoden 2020 alusta lähtien 16.12 saakka. Suurin arvo 613, joka 25.11. Uusimpien 4 päivien arvot tulevat viiveellä, joten ne jätetty pois kuvaajasta 20.12.</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Data!$H$2:$H$356</c:f>
              <c:strCache>
                <c:ptCount val="349"/>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strCache>
            </c:strRef>
          </c:cat>
          <c:val>
            <c:numRef>
              <c:f>Data!$A$2:$A$347</c:f>
              <c:numCache>
                <c:formatCode>General</c:formatCode>
                <c:ptCount val="3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210</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107</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79</c:v>
                </c:pt>
                <c:pt idx="134">
                  <c:v>50</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4</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42</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134</c:v>
                </c:pt>
                <c:pt idx="273">
                  <c:v>166</c:v>
                </c:pt>
                <c:pt idx="274">
                  <c:v>189</c:v>
                </c:pt>
                <c:pt idx="275">
                  <c:v>188</c:v>
                </c:pt>
                <c:pt idx="276">
                  <c:v>180</c:v>
                </c:pt>
                <c:pt idx="277">
                  <c:v>148</c:v>
                </c:pt>
                <c:pt idx="278">
                  <c:v>291</c:v>
                </c:pt>
                <c:pt idx="279">
                  <c:v>303</c:v>
                </c:pt>
                <c:pt idx="280">
                  <c:v>306</c:v>
                </c:pt>
                <c:pt idx="281">
                  <c:v>258</c:v>
                </c:pt>
                <c:pt idx="282">
                  <c:v>227</c:v>
                </c:pt>
                <c:pt idx="283">
                  <c:v>109</c:v>
                </c:pt>
                <c:pt idx="284">
                  <c:v>130</c:v>
                </c:pt>
                <c:pt idx="285">
                  <c:v>255</c:v>
                </c:pt>
                <c:pt idx="286">
                  <c:v>199</c:v>
                </c:pt>
                <c:pt idx="287">
                  <c:v>201</c:v>
                </c:pt>
                <c:pt idx="288">
                  <c:v>190</c:v>
                </c:pt>
                <c:pt idx="289">
                  <c:v>195</c:v>
                </c:pt>
                <c:pt idx="290">
                  <c:v>104</c:v>
                </c:pt>
                <c:pt idx="291">
                  <c:v>129</c:v>
                </c:pt>
                <c:pt idx="292">
                  <c:v>244</c:v>
                </c:pt>
                <c:pt idx="293">
                  <c:v>166</c:v>
                </c:pt>
                <c:pt idx="294">
                  <c:v>188</c:v>
                </c:pt>
                <c:pt idx="295">
                  <c:v>220</c:v>
                </c:pt>
                <c:pt idx="296">
                  <c:v>192</c:v>
                </c:pt>
                <c:pt idx="297">
                  <c:v>107</c:v>
                </c:pt>
                <c:pt idx="298">
                  <c:v>124</c:v>
                </c:pt>
                <c:pt idx="299">
                  <c:v>256</c:v>
                </c:pt>
                <c:pt idx="300">
                  <c:v>231</c:v>
                </c:pt>
                <c:pt idx="301">
                  <c:v>239</c:v>
                </c:pt>
                <c:pt idx="302">
                  <c:v>237</c:v>
                </c:pt>
                <c:pt idx="303">
                  <c:v>219</c:v>
                </c:pt>
                <c:pt idx="304">
                  <c:v>121</c:v>
                </c:pt>
                <c:pt idx="305">
                  <c:v>150</c:v>
                </c:pt>
                <c:pt idx="306">
                  <c:v>289</c:v>
                </c:pt>
                <c:pt idx="307">
                  <c:v>241</c:v>
                </c:pt>
                <c:pt idx="308">
                  <c:v>213</c:v>
                </c:pt>
                <c:pt idx="309">
                  <c:v>221</c:v>
                </c:pt>
                <c:pt idx="310">
                  <c:v>196</c:v>
                </c:pt>
                <c:pt idx="311">
                  <c:v>128</c:v>
                </c:pt>
                <c:pt idx="312">
                  <c:v>133</c:v>
                </c:pt>
                <c:pt idx="313">
                  <c:v>273</c:v>
                </c:pt>
                <c:pt idx="314">
                  <c:v>205</c:v>
                </c:pt>
                <c:pt idx="315">
                  <c:v>293</c:v>
                </c:pt>
                <c:pt idx="316">
                  <c:v>282</c:v>
                </c:pt>
                <c:pt idx="317">
                  <c:v>266</c:v>
                </c:pt>
                <c:pt idx="318">
                  <c:v>145</c:v>
                </c:pt>
                <c:pt idx="319">
                  <c:v>182</c:v>
                </c:pt>
                <c:pt idx="320">
                  <c:v>392</c:v>
                </c:pt>
                <c:pt idx="321">
                  <c:v>391</c:v>
                </c:pt>
                <c:pt idx="322">
                  <c:v>371</c:v>
                </c:pt>
                <c:pt idx="323">
                  <c:v>478</c:v>
                </c:pt>
                <c:pt idx="324">
                  <c:v>428</c:v>
                </c:pt>
                <c:pt idx="325">
                  <c:v>268</c:v>
                </c:pt>
                <c:pt idx="326">
                  <c:v>267</c:v>
                </c:pt>
                <c:pt idx="327">
                  <c:v>504</c:v>
                </c:pt>
                <c:pt idx="328">
                  <c:v>468</c:v>
                </c:pt>
                <c:pt idx="329">
                  <c:v>613</c:v>
                </c:pt>
                <c:pt idx="330">
                  <c:v>510</c:v>
                </c:pt>
                <c:pt idx="331">
                  <c:v>455</c:v>
                </c:pt>
                <c:pt idx="332">
                  <c:v>285</c:v>
                </c:pt>
                <c:pt idx="333">
                  <c:v>292</c:v>
                </c:pt>
                <c:pt idx="334">
                  <c:v>596</c:v>
                </c:pt>
                <c:pt idx="335">
                  <c:v>440</c:v>
                </c:pt>
                <c:pt idx="336">
                  <c:v>494</c:v>
                </c:pt>
                <c:pt idx="337">
                  <c:v>477</c:v>
                </c:pt>
                <c:pt idx="338">
                  <c:v>472</c:v>
                </c:pt>
                <c:pt idx="339">
                  <c:v>249</c:v>
                </c:pt>
                <c:pt idx="340">
                  <c:v>281</c:v>
                </c:pt>
                <c:pt idx="341">
                  <c:v>587</c:v>
                </c:pt>
                <c:pt idx="342">
                  <c:v>477</c:v>
                </c:pt>
                <c:pt idx="343">
                  <c:v>462</c:v>
                </c:pt>
                <c:pt idx="344">
                  <c:v>408</c:v>
                </c:pt>
                <c:pt idx="345">
                  <c:v>445</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5926</c:v>
                </c:pt>
                <c:pt idx="1">
                  <c:v>5254</c:v>
                </c:pt>
                <c:pt idx="2">
                  <c:v>5506</c:v>
                </c:pt>
                <c:pt idx="3">
                  <c:v>5324</c:v>
                </c:pt>
                <c:pt idx="4">
                  <c:v>4995</c:v>
                </c:pt>
                <c:pt idx="5">
                  <c:v>2958</c:v>
                </c:pt>
                <c:pt idx="6">
                  <c:v>3199</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3.6648712787583117E-2"/>
          <c:y val="3.269124110853384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0.19920999291746169"/>
          <c:w val="0.92334933055709068"/>
          <c:h val="0.60858070778745432"/>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44157</c:v>
                </c:pt>
                <c:pt idx="1">
                  <c:v>44158</c:v>
                </c:pt>
                <c:pt idx="2">
                  <c:v>44159</c:v>
                </c:pt>
                <c:pt idx="3">
                  <c:v>44160</c:v>
                </c:pt>
                <c:pt idx="4">
                  <c:v>44161</c:v>
                </c:pt>
                <c:pt idx="5">
                  <c:v>44162</c:v>
                </c:pt>
                <c:pt idx="6">
                  <c:v>44163</c:v>
                </c:pt>
                <c:pt idx="7">
                  <c:v>44164</c:v>
                </c:pt>
                <c:pt idx="8">
                  <c:v>44165</c:v>
                </c:pt>
                <c:pt idx="9">
                  <c:v>44166</c:v>
                </c:pt>
                <c:pt idx="10">
                  <c:v>44167</c:v>
                </c:pt>
                <c:pt idx="11">
                  <c:v>44168</c:v>
                </c:pt>
                <c:pt idx="12">
                  <c:v>44169</c:v>
                </c:pt>
                <c:pt idx="13">
                  <c:v>44170</c:v>
                </c:pt>
                <c:pt idx="14">
                  <c:v>44171</c:v>
                </c:pt>
                <c:pt idx="15">
                  <c:v>44172</c:v>
                </c:pt>
                <c:pt idx="16">
                  <c:v>44173</c:v>
                </c:pt>
                <c:pt idx="17">
                  <c:v>44174</c:v>
                </c:pt>
                <c:pt idx="18">
                  <c:v>44175</c:v>
                </c:pt>
                <c:pt idx="19">
                  <c:v>44176</c:v>
                </c:pt>
                <c:pt idx="20">
                  <c:v>44177</c:v>
                </c:pt>
                <c:pt idx="21">
                  <c:v>44178</c:v>
                </c:pt>
                <c:pt idx="22">
                  <c:v>44179</c:v>
                </c:pt>
                <c:pt idx="23">
                  <c:v>44180</c:v>
                </c:pt>
                <c:pt idx="24">
                  <c:v>44181</c:v>
                </c:pt>
                <c:pt idx="25">
                  <c:v>44182</c:v>
                </c:pt>
                <c:pt idx="26">
                  <c:v>44183</c:v>
                </c:pt>
                <c:pt idx="27">
                  <c:v>44184</c:v>
                </c:pt>
              </c:numCache>
            </c:numRef>
          </c:cat>
          <c:val>
            <c:numRef>
              <c:f>Kuvaajat!$D$37:$D$64</c:f>
              <c:numCache>
                <c:formatCode>General</c:formatCode>
                <c:ptCount val="28"/>
                <c:pt idx="0">
                  <c:v>267</c:v>
                </c:pt>
                <c:pt idx="1">
                  <c:v>504</c:v>
                </c:pt>
                <c:pt idx="2">
                  <c:v>468</c:v>
                </c:pt>
                <c:pt idx="3">
                  <c:v>613</c:v>
                </c:pt>
                <c:pt idx="4">
                  <c:v>510</c:v>
                </c:pt>
                <c:pt idx="5">
                  <c:v>455</c:v>
                </c:pt>
                <c:pt idx="6">
                  <c:v>285</c:v>
                </c:pt>
                <c:pt idx="7">
                  <c:v>292</c:v>
                </c:pt>
                <c:pt idx="8">
                  <c:v>596</c:v>
                </c:pt>
                <c:pt idx="9">
                  <c:v>440</c:v>
                </c:pt>
                <c:pt idx="10">
                  <c:v>494</c:v>
                </c:pt>
                <c:pt idx="11">
                  <c:v>477</c:v>
                </c:pt>
                <c:pt idx="12">
                  <c:v>472</c:v>
                </c:pt>
                <c:pt idx="13">
                  <c:v>249</c:v>
                </c:pt>
                <c:pt idx="14">
                  <c:v>281</c:v>
                </c:pt>
                <c:pt idx="15">
                  <c:v>587</c:v>
                </c:pt>
                <c:pt idx="16">
                  <c:v>477</c:v>
                </c:pt>
                <c:pt idx="17">
                  <c:v>462</c:v>
                </c:pt>
                <c:pt idx="18">
                  <c:v>408</c:v>
                </c:pt>
                <c:pt idx="19">
                  <c:v>445</c:v>
                </c:pt>
                <c:pt idx="20">
                  <c:v>250</c:v>
                </c:pt>
                <c:pt idx="21">
                  <c:v>273</c:v>
                </c:pt>
                <c:pt idx="22">
                  <c:v>460</c:v>
                </c:pt>
                <c:pt idx="23">
                  <c:v>352</c:v>
                </c:pt>
                <c:pt idx="24">
                  <c:v>338</c:v>
                </c:pt>
                <c:pt idx="25">
                  <c:v>277</c:v>
                </c:pt>
                <c:pt idx="26">
                  <c:v>284</c:v>
                </c:pt>
                <c:pt idx="27">
                  <c:v>63</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(näytteenottopäivä) COVID-19 tapauksia. N=33162. Uusimmat 20.12 lisäykset punaisella n=309.</c:v>
            </c:pt>
          </c:strCache>
        </c:strRef>
      </c:tx>
      <c:layout>
        <c:manualLayout>
          <c:xMode val="edge"/>
          <c:yMode val="edge"/>
          <c:x val="0.12577239590237269"/>
          <c:y val="4.315258340217533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2F3-46C0-A0CB-FF5D1433D99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22.11</c:v>
                </c:pt>
                <c:pt idx="1">
                  <c:v>Ma 23</c:v>
                </c:pt>
                <c:pt idx="2">
                  <c:v>24.11</c:v>
                </c:pt>
                <c:pt idx="3">
                  <c:v>25.11</c:v>
                </c:pt>
                <c:pt idx="4">
                  <c:v>26.11</c:v>
                </c:pt>
                <c:pt idx="5">
                  <c:v>27.11</c:v>
                </c:pt>
                <c:pt idx="6">
                  <c:v>28.11</c:v>
                </c:pt>
                <c:pt idx="7">
                  <c:v>29.11</c:v>
                </c:pt>
                <c:pt idx="8">
                  <c:v>Ma 30</c:v>
                </c:pt>
                <c:pt idx="9">
                  <c:v>1.12</c:v>
                </c:pt>
                <c:pt idx="10">
                  <c:v>2.12</c:v>
                </c:pt>
                <c:pt idx="11">
                  <c:v>3.12</c:v>
                </c:pt>
                <c:pt idx="12">
                  <c:v>4.12</c:v>
                </c:pt>
                <c:pt idx="13">
                  <c:v>5.12</c:v>
                </c:pt>
                <c:pt idx="14">
                  <c:v>6.12</c:v>
                </c:pt>
                <c:pt idx="15">
                  <c:v>Ma 7</c:v>
                </c:pt>
                <c:pt idx="16">
                  <c:v>8.12</c:v>
                </c:pt>
                <c:pt idx="17">
                  <c:v>9.12</c:v>
                </c:pt>
                <c:pt idx="18">
                  <c:v>10.12</c:v>
                </c:pt>
                <c:pt idx="19">
                  <c:v>11.12</c:v>
                </c:pt>
                <c:pt idx="20">
                  <c:v>12.12</c:v>
                </c:pt>
                <c:pt idx="21">
                  <c:v>13.12</c:v>
                </c:pt>
                <c:pt idx="22">
                  <c:v>Ma 14</c:v>
                </c:pt>
                <c:pt idx="23">
                  <c:v>15.12</c:v>
                </c:pt>
                <c:pt idx="24">
                  <c:v>16.12</c:v>
                </c:pt>
                <c:pt idx="25">
                  <c:v>17.12</c:v>
                </c:pt>
                <c:pt idx="26">
                  <c:v>18.12</c:v>
                </c:pt>
                <c:pt idx="27">
                  <c:v>19.12</c:v>
                </c:pt>
              </c:strCache>
            </c:strRef>
          </c:cat>
          <c:val>
            <c:numRef>
              <c:f>Kuvaajat!$D$37:$D$64</c:f>
              <c:numCache>
                <c:formatCode>General</c:formatCode>
                <c:ptCount val="28"/>
                <c:pt idx="0">
                  <c:v>267</c:v>
                </c:pt>
                <c:pt idx="1">
                  <c:v>504</c:v>
                </c:pt>
                <c:pt idx="2">
                  <c:v>468</c:v>
                </c:pt>
                <c:pt idx="3">
                  <c:v>613</c:v>
                </c:pt>
                <c:pt idx="4">
                  <c:v>510</c:v>
                </c:pt>
                <c:pt idx="5">
                  <c:v>455</c:v>
                </c:pt>
                <c:pt idx="6">
                  <c:v>285</c:v>
                </c:pt>
                <c:pt idx="7">
                  <c:v>292</c:v>
                </c:pt>
                <c:pt idx="8">
                  <c:v>596</c:v>
                </c:pt>
                <c:pt idx="9">
                  <c:v>440</c:v>
                </c:pt>
                <c:pt idx="10">
                  <c:v>494</c:v>
                </c:pt>
                <c:pt idx="11">
                  <c:v>477</c:v>
                </c:pt>
                <c:pt idx="12">
                  <c:v>472</c:v>
                </c:pt>
                <c:pt idx="13">
                  <c:v>249</c:v>
                </c:pt>
                <c:pt idx="14">
                  <c:v>281</c:v>
                </c:pt>
                <c:pt idx="15">
                  <c:v>587</c:v>
                </c:pt>
                <c:pt idx="16">
                  <c:v>477</c:v>
                </c:pt>
                <c:pt idx="17">
                  <c:v>462</c:v>
                </c:pt>
                <c:pt idx="18">
                  <c:v>408</c:v>
                </c:pt>
                <c:pt idx="19">
                  <c:v>445</c:v>
                </c:pt>
                <c:pt idx="20">
                  <c:v>250</c:v>
                </c:pt>
                <c:pt idx="21">
                  <c:v>273</c:v>
                </c:pt>
                <c:pt idx="22">
                  <c:v>460</c:v>
                </c:pt>
                <c:pt idx="23">
                  <c:v>352</c:v>
                </c:pt>
                <c:pt idx="24">
                  <c:v>338</c:v>
                </c:pt>
                <c:pt idx="25">
                  <c:v>277</c:v>
                </c:pt>
                <c:pt idx="26">
                  <c:v>284</c:v>
                </c:pt>
                <c:pt idx="27">
                  <c:v>63</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22.11</c:v>
                </c:pt>
                <c:pt idx="1">
                  <c:v>Ma 23</c:v>
                </c:pt>
                <c:pt idx="2">
                  <c:v>24.11</c:v>
                </c:pt>
                <c:pt idx="3">
                  <c:v>25.11</c:v>
                </c:pt>
                <c:pt idx="4">
                  <c:v>26.11</c:v>
                </c:pt>
                <c:pt idx="5">
                  <c:v>27.11</c:v>
                </c:pt>
                <c:pt idx="6">
                  <c:v>28.11</c:v>
                </c:pt>
                <c:pt idx="7">
                  <c:v>29.11</c:v>
                </c:pt>
                <c:pt idx="8">
                  <c:v>Ma 30</c:v>
                </c:pt>
                <c:pt idx="9">
                  <c:v>1.12</c:v>
                </c:pt>
                <c:pt idx="10">
                  <c:v>2.12</c:v>
                </c:pt>
                <c:pt idx="11">
                  <c:v>3.12</c:v>
                </c:pt>
                <c:pt idx="12">
                  <c:v>4.12</c:v>
                </c:pt>
                <c:pt idx="13">
                  <c:v>5.12</c:v>
                </c:pt>
                <c:pt idx="14">
                  <c:v>6.12</c:v>
                </c:pt>
                <c:pt idx="15">
                  <c:v>Ma 7</c:v>
                </c:pt>
                <c:pt idx="16">
                  <c:v>8.12</c:v>
                </c:pt>
                <c:pt idx="17">
                  <c:v>9.12</c:v>
                </c:pt>
                <c:pt idx="18">
                  <c:v>10.12</c:v>
                </c:pt>
                <c:pt idx="19">
                  <c:v>11.12</c:v>
                </c:pt>
                <c:pt idx="20">
                  <c:v>12.12</c:v>
                </c:pt>
                <c:pt idx="21">
                  <c:v>13.12</c:v>
                </c:pt>
                <c:pt idx="22">
                  <c:v>Ma 14</c:v>
                </c:pt>
                <c:pt idx="23">
                  <c:v>15.12</c:v>
                </c:pt>
                <c:pt idx="24">
                  <c:v>16.12</c:v>
                </c:pt>
                <c:pt idx="25">
                  <c:v>17.12</c:v>
                </c:pt>
                <c:pt idx="26">
                  <c:v>18.12</c:v>
                </c:pt>
                <c:pt idx="27">
                  <c:v>19.12</c:v>
                </c:pt>
              </c:strCache>
            </c:strRef>
          </c:cat>
          <c:val>
            <c:numRef>
              <c:f>Kuvaajat!$E$37:$E$64</c:f>
              <c:numCache>
                <c:formatCode>General</c:formatCode>
                <c:ptCount val="28"/>
                <c:pt idx="0">
                  <c:v>0</c:v>
                </c:pt>
                <c:pt idx="1">
                  <c:v>0</c:v>
                </c:pt>
                <c:pt idx="2">
                  <c:v>0</c:v>
                </c:pt>
                <c:pt idx="3">
                  <c:v>0</c:v>
                </c:pt>
                <c:pt idx="4">
                  <c:v>0</c:v>
                </c:pt>
                <c:pt idx="5">
                  <c:v>0</c:v>
                </c:pt>
                <c:pt idx="6">
                  <c:v>0</c:v>
                </c:pt>
                <c:pt idx="7">
                  <c:v>-1</c:v>
                </c:pt>
                <c:pt idx="8">
                  <c:v>0</c:v>
                </c:pt>
                <c:pt idx="9">
                  <c:v>0</c:v>
                </c:pt>
                <c:pt idx="10">
                  <c:v>0</c:v>
                </c:pt>
                <c:pt idx="11">
                  <c:v>0</c:v>
                </c:pt>
                <c:pt idx="12">
                  <c:v>0</c:v>
                </c:pt>
                <c:pt idx="13">
                  <c:v>0</c:v>
                </c:pt>
                <c:pt idx="14">
                  <c:v>0</c:v>
                </c:pt>
                <c:pt idx="15">
                  <c:v>-1</c:v>
                </c:pt>
                <c:pt idx="16">
                  <c:v>0</c:v>
                </c:pt>
                <c:pt idx="17">
                  <c:v>0</c:v>
                </c:pt>
                <c:pt idx="18">
                  <c:v>0</c:v>
                </c:pt>
                <c:pt idx="19">
                  <c:v>0</c:v>
                </c:pt>
                <c:pt idx="20">
                  <c:v>0</c:v>
                </c:pt>
                <c:pt idx="21">
                  <c:v>-1</c:v>
                </c:pt>
                <c:pt idx="22">
                  <c:v>0</c:v>
                </c:pt>
                <c:pt idx="23">
                  <c:v>1</c:v>
                </c:pt>
                <c:pt idx="24">
                  <c:v>39</c:v>
                </c:pt>
                <c:pt idx="25">
                  <c:v>36</c:v>
                </c:pt>
                <c:pt idx="26">
                  <c:v>173</c:v>
                </c:pt>
                <c:pt idx="27">
                  <c:v>63</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Kuvaajat!$N$101</c:f>
          <c:strCache>
            <c:ptCount val="1"/>
            <c:pt idx="0">
              <c:v> COVID-19 tapauksia 7 päivän välein 16.12 saakka (- uusin ... vanhin)</c:v>
            </c:pt>
          </c:strCache>
        </c:strRef>
      </c:tx>
      <c:layout>
        <c:manualLayout>
          <c:xMode val="edge"/>
          <c:yMode val="edge"/>
          <c:x val="0.14038071641971828"/>
          <c:y val="1.72189515940988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44181.625</c:v>
                </c:pt>
                <c:pt idx="1">
                  <c:v>44174.625</c:v>
                </c:pt>
                <c:pt idx="2">
                  <c:v>44167.625</c:v>
                </c:pt>
                <c:pt idx="3">
                  <c:v>44160.625</c:v>
                </c:pt>
                <c:pt idx="4">
                  <c:v>44153.625</c:v>
                </c:pt>
                <c:pt idx="5">
                  <c:v>44146.625</c:v>
                </c:pt>
                <c:pt idx="6">
                  <c:v>44139.625</c:v>
                </c:pt>
                <c:pt idx="7">
                  <c:v>44132.625</c:v>
                </c:pt>
                <c:pt idx="8">
                  <c:v>44125.625</c:v>
                </c:pt>
                <c:pt idx="9">
                  <c:v>44118.625</c:v>
                </c:pt>
              </c:numCache>
            </c:numRef>
          </c:xVal>
          <c:yVal>
            <c:numRef>
              <c:f>Kuvaajat!$Q$80:$Q$89</c:f>
              <c:numCache>
                <c:formatCode>General</c:formatCode>
                <c:ptCount val="10"/>
                <c:pt idx="0">
                  <c:v>338</c:v>
                </c:pt>
                <c:pt idx="1">
                  <c:v>462</c:v>
                </c:pt>
                <c:pt idx="2">
                  <c:v>494</c:v>
                </c:pt>
                <c:pt idx="3">
                  <c:v>613</c:v>
                </c:pt>
                <c:pt idx="4">
                  <c:v>371</c:v>
                </c:pt>
                <c:pt idx="5">
                  <c:v>293</c:v>
                </c:pt>
                <c:pt idx="6">
                  <c:v>213</c:v>
                </c:pt>
                <c:pt idx="7">
                  <c:v>239</c:v>
                </c:pt>
                <c:pt idx="8">
                  <c:v>188</c:v>
                </c:pt>
                <c:pt idx="9">
                  <c:v>201</c:v>
                </c:pt>
              </c:numCache>
            </c:numRef>
          </c:yVal>
          <c:smooth val="0"/>
          <c:extLst>
            <c:ext xmlns:c16="http://schemas.microsoft.com/office/drawing/2014/chart" uri="{C3380CC4-5D6E-409C-BE32-E72D297353CC}">
              <c16:uniqueId val="{00000000-B29A-4A5D-A188-8FA18CEC29D5}"/>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44180.625</c:v>
                </c:pt>
                <c:pt idx="1">
                  <c:v>44173.625</c:v>
                </c:pt>
                <c:pt idx="2">
                  <c:v>44166.625</c:v>
                </c:pt>
                <c:pt idx="3">
                  <c:v>44159.625</c:v>
                </c:pt>
                <c:pt idx="4">
                  <c:v>44152.625</c:v>
                </c:pt>
                <c:pt idx="5">
                  <c:v>44145.625</c:v>
                </c:pt>
                <c:pt idx="6">
                  <c:v>44138.625</c:v>
                </c:pt>
                <c:pt idx="7">
                  <c:v>44131.625</c:v>
                </c:pt>
                <c:pt idx="8">
                  <c:v>44124.625</c:v>
                </c:pt>
                <c:pt idx="9">
                  <c:v>44117.625</c:v>
                </c:pt>
              </c:numCache>
            </c:numRef>
          </c:xVal>
          <c:yVal>
            <c:numRef>
              <c:f>Kuvaajat!$U$80:$U$89</c:f>
              <c:numCache>
                <c:formatCode>General</c:formatCode>
                <c:ptCount val="10"/>
                <c:pt idx="0">
                  <c:v>352</c:v>
                </c:pt>
                <c:pt idx="1">
                  <c:v>477</c:v>
                </c:pt>
                <c:pt idx="2">
                  <c:v>440</c:v>
                </c:pt>
                <c:pt idx="3">
                  <c:v>468</c:v>
                </c:pt>
                <c:pt idx="4">
                  <c:v>391</c:v>
                </c:pt>
                <c:pt idx="5">
                  <c:v>205</c:v>
                </c:pt>
                <c:pt idx="6">
                  <c:v>241</c:v>
                </c:pt>
                <c:pt idx="7">
                  <c:v>231</c:v>
                </c:pt>
                <c:pt idx="8">
                  <c:v>166</c:v>
                </c:pt>
                <c:pt idx="9">
                  <c:v>199</c:v>
                </c:pt>
              </c:numCache>
            </c:numRef>
          </c:yVal>
          <c:smooth val="0"/>
          <c:extLst>
            <c:ext xmlns:c16="http://schemas.microsoft.com/office/drawing/2014/chart" uri="{C3380CC4-5D6E-409C-BE32-E72D297353CC}">
              <c16:uniqueId val="{00000002-B29A-4A5D-A188-8FA18CEC29D5}"/>
            </c:ext>
          </c:extLst>
        </c:ser>
        <c:ser>
          <c:idx val="2"/>
          <c:order val="2"/>
          <c:spPr>
            <a:ln w="19050" cap="rnd">
              <a:solidFill>
                <a:schemeClr val="accent1"/>
              </a:solidFill>
              <a:prstDash val="sysDash"/>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44179.625</c:v>
                </c:pt>
                <c:pt idx="1">
                  <c:v>44172.625</c:v>
                </c:pt>
                <c:pt idx="2">
                  <c:v>44165.625</c:v>
                </c:pt>
                <c:pt idx="3">
                  <c:v>44158.625</c:v>
                </c:pt>
                <c:pt idx="4">
                  <c:v>44151.625</c:v>
                </c:pt>
                <c:pt idx="5">
                  <c:v>44144.625</c:v>
                </c:pt>
                <c:pt idx="6">
                  <c:v>44137.625</c:v>
                </c:pt>
                <c:pt idx="7">
                  <c:v>44130.625</c:v>
                </c:pt>
                <c:pt idx="8">
                  <c:v>44123.625</c:v>
                </c:pt>
                <c:pt idx="9">
                  <c:v>44116.625</c:v>
                </c:pt>
              </c:numCache>
            </c:numRef>
          </c:xVal>
          <c:yVal>
            <c:numRef>
              <c:f>Kuvaajat!$Y$80:$Y$89</c:f>
              <c:numCache>
                <c:formatCode>General</c:formatCode>
                <c:ptCount val="10"/>
                <c:pt idx="0">
                  <c:v>460</c:v>
                </c:pt>
                <c:pt idx="1">
                  <c:v>587</c:v>
                </c:pt>
                <c:pt idx="2">
                  <c:v>596</c:v>
                </c:pt>
                <c:pt idx="3">
                  <c:v>504</c:v>
                </c:pt>
                <c:pt idx="4">
                  <c:v>392</c:v>
                </c:pt>
                <c:pt idx="5">
                  <c:v>273</c:v>
                </c:pt>
                <c:pt idx="6">
                  <c:v>289</c:v>
                </c:pt>
                <c:pt idx="7">
                  <c:v>256</c:v>
                </c:pt>
                <c:pt idx="8">
                  <c:v>244</c:v>
                </c:pt>
                <c:pt idx="9">
                  <c:v>255</c:v>
                </c:pt>
              </c:numCache>
            </c:numRef>
          </c:yVal>
          <c:smooth val="0"/>
          <c:extLst>
            <c:ext xmlns:c16="http://schemas.microsoft.com/office/drawing/2014/chart" uri="{C3380CC4-5D6E-409C-BE32-E72D297353CC}">
              <c16:uniqueId val="{00000003-B29A-4A5D-A188-8FA18CEC29D5}"/>
            </c:ext>
          </c:extLst>
        </c:ser>
        <c:ser>
          <c:idx val="3"/>
          <c:order val="3"/>
          <c:spPr>
            <a:ln w="19050" cap="rnd">
              <a:solidFill>
                <a:schemeClr val="accent1"/>
              </a:solidFill>
              <a:prstDash val="sys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44178.625</c:v>
                </c:pt>
                <c:pt idx="1">
                  <c:v>44171.625</c:v>
                </c:pt>
                <c:pt idx="2">
                  <c:v>44164.625</c:v>
                </c:pt>
                <c:pt idx="3">
                  <c:v>44157.625</c:v>
                </c:pt>
                <c:pt idx="4">
                  <c:v>44150.625</c:v>
                </c:pt>
                <c:pt idx="5">
                  <c:v>44143.625</c:v>
                </c:pt>
                <c:pt idx="6">
                  <c:v>44136.625</c:v>
                </c:pt>
                <c:pt idx="7">
                  <c:v>44129.625</c:v>
                </c:pt>
                <c:pt idx="8">
                  <c:v>44122.625</c:v>
                </c:pt>
                <c:pt idx="9">
                  <c:v>44115.625</c:v>
                </c:pt>
              </c:numCache>
            </c:numRef>
          </c:xVal>
          <c:yVal>
            <c:numRef>
              <c:f>Kuvaajat!$AC$80:$AC$89</c:f>
              <c:numCache>
                <c:formatCode>General</c:formatCode>
                <c:ptCount val="10"/>
                <c:pt idx="0">
                  <c:v>273</c:v>
                </c:pt>
                <c:pt idx="1">
                  <c:v>281</c:v>
                </c:pt>
                <c:pt idx="2">
                  <c:v>292</c:v>
                </c:pt>
                <c:pt idx="3">
                  <c:v>267</c:v>
                </c:pt>
                <c:pt idx="4">
                  <c:v>182</c:v>
                </c:pt>
                <c:pt idx="5">
                  <c:v>133</c:v>
                </c:pt>
                <c:pt idx="6">
                  <c:v>150</c:v>
                </c:pt>
                <c:pt idx="7">
                  <c:v>124</c:v>
                </c:pt>
                <c:pt idx="8">
                  <c:v>129</c:v>
                </c:pt>
                <c:pt idx="9">
                  <c:v>130</c:v>
                </c:pt>
              </c:numCache>
            </c:numRef>
          </c:yVal>
          <c:smooth val="0"/>
          <c:extLst>
            <c:ext xmlns:c16="http://schemas.microsoft.com/office/drawing/2014/chart" uri="{C3380CC4-5D6E-409C-BE32-E72D297353CC}">
              <c16:uniqueId val="{00000004-B29A-4A5D-A188-8FA18CEC29D5}"/>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Kuvaajat!$N$101</c:f>
          <c:strCache>
            <c:ptCount val="1"/>
            <c:pt idx="0">
              <c:v> COVID-19 tapauksia 7 päivän välein 16.12 saakka (- uusin ... vanhin)</c:v>
            </c:pt>
          </c:strCache>
        </c:strRef>
      </c:tx>
      <c:layout>
        <c:manualLayout>
          <c:xMode val="edge"/>
          <c:yMode val="edge"/>
          <c:x val="0.22246757178771043"/>
          <c:y val="1.721886083376687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44181.625</c:v>
                </c:pt>
                <c:pt idx="1">
                  <c:v>44174.625</c:v>
                </c:pt>
                <c:pt idx="2">
                  <c:v>44167.625</c:v>
                </c:pt>
                <c:pt idx="3">
                  <c:v>44160.625</c:v>
                </c:pt>
                <c:pt idx="4">
                  <c:v>44153.625</c:v>
                </c:pt>
                <c:pt idx="5">
                  <c:v>44146.625</c:v>
                </c:pt>
                <c:pt idx="6">
                  <c:v>44139.625</c:v>
                </c:pt>
                <c:pt idx="7">
                  <c:v>44132.625</c:v>
                </c:pt>
                <c:pt idx="8">
                  <c:v>44125.625</c:v>
                </c:pt>
                <c:pt idx="9">
                  <c:v>44118.625</c:v>
                </c:pt>
              </c:numCache>
            </c:numRef>
          </c:xVal>
          <c:yVal>
            <c:numRef>
              <c:f>Kuvaajat!$Q$80:$Q$89</c:f>
              <c:numCache>
                <c:formatCode>General</c:formatCode>
                <c:ptCount val="10"/>
                <c:pt idx="0">
                  <c:v>338</c:v>
                </c:pt>
                <c:pt idx="1">
                  <c:v>462</c:v>
                </c:pt>
                <c:pt idx="2">
                  <c:v>494</c:v>
                </c:pt>
                <c:pt idx="3">
                  <c:v>613</c:v>
                </c:pt>
                <c:pt idx="4">
                  <c:v>371</c:v>
                </c:pt>
                <c:pt idx="5">
                  <c:v>293</c:v>
                </c:pt>
                <c:pt idx="6">
                  <c:v>213</c:v>
                </c:pt>
                <c:pt idx="7">
                  <c:v>239</c:v>
                </c:pt>
                <c:pt idx="8">
                  <c:v>188</c:v>
                </c:pt>
                <c:pt idx="9">
                  <c:v>201</c:v>
                </c:pt>
              </c:numCache>
            </c:numRef>
          </c:yVal>
          <c:smooth val="0"/>
          <c:extLst>
            <c:ext xmlns:c16="http://schemas.microsoft.com/office/drawing/2014/chart" uri="{C3380CC4-5D6E-409C-BE32-E72D297353CC}">
              <c16:uniqueId val="{00000000-18F3-420A-88B6-B113556D83D0}"/>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44180.625</c:v>
                </c:pt>
                <c:pt idx="1">
                  <c:v>44173.625</c:v>
                </c:pt>
                <c:pt idx="2">
                  <c:v>44166.625</c:v>
                </c:pt>
                <c:pt idx="3">
                  <c:v>44159.625</c:v>
                </c:pt>
                <c:pt idx="4">
                  <c:v>44152.625</c:v>
                </c:pt>
                <c:pt idx="5">
                  <c:v>44145.625</c:v>
                </c:pt>
                <c:pt idx="6">
                  <c:v>44138.625</c:v>
                </c:pt>
                <c:pt idx="7">
                  <c:v>44131.625</c:v>
                </c:pt>
                <c:pt idx="8">
                  <c:v>44124.625</c:v>
                </c:pt>
                <c:pt idx="9">
                  <c:v>44117.625</c:v>
                </c:pt>
              </c:numCache>
            </c:numRef>
          </c:xVal>
          <c:yVal>
            <c:numRef>
              <c:f>Kuvaajat!$U$80:$U$89</c:f>
              <c:numCache>
                <c:formatCode>General</c:formatCode>
                <c:ptCount val="10"/>
                <c:pt idx="0">
                  <c:v>352</c:v>
                </c:pt>
                <c:pt idx="1">
                  <c:v>477</c:v>
                </c:pt>
                <c:pt idx="2">
                  <c:v>440</c:v>
                </c:pt>
                <c:pt idx="3">
                  <c:v>468</c:v>
                </c:pt>
                <c:pt idx="4">
                  <c:v>391</c:v>
                </c:pt>
                <c:pt idx="5">
                  <c:v>205</c:v>
                </c:pt>
                <c:pt idx="6">
                  <c:v>241</c:v>
                </c:pt>
                <c:pt idx="7">
                  <c:v>231</c:v>
                </c:pt>
                <c:pt idx="8">
                  <c:v>166</c:v>
                </c:pt>
                <c:pt idx="9">
                  <c:v>199</c:v>
                </c:pt>
              </c:numCache>
            </c:numRef>
          </c:yVal>
          <c:smooth val="0"/>
          <c:extLst>
            <c:ext xmlns:c16="http://schemas.microsoft.com/office/drawing/2014/chart" uri="{C3380CC4-5D6E-409C-BE32-E72D297353CC}">
              <c16:uniqueId val="{00000001-18F3-420A-88B6-B113556D83D0}"/>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44179.625</c:v>
                </c:pt>
                <c:pt idx="1">
                  <c:v>44172.625</c:v>
                </c:pt>
                <c:pt idx="2">
                  <c:v>44165.625</c:v>
                </c:pt>
                <c:pt idx="3">
                  <c:v>44158.625</c:v>
                </c:pt>
                <c:pt idx="4">
                  <c:v>44151.625</c:v>
                </c:pt>
                <c:pt idx="5">
                  <c:v>44144.625</c:v>
                </c:pt>
                <c:pt idx="6">
                  <c:v>44137.625</c:v>
                </c:pt>
                <c:pt idx="7">
                  <c:v>44130.625</c:v>
                </c:pt>
                <c:pt idx="8">
                  <c:v>44123.625</c:v>
                </c:pt>
                <c:pt idx="9">
                  <c:v>44116.625</c:v>
                </c:pt>
              </c:numCache>
            </c:numRef>
          </c:xVal>
          <c:yVal>
            <c:numRef>
              <c:f>Kuvaajat!$Y$80:$Y$89</c:f>
              <c:numCache>
                <c:formatCode>General</c:formatCode>
                <c:ptCount val="10"/>
                <c:pt idx="0">
                  <c:v>460</c:v>
                </c:pt>
                <c:pt idx="1">
                  <c:v>587</c:v>
                </c:pt>
                <c:pt idx="2">
                  <c:v>596</c:v>
                </c:pt>
                <c:pt idx="3">
                  <c:v>504</c:v>
                </c:pt>
                <c:pt idx="4">
                  <c:v>392</c:v>
                </c:pt>
                <c:pt idx="5">
                  <c:v>273</c:v>
                </c:pt>
                <c:pt idx="6">
                  <c:v>289</c:v>
                </c:pt>
                <c:pt idx="7">
                  <c:v>256</c:v>
                </c:pt>
                <c:pt idx="8">
                  <c:v>244</c:v>
                </c:pt>
                <c:pt idx="9">
                  <c:v>255</c:v>
                </c:pt>
              </c:numCache>
            </c:numRef>
          </c:yVal>
          <c:smooth val="0"/>
          <c:extLst>
            <c:ext xmlns:c16="http://schemas.microsoft.com/office/drawing/2014/chart" uri="{C3380CC4-5D6E-409C-BE32-E72D297353CC}">
              <c16:uniqueId val="{00000002-18F3-420A-88B6-B113556D83D0}"/>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44178.625</c:v>
                </c:pt>
                <c:pt idx="1">
                  <c:v>44171.625</c:v>
                </c:pt>
                <c:pt idx="2">
                  <c:v>44164.625</c:v>
                </c:pt>
                <c:pt idx="3">
                  <c:v>44157.625</c:v>
                </c:pt>
                <c:pt idx="4">
                  <c:v>44150.625</c:v>
                </c:pt>
                <c:pt idx="5">
                  <c:v>44143.625</c:v>
                </c:pt>
                <c:pt idx="6">
                  <c:v>44136.625</c:v>
                </c:pt>
                <c:pt idx="7">
                  <c:v>44129.625</c:v>
                </c:pt>
                <c:pt idx="8">
                  <c:v>44122.625</c:v>
                </c:pt>
                <c:pt idx="9">
                  <c:v>44115.625</c:v>
                </c:pt>
              </c:numCache>
            </c:numRef>
          </c:xVal>
          <c:yVal>
            <c:numRef>
              <c:f>Kuvaajat!$AC$80:$AC$89</c:f>
              <c:numCache>
                <c:formatCode>General</c:formatCode>
                <c:ptCount val="10"/>
                <c:pt idx="0">
                  <c:v>273</c:v>
                </c:pt>
                <c:pt idx="1">
                  <c:v>281</c:v>
                </c:pt>
                <c:pt idx="2">
                  <c:v>292</c:v>
                </c:pt>
                <c:pt idx="3">
                  <c:v>267</c:v>
                </c:pt>
                <c:pt idx="4">
                  <c:v>182</c:v>
                </c:pt>
                <c:pt idx="5">
                  <c:v>133</c:v>
                </c:pt>
                <c:pt idx="6">
                  <c:v>150</c:v>
                </c:pt>
                <c:pt idx="7">
                  <c:v>124</c:v>
                </c:pt>
                <c:pt idx="8">
                  <c:v>129</c:v>
                </c:pt>
                <c:pt idx="9">
                  <c:v>130</c:v>
                </c:pt>
              </c:numCache>
            </c:numRef>
          </c:yVal>
          <c:smooth val="0"/>
          <c:extLst>
            <c:ext xmlns:c16="http://schemas.microsoft.com/office/drawing/2014/chart" uri="{C3380CC4-5D6E-409C-BE32-E72D297353CC}">
              <c16:uniqueId val="{00000003-18F3-420A-88B6-B113556D83D0}"/>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Kuvaajat!$AF$80:$AF$89</c:f>
              <c:numCache>
                <c:formatCode>d/m/;@</c:formatCode>
                <c:ptCount val="10"/>
                <c:pt idx="0" formatCode="d/m">
                  <c:v>44177.625</c:v>
                </c:pt>
                <c:pt idx="1">
                  <c:v>44170.625</c:v>
                </c:pt>
                <c:pt idx="2">
                  <c:v>44163.625</c:v>
                </c:pt>
                <c:pt idx="3">
                  <c:v>44156.625</c:v>
                </c:pt>
                <c:pt idx="4">
                  <c:v>44149.625</c:v>
                </c:pt>
                <c:pt idx="5">
                  <c:v>44142.625</c:v>
                </c:pt>
                <c:pt idx="6">
                  <c:v>44135.625</c:v>
                </c:pt>
                <c:pt idx="7">
                  <c:v>44128.625</c:v>
                </c:pt>
                <c:pt idx="8">
                  <c:v>44121.625</c:v>
                </c:pt>
                <c:pt idx="9">
                  <c:v>44114.625</c:v>
                </c:pt>
              </c:numCache>
            </c:numRef>
          </c:xVal>
          <c:yVal>
            <c:numRef>
              <c:f>Kuvaajat!$AG$80:$AG$89</c:f>
              <c:numCache>
                <c:formatCode>General</c:formatCode>
                <c:ptCount val="10"/>
                <c:pt idx="0">
                  <c:v>250</c:v>
                </c:pt>
                <c:pt idx="1">
                  <c:v>249</c:v>
                </c:pt>
                <c:pt idx="2">
                  <c:v>285</c:v>
                </c:pt>
                <c:pt idx="3">
                  <c:v>268</c:v>
                </c:pt>
                <c:pt idx="4">
                  <c:v>145</c:v>
                </c:pt>
                <c:pt idx="5">
                  <c:v>128</c:v>
                </c:pt>
                <c:pt idx="6">
                  <c:v>121</c:v>
                </c:pt>
                <c:pt idx="7">
                  <c:v>107</c:v>
                </c:pt>
                <c:pt idx="8">
                  <c:v>104</c:v>
                </c:pt>
                <c:pt idx="9">
                  <c:v>109</c:v>
                </c:pt>
              </c:numCache>
            </c:numRef>
          </c:yVal>
          <c:smooth val="0"/>
          <c:extLst>
            <c:ext xmlns:c16="http://schemas.microsoft.com/office/drawing/2014/chart" uri="{C3380CC4-5D6E-409C-BE32-E72D297353CC}">
              <c16:uniqueId val="{00000005-18F3-420A-88B6-B113556D83D0}"/>
            </c:ext>
          </c:extLst>
        </c:ser>
        <c:ser>
          <c:idx val="5"/>
          <c:order val="5"/>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dashDot"/>
                <a:round/>
              </a:ln>
              <a:effectLst/>
            </c:spPr>
            <c:extLst>
              <c:ext xmlns:c16="http://schemas.microsoft.com/office/drawing/2014/chart" uri="{C3380CC4-5D6E-409C-BE32-E72D297353CC}">
                <c16:uniqueId val="{00000008-18F3-420A-88B6-B113556D83D0}"/>
              </c:ext>
            </c:extLst>
          </c:dPt>
          <c:xVal>
            <c:numRef>
              <c:f>Kuvaajat!$AJ$80:$AJ$89</c:f>
              <c:numCache>
                <c:formatCode>d/m/;@</c:formatCode>
                <c:ptCount val="10"/>
                <c:pt idx="0" formatCode="d/m">
                  <c:v>44176.625</c:v>
                </c:pt>
                <c:pt idx="1">
                  <c:v>44169.625</c:v>
                </c:pt>
                <c:pt idx="2">
                  <c:v>44162.625</c:v>
                </c:pt>
                <c:pt idx="3">
                  <c:v>44155.625</c:v>
                </c:pt>
                <c:pt idx="4">
                  <c:v>44148.625</c:v>
                </c:pt>
                <c:pt idx="5">
                  <c:v>44141.625</c:v>
                </c:pt>
                <c:pt idx="6">
                  <c:v>44134.625</c:v>
                </c:pt>
                <c:pt idx="7">
                  <c:v>44127.625</c:v>
                </c:pt>
                <c:pt idx="8">
                  <c:v>44120.625</c:v>
                </c:pt>
                <c:pt idx="9">
                  <c:v>44113.625</c:v>
                </c:pt>
              </c:numCache>
            </c:numRef>
          </c:xVal>
          <c:yVal>
            <c:numRef>
              <c:f>Kuvaajat!$AK$80:$AK$89</c:f>
              <c:numCache>
                <c:formatCode>General</c:formatCode>
                <c:ptCount val="10"/>
                <c:pt idx="0">
                  <c:v>445</c:v>
                </c:pt>
                <c:pt idx="1">
                  <c:v>472</c:v>
                </c:pt>
                <c:pt idx="2">
                  <c:v>455</c:v>
                </c:pt>
                <c:pt idx="3">
                  <c:v>428</c:v>
                </c:pt>
                <c:pt idx="4">
                  <c:v>266</c:v>
                </c:pt>
                <c:pt idx="5">
                  <c:v>196</c:v>
                </c:pt>
                <c:pt idx="6">
                  <c:v>219</c:v>
                </c:pt>
                <c:pt idx="7">
                  <c:v>192</c:v>
                </c:pt>
                <c:pt idx="8">
                  <c:v>195</c:v>
                </c:pt>
                <c:pt idx="9">
                  <c:v>227</c:v>
                </c:pt>
              </c:numCache>
            </c:numRef>
          </c:yVal>
          <c:smooth val="0"/>
          <c:extLst>
            <c:ext xmlns:c16="http://schemas.microsoft.com/office/drawing/2014/chart" uri="{C3380CC4-5D6E-409C-BE32-E72D297353CC}">
              <c16:uniqueId val="{00000007-18F3-420A-88B6-B113556D83D0}"/>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Kuvaajat!$AN$80:$AN$89</c:f>
              <c:numCache>
                <c:formatCode>d/m/;@</c:formatCode>
                <c:ptCount val="10"/>
                <c:pt idx="0" formatCode="d/m">
                  <c:v>44175.625</c:v>
                </c:pt>
                <c:pt idx="1">
                  <c:v>44168.625</c:v>
                </c:pt>
                <c:pt idx="2">
                  <c:v>44161.625</c:v>
                </c:pt>
                <c:pt idx="3">
                  <c:v>44154.625</c:v>
                </c:pt>
                <c:pt idx="4">
                  <c:v>44147.625</c:v>
                </c:pt>
                <c:pt idx="5">
                  <c:v>44140.625</c:v>
                </c:pt>
                <c:pt idx="6">
                  <c:v>44133.625</c:v>
                </c:pt>
                <c:pt idx="7">
                  <c:v>44126.625</c:v>
                </c:pt>
                <c:pt idx="8">
                  <c:v>44119.625</c:v>
                </c:pt>
                <c:pt idx="9">
                  <c:v>44112.625</c:v>
                </c:pt>
              </c:numCache>
            </c:numRef>
          </c:xVal>
          <c:yVal>
            <c:numRef>
              <c:f>Kuvaajat!$AO$80:$AO$89</c:f>
              <c:numCache>
                <c:formatCode>General</c:formatCode>
                <c:ptCount val="10"/>
                <c:pt idx="0">
                  <c:v>408</c:v>
                </c:pt>
                <c:pt idx="1">
                  <c:v>477</c:v>
                </c:pt>
                <c:pt idx="2">
                  <c:v>510</c:v>
                </c:pt>
                <c:pt idx="3">
                  <c:v>478</c:v>
                </c:pt>
                <c:pt idx="4">
                  <c:v>282</c:v>
                </c:pt>
                <c:pt idx="5">
                  <c:v>221</c:v>
                </c:pt>
                <c:pt idx="6">
                  <c:v>237</c:v>
                </c:pt>
                <c:pt idx="7">
                  <c:v>220</c:v>
                </c:pt>
                <c:pt idx="8">
                  <c:v>190</c:v>
                </c:pt>
                <c:pt idx="9">
                  <c:v>258</c:v>
                </c:pt>
              </c:numCache>
            </c:numRef>
          </c:yVal>
          <c:smooth val="0"/>
          <c:extLst>
            <c:ext xmlns:c16="http://schemas.microsoft.com/office/drawing/2014/chart" uri="{C3380CC4-5D6E-409C-BE32-E72D297353CC}">
              <c16:uniqueId val="{00000009-18F3-420A-88B6-B113556D83D0}"/>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168730</xdr:rowOff>
    </xdr:from>
    <xdr:to>
      <xdr:col>10</xdr:col>
      <xdr:colOff>506186</xdr:colOff>
      <xdr:row>24</xdr:row>
      <xdr:rowOff>122465</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208107</xdr:colOff>
      <xdr:row>10</xdr:row>
      <xdr:rowOff>25612</xdr:rowOff>
    </xdr:from>
    <xdr:to>
      <xdr:col>14</xdr:col>
      <xdr:colOff>89646</xdr:colOff>
      <xdr:row>29</xdr:row>
      <xdr:rowOff>121663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71</xdr:row>
      <xdr:rowOff>51177</xdr:rowOff>
    </xdr:from>
    <xdr:to>
      <xdr:col>12</xdr:col>
      <xdr:colOff>806824</xdr:colOff>
      <xdr:row>94</xdr:row>
      <xdr:rowOff>4432</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59871</xdr:colOff>
      <xdr:row>95</xdr:row>
      <xdr:rowOff>10886</xdr:rowOff>
    </xdr:from>
    <xdr:to>
      <xdr:col>13</xdr:col>
      <xdr:colOff>6724</xdr:colOff>
      <xdr:row>117</xdr:row>
      <xdr:rowOff>100213</xdr:rowOff>
    </xdr:to>
    <xdr:graphicFrame macro="">
      <xdr:nvGraphicFramePr>
        <xdr:cNvPr id="10" name="Chart 9">
          <a:extLst>
            <a:ext uri="{FF2B5EF4-FFF2-40B4-BE49-F238E27FC236}">
              <a16:creationId xmlns:a16="http://schemas.microsoft.com/office/drawing/2014/main" id="{4C1B594E-A732-4914-9F04-18586ACE9D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heetViews>
  <sheetFormatPr defaultRowHeight="14.6"/>
  <sheetData>
    <row r="2" spans="1:7" ht="14.6" customHeight="1">
      <c r="A2" s="28" t="s">
        <v>10</v>
      </c>
      <c r="B2" s="29"/>
      <c r="C2" s="29"/>
      <c r="D2" s="29"/>
      <c r="E2" s="29"/>
      <c r="F2" s="29"/>
      <c r="G2" s="29"/>
    </row>
    <row r="3" spans="1:7">
      <c r="A3" s="29"/>
      <c r="B3" s="29"/>
      <c r="C3" s="29"/>
      <c r="D3" s="29"/>
      <c r="E3" s="29"/>
      <c r="F3" s="29"/>
      <c r="G3" s="29"/>
    </row>
    <row r="4" spans="1:7">
      <c r="A4" s="29"/>
      <c r="B4" s="29"/>
      <c r="C4" s="29"/>
      <c r="D4" s="29"/>
      <c r="E4" s="29"/>
      <c r="F4" s="29"/>
      <c r="G4" s="29"/>
    </row>
    <row r="5" spans="1:7">
      <c r="A5" s="29"/>
      <c r="B5" s="29"/>
      <c r="C5" s="29"/>
      <c r="D5" s="29"/>
      <c r="E5" s="29"/>
      <c r="F5" s="29"/>
      <c r="G5" s="29"/>
    </row>
    <row r="6" spans="1:7">
      <c r="A6" s="29"/>
      <c r="B6" s="29"/>
      <c r="C6" s="29"/>
      <c r="D6" s="29"/>
      <c r="E6" s="29"/>
      <c r="F6" s="29"/>
      <c r="G6" s="29"/>
    </row>
    <row r="7" spans="1:7">
      <c r="A7" s="29"/>
      <c r="B7" s="29"/>
      <c r="C7" s="29"/>
      <c r="D7" s="29"/>
      <c r="E7" s="29"/>
      <c r="F7" s="29"/>
      <c r="G7" s="29"/>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5" activePane="bottomLeft" state="frozen"/>
      <selection pane="bottomLeft" activeCell="A70" sqref="A70"/>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33162</v>
      </c>
      <c r="I1" s="8">
        <v>44185.485590277778</v>
      </c>
      <c r="J1" s="7">
        <f>MAX(Id)</f>
        <v>613</v>
      </c>
      <c r="K1" s="15">
        <f>VLOOKUP(J1,A:F,6,FALSE)</f>
        <v>44160.625</v>
      </c>
      <c r="L1" s="7" t="str">
        <f>"Päivittäisiä COVID-19 tapauksia vuoden 2020 alusta lähtien "&amp;TEXT(MAX(F:F)-4,"p.kk")&amp;" saakka. Suurin arvo "&amp;J1&amp;", joka "&amp;TEXT(K1,"p.kk")&amp;". Uusimpien 4 päivien arvot tulevat viiveellä, joten ne jätetty pois kuvaajasta "&amp;TEXT(MAX(F:F),"p.kk")&amp;"."</f>
        <v>Päivittäisiä COVID-19 tapauksia vuoden 2020 alusta lähtien 16.12 saakka. Suurin arvo 613, joka 25.11. Uusimpien 4 päivien arvot tulevat viiveellä, joten ne jätetty pois kuvaajasta 20.12.</v>
      </c>
      <c r="M1" s="7">
        <f>COUNT(Id)-5</f>
        <v>350</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5926</v>
      </c>
    </row>
    <row r="31" spans="1:11">
      <c r="A31">
        <v>0</v>
      </c>
      <c r="B31" t="s">
        <v>263</v>
      </c>
      <c r="C31" t="s">
        <v>8</v>
      </c>
      <c r="E31" s="3">
        <f t="shared" si="0"/>
        <v>4</v>
      </c>
      <c r="F31" s="5">
        <v>43860.625</v>
      </c>
      <c r="H31" s="19" t="str">
        <f t="shared" si="1"/>
        <v/>
      </c>
      <c r="I31">
        <v>2</v>
      </c>
      <c r="J31" t="s">
        <v>303</v>
      </c>
      <c r="K31">
        <f t="shared" si="2"/>
        <v>5254</v>
      </c>
    </row>
    <row r="32" spans="1:11">
      <c r="A32">
        <v>0</v>
      </c>
      <c r="B32" t="s">
        <v>264</v>
      </c>
      <c r="C32" t="s">
        <v>8</v>
      </c>
      <c r="E32" s="3">
        <f t="shared" si="0"/>
        <v>5</v>
      </c>
      <c r="F32" s="5">
        <v>43861.625</v>
      </c>
      <c r="H32" s="19" t="str">
        <f t="shared" si="1"/>
        <v/>
      </c>
      <c r="I32">
        <v>3</v>
      </c>
      <c r="J32" t="s">
        <v>304</v>
      </c>
      <c r="K32">
        <f t="shared" si="2"/>
        <v>5506</v>
      </c>
    </row>
    <row r="33" spans="1:11">
      <c r="A33">
        <v>0</v>
      </c>
      <c r="B33" t="s">
        <v>265</v>
      </c>
      <c r="C33" t="s">
        <v>8</v>
      </c>
      <c r="E33" s="3">
        <f t="shared" si="0"/>
        <v>6</v>
      </c>
      <c r="F33" s="5">
        <v>43862.625</v>
      </c>
      <c r="H33" s="19" t="str">
        <f t="shared" si="1"/>
        <v/>
      </c>
      <c r="I33">
        <v>4</v>
      </c>
      <c r="J33" t="s">
        <v>305</v>
      </c>
      <c r="K33">
        <f t="shared" si="2"/>
        <v>5324</v>
      </c>
    </row>
    <row r="34" spans="1:11">
      <c r="A34">
        <v>0</v>
      </c>
      <c r="B34" t="s">
        <v>266</v>
      </c>
      <c r="C34" t="s">
        <v>8</v>
      </c>
      <c r="E34" s="3">
        <f t="shared" si="0"/>
        <v>7</v>
      </c>
      <c r="F34" s="5">
        <v>43863.625</v>
      </c>
      <c r="H34" s="19" t="str">
        <f t="shared" si="1"/>
        <v/>
      </c>
      <c r="I34">
        <v>5</v>
      </c>
      <c r="J34" t="s">
        <v>306</v>
      </c>
      <c r="K34">
        <f t="shared" si="2"/>
        <v>4995</v>
      </c>
    </row>
    <row r="35" spans="1:11">
      <c r="A35">
        <v>0</v>
      </c>
      <c r="B35" t="s">
        <v>267</v>
      </c>
      <c r="C35" t="s">
        <v>8</v>
      </c>
      <c r="E35" s="3">
        <f t="shared" si="0"/>
        <v>1</v>
      </c>
      <c r="F35" s="5">
        <v>43864.625</v>
      </c>
      <c r="H35" s="19" t="str">
        <f t="shared" si="1"/>
        <v>W6</v>
      </c>
      <c r="I35">
        <v>6</v>
      </c>
      <c r="J35" t="s">
        <v>307</v>
      </c>
      <c r="K35">
        <f t="shared" si="2"/>
        <v>2958</v>
      </c>
    </row>
    <row r="36" spans="1:11">
      <c r="A36">
        <v>0</v>
      </c>
      <c r="B36" t="s">
        <v>268</v>
      </c>
      <c r="C36" t="s">
        <v>8</v>
      </c>
      <c r="E36" s="3">
        <f t="shared" si="0"/>
        <v>2</v>
      </c>
      <c r="F36" s="5">
        <v>43865.625</v>
      </c>
      <c r="H36" s="19" t="str">
        <f t="shared" si="1"/>
        <v/>
      </c>
      <c r="I36">
        <v>7</v>
      </c>
      <c r="J36" t="s">
        <v>308</v>
      </c>
      <c r="K36">
        <f t="shared" si="2"/>
        <v>3199</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60</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104</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122</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200</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80</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130</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92</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123</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107</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58</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95</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92</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50</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4</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6</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8</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6</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12</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15</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42</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27</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35</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58</v>
      </c>
      <c r="B256" t="s">
        <v>209</v>
      </c>
      <c r="C256" t="s">
        <v>8</v>
      </c>
      <c r="E256" s="3">
        <f t="shared" si="7"/>
        <v>5</v>
      </c>
      <c r="F256" s="5">
        <v>44085.625</v>
      </c>
      <c r="G256" t="str">
        <f t="shared" si="10"/>
        <v/>
      </c>
      <c r="H256" s="19" t="str">
        <f t="shared" si="8"/>
        <v/>
      </c>
    </row>
    <row r="257" spans="1:9">
      <c r="A257">
        <v>40</v>
      </c>
      <c r="B257" t="s">
        <v>210</v>
      </c>
      <c r="C257" t="s">
        <v>8</v>
      </c>
      <c r="E257" s="3">
        <f t="shared" si="7"/>
        <v>6</v>
      </c>
      <c r="F257" s="5">
        <v>44086.625</v>
      </c>
      <c r="G257" t="str">
        <f t="shared" si="10"/>
        <v/>
      </c>
      <c r="H257" s="19" t="str">
        <f t="shared" si="8"/>
        <v/>
      </c>
    </row>
    <row r="258" spans="1:9">
      <c r="A258">
        <v>46</v>
      </c>
      <c r="B258" t="s">
        <v>211</v>
      </c>
      <c r="C258" t="s">
        <v>8</v>
      </c>
      <c r="E258" s="3">
        <f t="shared" si="7"/>
        <v>7</v>
      </c>
      <c r="F258" s="5">
        <v>44087.625</v>
      </c>
      <c r="G258" t="str">
        <f t="shared" si="10"/>
        <v/>
      </c>
      <c r="H258" s="19" t="str">
        <f t="shared" si="8"/>
        <v/>
      </c>
    </row>
    <row r="259" spans="1:9">
      <c r="A259">
        <v>59</v>
      </c>
      <c r="B259" t="s">
        <v>212</v>
      </c>
      <c r="C259" t="s">
        <v>8</v>
      </c>
      <c r="E259" s="3">
        <f t="shared" ref="E259:E324" si="11">WEEKDAY(F259,2)</f>
        <v>1</v>
      </c>
      <c r="F259" s="5">
        <v>44088.625</v>
      </c>
      <c r="G259" t="str">
        <f t="shared" si="10"/>
        <v>Maanantai</v>
      </c>
      <c r="H259" s="19" t="str">
        <f t="shared" ref="H259:H307" si="12">IF(WEEKDAY(F259,2)=1,"W"&amp;WEEKNUM(F259,14),"")</f>
        <v>W38</v>
      </c>
      <c r="I259">
        <f>SUM(A259:A265)</f>
        <v>466</v>
      </c>
    </row>
    <row r="260" spans="1:9">
      <c r="A260">
        <v>53</v>
      </c>
      <c r="B260" t="s">
        <v>213</v>
      </c>
      <c r="C260" t="s">
        <v>8</v>
      </c>
      <c r="E260" s="3">
        <f t="shared" si="11"/>
        <v>2</v>
      </c>
      <c r="F260" s="5">
        <v>44089.625</v>
      </c>
      <c r="G260" t="str">
        <f t="shared" si="10"/>
        <v/>
      </c>
      <c r="H260" s="19" t="str">
        <f t="shared" si="12"/>
        <v/>
      </c>
    </row>
    <row r="261" spans="1:9">
      <c r="A261">
        <v>57</v>
      </c>
      <c r="B261" t="s">
        <v>214</v>
      </c>
      <c r="C261" t="s">
        <v>8</v>
      </c>
      <c r="E261" s="3">
        <f t="shared" si="11"/>
        <v>3</v>
      </c>
      <c r="F261" s="5">
        <v>44090.625</v>
      </c>
      <c r="G261" t="str">
        <f t="shared" si="10"/>
        <v/>
      </c>
      <c r="H261" s="19" t="str">
        <f t="shared" si="12"/>
        <v/>
      </c>
    </row>
    <row r="262" spans="1:9">
      <c r="A262">
        <v>85</v>
      </c>
      <c r="B262" t="s">
        <v>215</v>
      </c>
      <c r="C262" t="s">
        <v>8</v>
      </c>
      <c r="E262" s="3">
        <f t="shared" si="11"/>
        <v>4</v>
      </c>
      <c r="F262" s="5">
        <v>44091.625</v>
      </c>
      <c r="G262" t="str">
        <f t="shared" si="10"/>
        <v/>
      </c>
      <c r="H262" s="19" t="str">
        <f t="shared" si="12"/>
        <v/>
      </c>
    </row>
    <row r="263" spans="1:9">
      <c r="A263">
        <v>77</v>
      </c>
      <c r="B263" t="s">
        <v>216</v>
      </c>
      <c r="C263" t="s">
        <v>8</v>
      </c>
      <c r="E263" s="3">
        <f t="shared" si="11"/>
        <v>5</v>
      </c>
      <c r="F263" s="5">
        <v>44092.625</v>
      </c>
      <c r="G263" t="str">
        <f t="shared" si="10"/>
        <v/>
      </c>
      <c r="H263" s="19" t="str">
        <f t="shared" si="12"/>
        <v/>
      </c>
    </row>
    <row r="264" spans="1:9">
      <c r="A264">
        <v>61</v>
      </c>
      <c r="B264" t="s">
        <v>217</v>
      </c>
      <c r="C264" t="s">
        <v>8</v>
      </c>
      <c r="E264" s="3">
        <f t="shared" si="11"/>
        <v>6</v>
      </c>
      <c r="F264" s="5">
        <v>44093.625</v>
      </c>
      <c r="G264" t="str">
        <f t="shared" si="10"/>
        <v/>
      </c>
      <c r="H264" s="19" t="str">
        <f t="shared" si="12"/>
        <v/>
      </c>
    </row>
    <row r="265" spans="1:9">
      <c r="A265">
        <v>74</v>
      </c>
      <c r="B265" t="s">
        <v>218</v>
      </c>
      <c r="C265" t="s">
        <v>8</v>
      </c>
      <c r="E265" s="3">
        <f t="shared" si="11"/>
        <v>7</v>
      </c>
      <c r="F265" s="5">
        <v>44094.625</v>
      </c>
      <c r="G265" t="str">
        <f t="shared" si="10"/>
        <v/>
      </c>
      <c r="H265" s="19" t="str">
        <f t="shared" si="12"/>
        <v/>
      </c>
    </row>
    <row r="266" spans="1:9">
      <c r="A266">
        <v>120</v>
      </c>
      <c r="B266" t="s">
        <v>219</v>
      </c>
      <c r="C266" t="s">
        <v>8</v>
      </c>
      <c r="E266" s="3">
        <f t="shared" si="11"/>
        <v>1</v>
      </c>
      <c r="F266" s="5">
        <v>44095.625</v>
      </c>
      <c r="G266" t="str">
        <f t="shared" si="10"/>
        <v>Maanantai</v>
      </c>
      <c r="H266" s="19" t="str">
        <f t="shared" si="12"/>
        <v>W39</v>
      </c>
      <c r="I266">
        <f>SUM(A266:A272)</f>
        <v>716</v>
      </c>
    </row>
    <row r="267" spans="1:9">
      <c r="A267">
        <v>110</v>
      </c>
      <c r="B267" t="s">
        <v>220</v>
      </c>
      <c r="C267" t="s">
        <v>8</v>
      </c>
      <c r="E267" s="3">
        <f t="shared" si="11"/>
        <v>2</v>
      </c>
      <c r="F267" s="5">
        <v>44096.625</v>
      </c>
      <c r="G267" t="str">
        <f t="shared" si="10"/>
        <v/>
      </c>
      <c r="H267" s="19" t="str">
        <f t="shared" si="12"/>
        <v/>
      </c>
    </row>
    <row r="268" spans="1:9">
      <c r="A268">
        <v>117</v>
      </c>
      <c r="B268" t="s">
        <v>221</v>
      </c>
      <c r="C268" t="s">
        <v>8</v>
      </c>
      <c r="E268" s="3">
        <f t="shared" si="11"/>
        <v>3</v>
      </c>
      <c r="F268" s="5">
        <v>44097.625</v>
      </c>
      <c r="G268" t="str">
        <f t="shared" si="10"/>
        <v/>
      </c>
      <c r="H268" s="19" t="str">
        <f t="shared" si="12"/>
        <v/>
      </c>
    </row>
    <row r="269" spans="1:9">
      <c r="A269">
        <v>98</v>
      </c>
      <c r="B269" t="s">
        <v>222</v>
      </c>
      <c r="C269" t="s">
        <v>8</v>
      </c>
      <c r="E269" s="3">
        <f t="shared" si="11"/>
        <v>4</v>
      </c>
      <c r="F269" s="5">
        <v>44098.625</v>
      </c>
      <c r="G269" t="str">
        <f t="shared" si="10"/>
        <v/>
      </c>
      <c r="H269" s="19" t="str">
        <f t="shared" si="12"/>
        <v/>
      </c>
    </row>
    <row r="270" spans="1:9">
      <c r="A270">
        <v>127</v>
      </c>
      <c r="B270" t="s">
        <v>223</v>
      </c>
      <c r="C270" t="s">
        <v>8</v>
      </c>
      <c r="E270" s="3">
        <f t="shared" si="11"/>
        <v>5</v>
      </c>
      <c r="F270" s="5">
        <v>44099.625</v>
      </c>
      <c r="G270" t="str">
        <f t="shared" si="10"/>
        <v/>
      </c>
      <c r="H270" s="19" t="str">
        <f t="shared" si="12"/>
        <v/>
      </c>
    </row>
    <row r="271" spans="1:9">
      <c r="A271">
        <v>74</v>
      </c>
      <c r="B271" t="s">
        <v>224</v>
      </c>
      <c r="C271" t="s">
        <v>8</v>
      </c>
      <c r="E271" s="3">
        <f t="shared" si="11"/>
        <v>6</v>
      </c>
      <c r="F271" s="5">
        <v>44100.625</v>
      </c>
      <c r="G271" t="str">
        <f t="shared" si="10"/>
        <v/>
      </c>
      <c r="H271" s="19" t="str">
        <f t="shared" si="12"/>
        <v/>
      </c>
    </row>
    <row r="272" spans="1:9">
      <c r="A272">
        <v>70</v>
      </c>
      <c r="B272" t="s">
        <v>225</v>
      </c>
      <c r="C272" t="s">
        <v>8</v>
      </c>
      <c r="E272" s="3">
        <f t="shared" si="11"/>
        <v>7</v>
      </c>
      <c r="F272" s="5">
        <v>44101.625</v>
      </c>
      <c r="G272" t="str">
        <f t="shared" si="10"/>
        <v/>
      </c>
      <c r="H272" s="19" t="str">
        <f t="shared" si="12"/>
        <v/>
      </c>
    </row>
    <row r="273" spans="1:9">
      <c r="A273">
        <v>122</v>
      </c>
      <c r="B273" t="s">
        <v>226</v>
      </c>
      <c r="C273" t="s">
        <v>8</v>
      </c>
      <c r="E273" s="3">
        <f t="shared" si="11"/>
        <v>1</v>
      </c>
      <c r="F273" s="5">
        <v>44102.625</v>
      </c>
      <c r="G273" t="str">
        <f t="shared" si="10"/>
        <v>Maanantai</v>
      </c>
      <c r="H273" s="19" t="str">
        <f t="shared" si="12"/>
        <v>W40</v>
      </c>
      <c r="I273">
        <f>SUM(A273:A279)</f>
        <v>1127</v>
      </c>
    </row>
    <row r="274" spans="1:9">
      <c r="A274">
        <v>134</v>
      </c>
      <c r="B274" t="s">
        <v>227</v>
      </c>
      <c r="C274" t="s">
        <v>8</v>
      </c>
      <c r="E274" s="3">
        <f t="shared" si="11"/>
        <v>2</v>
      </c>
      <c r="F274" s="5">
        <v>44103.625</v>
      </c>
      <c r="G274" t="str">
        <f t="shared" si="10"/>
        <v/>
      </c>
      <c r="H274" s="19" t="str">
        <f t="shared" si="12"/>
        <v/>
      </c>
    </row>
    <row r="275" spans="1:9">
      <c r="A275">
        <v>166</v>
      </c>
      <c r="B275" t="s">
        <v>229</v>
      </c>
      <c r="C275" t="s">
        <v>8</v>
      </c>
      <c r="E275" s="3">
        <f t="shared" si="11"/>
        <v>3</v>
      </c>
      <c r="F275" s="5">
        <v>44104.625</v>
      </c>
      <c r="G275" t="str">
        <f t="shared" si="10"/>
        <v/>
      </c>
      <c r="H275" s="19" t="str">
        <f t="shared" si="12"/>
        <v/>
      </c>
    </row>
    <row r="276" spans="1:9">
      <c r="A276">
        <v>189</v>
      </c>
      <c r="B276" t="s">
        <v>231</v>
      </c>
      <c r="C276" t="s">
        <v>8</v>
      </c>
      <c r="E276" s="3">
        <f t="shared" si="11"/>
        <v>4</v>
      </c>
      <c r="F276" s="5">
        <v>44105.625</v>
      </c>
      <c r="G276" t="str">
        <f t="shared" si="10"/>
        <v/>
      </c>
      <c r="H276" s="19" t="str">
        <f t="shared" si="12"/>
        <v/>
      </c>
    </row>
    <row r="277" spans="1:9">
      <c r="A277">
        <v>188</v>
      </c>
      <c r="B277" t="s">
        <v>232</v>
      </c>
      <c r="C277" t="s">
        <v>8</v>
      </c>
      <c r="E277" s="3">
        <f t="shared" si="11"/>
        <v>5</v>
      </c>
      <c r="F277" s="5">
        <v>44106.625</v>
      </c>
      <c r="G277" t="str">
        <f t="shared" si="10"/>
        <v/>
      </c>
      <c r="H277" s="19" t="str">
        <f t="shared" si="12"/>
        <v/>
      </c>
    </row>
    <row r="278" spans="1:9">
      <c r="A278">
        <v>180</v>
      </c>
      <c r="B278" t="s">
        <v>234</v>
      </c>
      <c r="C278" t="s">
        <v>8</v>
      </c>
      <c r="E278" s="3">
        <f t="shared" si="11"/>
        <v>6</v>
      </c>
      <c r="F278" s="5">
        <v>44107.625</v>
      </c>
      <c r="G278" t="str">
        <f t="shared" si="10"/>
        <v/>
      </c>
      <c r="H278" s="19" t="str">
        <f t="shared" si="12"/>
        <v/>
      </c>
    </row>
    <row r="279" spans="1:9">
      <c r="A279">
        <v>148</v>
      </c>
      <c r="B279" t="s">
        <v>293</v>
      </c>
      <c r="C279" t="s">
        <v>8</v>
      </c>
      <c r="E279" s="3">
        <f t="shared" si="11"/>
        <v>7</v>
      </c>
      <c r="F279" s="5">
        <v>44108.625</v>
      </c>
      <c r="G279" t="str">
        <f t="shared" si="10"/>
        <v/>
      </c>
      <c r="H279" s="19" t="str">
        <f t="shared" si="12"/>
        <v/>
      </c>
    </row>
    <row r="280" spans="1:9" s="10" customFormat="1">
      <c r="A280" s="10">
        <v>291</v>
      </c>
      <c r="B280" s="10" t="s">
        <v>294</v>
      </c>
      <c r="C280" s="10" t="s">
        <v>8</v>
      </c>
      <c r="E280" s="14">
        <f t="shared" si="11"/>
        <v>1</v>
      </c>
      <c r="F280" s="18">
        <v>44109.625</v>
      </c>
      <c r="G280" s="10" t="str">
        <f t="shared" si="10"/>
        <v>Maanantai</v>
      </c>
      <c r="H280" s="19" t="str">
        <f t="shared" si="12"/>
        <v>W41</v>
      </c>
      <c r="I280">
        <f>SUM(A280:A286)</f>
        <v>1624</v>
      </c>
    </row>
    <row r="281" spans="1:9">
      <c r="A281">
        <v>303</v>
      </c>
      <c r="B281" t="s">
        <v>295</v>
      </c>
      <c r="C281" t="s">
        <v>8</v>
      </c>
      <c r="E281" s="3">
        <f t="shared" si="11"/>
        <v>2</v>
      </c>
      <c r="F281" s="5">
        <v>44110.625</v>
      </c>
      <c r="G281" t="str">
        <f t="shared" si="10"/>
        <v/>
      </c>
      <c r="H281" s="19" t="str">
        <f t="shared" si="12"/>
        <v/>
      </c>
    </row>
    <row r="282" spans="1:9">
      <c r="A282">
        <v>306</v>
      </c>
      <c r="B282" t="s">
        <v>296</v>
      </c>
      <c r="C282" t="s">
        <v>8</v>
      </c>
      <c r="E282" s="3">
        <f t="shared" si="11"/>
        <v>3</v>
      </c>
      <c r="F282" s="5">
        <v>44111.625</v>
      </c>
      <c r="G282" t="str">
        <f t="shared" si="10"/>
        <v/>
      </c>
      <c r="H282" s="19" t="str">
        <f t="shared" si="12"/>
        <v/>
      </c>
    </row>
    <row r="283" spans="1:9">
      <c r="A283">
        <v>258</v>
      </c>
      <c r="B283" t="s">
        <v>297</v>
      </c>
      <c r="C283" t="s">
        <v>8</v>
      </c>
      <c r="E283" s="3">
        <f t="shared" si="11"/>
        <v>4</v>
      </c>
      <c r="F283" s="5">
        <v>44112.625</v>
      </c>
      <c r="G283" t="str">
        <f t="shared" si="10"/>
        <v/>
      </c>
      <c r="H283" s="19" t="str">
        <f t="shared" si="12"/>
        <v/>
      </c>
    </row>
    <row r="284" spans="1:9">
      <c r="A284">
        <v>227</v>
      </c>
      <c r="B284" t="s">
        <v>298</v>
      </c>
      <c r="C284" t="s">
        <v>8</v>
      </c>
      <c r="E284" s="3">
        <f t="shared" si="11"/>
        <v>5</v>
      </c>
      <c r="F284" s="5">
        <v>44113.625</v>
      </c>
      <c r="G284" t="str">
        <f t="shared" si="10"/>
        <v/>
      </c>
      <c r="H284" s="19" t="str">
        <f t="shared" si="12"/>
        <v/>
      </c>
    </row>
    <row r="285" spans="1:9">
      <c r="A285">
        <v>109</v>
      </c>
      <c r="B285" t="s">
        <v>309</v>
      </c>
      <c r="C285" t="s">
        <v>8</v>
      </c>
      <c r="E285" s="3">
        <f t="shared" si="11"/>
        <v>6</v>
      </c>
      <c r="F285" s="5">
        <v>44114.625</v>
      </c>
      <c r="G285" t="str">
        <f t="shared" si="10"/>
        <v/>
      </c>
      <c r="H285" s="19" t="str">
        <f t="shared" si="12"/>
        <v/>
      </c>
    </row>
    <row r="286" spans="1:9">
      <c r="A286">
        <v>130</v>
      </c>
      <c r="B286" t="s">
        <v>310</v>
      </c>
      <c r="C286" t="s">
        <v>8</v>
      </c>
      <c r="E286" s="3">
        <f t="shared" si="11"/>
        <v>7</v>
      </c>
      <c r="F286" s="5">
        <v>44115.625</v>
      </c>
      <c r="G286" t="str">
        <f t="shared" si="10"/>
        <v/>
      </c>
      <c r="H286" s="19" t="str">
        <f t="shared" si="12"/>
        <v/>
      </c>
    </row>
    <row r="287" spans="1:9" s="10" customFormat="1">
      <c r="A287" s="10">
        <v>255</v>
      </c>
      <c r="B287" s="10" t="s">
        <v>314</v>
      </c>
      <c r="C287" s="10" t="s">
        <v>8</v>
      </c>
      <c r="E287" s="14">
        <f t="shared" si="11"/>
        <v>1</v>
      </c>
      <c r="F287" s="18">
        <v>44116.625</v>
      </c>
      <c r="G287" s="10" t="str">
        <f t="shared" si="10"/>
        <v>Maanantai</v>
      </c>
      <c r="H287" s="19" t="str">
        <f t="shared" si="12"/>
        <v>W42</v>
      </c>
      <c r="I287">
        <f>SUM(A287:A293)</f>
        <v>1273</v>
      </c>
    </row>
    <row r="288" spans="1:9">
      <c r="A288">
        <v>199</v>
      </c>
      <c r="B288" t="s">
        <v>315</v>
      </c>
      <c r="C288" t="s">
        <v>8</v>
      </c>
      <c r="E288" s="3">
        <f t="shared" si="11"/>
        <v>2</v>
      </c>
      <c r="F288" s="5">
        <v>44117.625</v>
      </c>
      <c r="G288" t="str">
        <f t="shared" si="10"/>
        <v/>
      </c>
      <c r="H288" s="19" t="str">
        <f t="shared" si="12"/>
        <v/>
      </c>
    </row>
    <row r="289" spans="1:9">
      <c r="A289">
        <v>201</v>
      </c>
      <c r="B289" t="s">
        <v>316</v>
      </c>
      <c r="C289" t="s">
        <v>8</v>
      </c>
      <c r="E289" s="3">
        <f t="shared" si="11"/>
        <v>3</v>
      </c>
      <c r="F289" s="5">
        <v>44118.625</v>
      </c>
      <c r="G289" t="str">
        <f t="shared" si="10"/>
        <v/>
      </c>
      <c r="H289" s="19" t="str">
        <f t="shared" si="12"/>
        <v/>
      </c>
    </row>
    <row r="290" spans="1:9">
      <c r="A290">
        <v>190</v>
      </c>
      <c r="B290" t="s">
        <v>317</v>
      </c>
      <c r="C290" t="s">
        <v>8</v>
      </c>
      <c r="E290" s="3">
        <f t="shared" si="11"/>
        <v>4</v>
      </c>
      <c r="F290" s="5">
        <v>44119.625</v>
      </c>
      <c r="G290" t="str">
        <f t="shared" si="10"/>
        <v/>
      </c>
      <c r="H290" s="19" t="str">
        <f t="shared" si="12"/>
        <v/>
      </c>
    </row>
    <row r="291" spans="1:9">
      <c r="A291">
        <v>195</v>
      </c>
      <c r="B291" t="s">
        <v>318</v>
      </c>
      <c r="C291" t="s">
        <v>8</v>
      </c>
      <c r="E291" s="3">
        <f t="shared" si="11"/>
        <v>5</v>
      </c>
      <c r="F291" s="5">
        <v>44120.625</v>
      </c>
      <c r="G291" t="str">
        <f t="shared" si="10"/>
        <v/>
      </c>
      <c r="H291" s="19" t="str">
        <f t="shared" si="12"/>
        <v/>
      </c>
    </row>
    <row r="292" spans="1:9">
      <c r="A292">
        <v>104</v>
      </c>
      <c r="B292" t="s">
        <v>319</v>
      </c>
      <c r="C292" t="s">
        <v>8</v>
      </c>
      <c r="E292" s="3">
        <f t="shared" si="11"/>
        <v>6</v>
      </c>
      <c r="F292" s="5">
        <v>44121.625</v>
      </c>
      <c r="G292" t="str">
        <f t="shared" si="10"/>
        <v/>
      </c>
      <c r="H292" s="19" t="str">
        <f t="shared" si="12"/>
        <v/>
      </c>
    </row>
    <row r="293" spans="1:9">
      <c r="A293">
        <v>129</v>
      </c>
      <c r="B293" t="s">
        <v>320</v>
      </c>
      <c r="C293" t="s">
        <v>8</v>
      </c>
      <c r="E293" s="3">
        <f t="shared" si="11"/>
        <v>7</v>
      </c>
      <c r="F293" s="5">
        <v>44122.625</v>
      </c>
      <c r="G293" t="str">
        <f t="shared" si="10"/>
        <v/>
      </c>
      <c r="H293" s="19" t="str">
        <f t="shared" si="12"/>
        <v/>
      </c>
    </row>
    <row r="294" spans="1:9" s="10" customFormat="1">
      <c r="A294" s="10">
        <v>244</v>
      </c>
      <c r="B294" s="10" t="s">
        <v>321</v>
      </c>
      <c r="C294" s="10" t="s">
        <v>8</v>
      </c>
      <c r="E294" s="14">
        <f t="shared" si="11"/>
        <v>1</v>
      </c>
      <c r="F294" s="18">
        <v>44123.625</v>
      </c>
      <c r="G294" s="10" t="str">
        <f t="shared" si="10"/>
        <v>Maanantai</v>
      </c>
      <c r="H294" s="19" t="str">
        <f t="shared" si="12"/>
        <v>W43</v>
      </c>
      <c r="I294">
        <f>SUM(A294:A300)</f>
        <v>1241</v>
      </c>
    </row>
    <row r="295" spans="1:9">
      <c r="A295">
        <v>166</v>
      </c>
      <c r="B295" t="s">
        <v>322</v>
      </c>
      <c r="C295" t="s">
        <v>8</v>
      </c>
      <c r="E295" s="3">
        <f t="shared" si="11"/>
        <v>2</v>
      </c>
      <c r="F295" s="5">
        <v>44124.625</v>
      </c>
      <c r="G295" t="str">
        <f t="shared" si="10"/>
        <v/>
      </c>
      <c r="H295" s="19" t="str">
        <f t="shared" si="12"/>
        <v/>
      </c>
    </row>
    <row r="296" spans="1:9">
      <c r="A296">
        <v>188</v>
      </c>
      <c r="B296" t="s">
        <v>323</v>
      </c>
      <c r="C296" t="s">
        <v>8</v>
      </c>
      <c r="E296" s="3">
        <f t="shared" si="11"/>
        <v>3</v>
      </c>
      <c r="F296" s="5">
        <v>44125.625</v>
      </c>
      <c r="G296" t="str">
        <f t="shared" si="10"/>
        <v/>
      </c>
      <c r="H296" s="19" t="str">
        <f t="shared" si="12"/>
        <v/>
      </c>
    </row>
    <row r="297" spans="1:9">
      <c r="A297">
        <v>220</v>
      </c>
      <c r="B297" t="s">
        <v>324</v>
      </c>
      <c r="C297" t="s">
        <v>8</v>
      </c>
      <c r="E297" s="3">
        <f t="shared" si="11"/>
        <v>4</v>
      </c>
      <c r="F297" s="5">
        <v>44126.625</v>
      </c>
      <c r="G297" t="str">
        <f t="shared" si="10"/>
        <v/>
      </c>
      <c r="H297" s="19" t="str">
        <f t="shared" si="12"/>
        <v/>
      </c>
    </row>
    <row r="298" spans="1:9">
      <c r="A298">
        <v>192</v>
      </c>
      <c r="B298" t="s">
        <v>325</v>
      </c>
      <c r="C298" t="s">
        <v>8</v>
      </c>
      <c r="E298" s="3">
        <f t="shared" si="11"/>
        <v>5</v>
      </c>
      <c r="F298" s="5">
        <v>44127.625</v>
      </c>
      <c r="G298" t="str">
        <f t="shared" si="10"/>
        <v/>
      </c>
      <c r="H298" s="19" t="str">
        <f t="shared" si="12"/>
        <v/>
      </c>
    </row>
    <row r="299" spans="1:9">
      <c r="A299">
        <v>107</v>
      </c>
      <c r="B299" t="s">
        <v>326</v>
      </c>
      <c r="C299" t="s">
        <v>8</v>
      </c>
      <c r="E299" s="3">
        <f t="shared" si="11"/>
        <v>6</v>
      </c>
      <c r="F299" s="5">
        <v>44128.625</v>
      </c>
      <c r="G299" t="str">
        <f t="shared" si="10"/>
        <v/>
      </c>
      <c r="H299" s="19" t="str">
        <f t="shared" si="12"/>
        <v/>
      </c>
    </row>
    <row r="300" spans="1:9">
      <c r="A300">
        <v>124</v>
      </c>
      <c r="B300" t="s">
        <v>327</v>
      </c>
      <c r="C300" t="s">
        <v>8</v>
      </c>
      <c r="E300" s="3">
        <f t="shared" si="11"/>
        <v>7</v>
      </c>
      <c r="F300" s="5">
        <v>44129.625</v>
      </c>
      <c r="G300" t="str">
        <f t="shared" si="10"/>
        <v/>
      </c>
      <c r="H300" s="19" t="str">
        <f t="shared" si="12"/>
        <v/>
      </c>
    </row>
    <row r="301" spans="1:9" s="10" customFormat="1">
      <c r="A301" s="10">
        <v>256</v>
      </c>
      <c r="B301" s="10" t="s">
        <v>328</v>
      </c>
      <c r="C301" s="10" t="s">
        <v>8</v>
      </c>
      <c r="E301" s="14">
        <f t="shared" si="11"/>
        <v>1</v>
      </c>
      <c r="F301" s="18">
        <v>44130.625</v>
      </c>
      <c r="G301" s="10" t="str">
        <f t="shared" si="10"/>
        <v>Maanantai</v>
      </c>
      <c r="H301" s="19" t="str">
        <f t="shared" si="12"/>
        <v>W44</v>
      </c>
      <c r="I301">
        <f>SUM(A301:A307)</f>
        <v>1453</v>
      </c>
    </row>
    <row r="302" spans="1:9">
      <c r="A302">
        <v>231</v>
      </c>
      <c r="B302" t="s">
        <v>329</v>
      </c>
      <c r="C302" t="s">
        <v>8</v>
      </c>
      <c r="E302" s="3">
        <f t="shared" si="11"/>
        <v>2</v>
      </c>
      <c r="F302" s="5">
        <v>44131.625</v>
      </c>
      <c r="G302" t="str">
        <f t="shared" si="10"/>
        <v/>
      </c>
      <c r="H302" s="19" t="str">
        <f t="shared" si="12"/>
        <v/>
      </c>
    </row>
    <row r="303" spans="1:9">
      <c r="A303">
        <v>239</v>
      </c>
      <c r="B303" t="s">
        <v>330</v>
      </c>
      <c r="C303" t="s">
        <v>8</v>
      </c>
      <c r="E303" s="3">
        <f t="shared" si="11"/>
        <v>3</v>
      </c>
      <c r="F303" s="5">
        <v>44132.625</v>
      </c>
      <c r="G303" t="str">
        <f t="shared" si="10"/>
        <v/>
      </c>
      <c r="H303" s="19" t="str">
        <f t="shared" si="12"/>
        <v/>
      </c>
    </row>
    <row r="304" spans="1:9">
      <c r="A304">
        <v>237</v>
      </c>
      <c r="B304" t="s">
        <v>331</v>
      </c>
      <c r="C304" t="s">
        <v>8</v>
      </c>
      <c r="E304" s="3">
        <f t="shared" si="11"/>
        <v>4</v>
      </c>
      <c r="F304" s="5">
        <v>44133.625</v>
      </c>
      <c r="G304" t="str">
        <f t="shared" si="10"/>
        <v/>
      </c>
      <c r="H304" s="19" t="str">
        <f t="shared" si="12"/>
        <v/>
      </c>
    </row>
    <row r="305" spans="1:9">
      <c r="A305">
        <v>219</v>
      </c>
      <c r="B305" t="s">
        <v>332</v>
      </c>
      <c r="C305" t="s">
        <v>8</v>
      </c>
      <c r="E305" s="3">
        <f t="shared" si="11"/>
        <v>5</v>
      </c>
      <c r="F305" s="5">
        <v>44134.625</v>
      </c>
      <c r="G305" t="str">
        <f t="shared" si="10"/>
        <v/>
      </c>
      <c r="H305" s="19" t="str">
        <f t="shared" si="12"/>
        <v/>
      </c>
    </row>
    <row r="306" spans="1:9">
      <c r="A306">
        <v>121</v>
      </c>
      <c r="B306" t="s">
        <v>333</v>
      </c>
      <c r="C306" t="s">
        <v>8</v>
      </c>
      <c r="E306" s="3">
        <f t="shared" si="11"/>
        <v>6</v>
      </c>
      <c r="F306" s="5">
        <v>44135.625</v>
      </c>
      <c r="G306" t="str">
        <f t="shared" si="10"/>
        <v/>
      </c>
      <c r="H306" s="19" t="str">
        <f t="shared" si="12"/>
        <v/>
      </c>
    </row>
    <row r="307" spans="1:9">
      <c r="A307">
        <v>150</v>
      </c>
      <c r="B307" t="s">
        <v>334</v>
      </c>
      <c r="C307" t="s">
        <v>8</v>
      </c>
      <c r="E307" s="3">
        <f t="shared" si="11"/>
        <v>7</v>
      </c>
      <c r="F307" s="5">
        <v>44136.625</v>
      </c>
      <c r="G307" t="str">
        <f t="shared" si="10"/>
        <v/>
      </c>
      <c r="H307" s="19" t="str">
        <f t="shared" si="12"/>
        <v/>
      </c>
    </row>
    <row r="308" spans="1:9" s="10" customFormat="1">
      <c r="A308" s="10">
        <v>289</v>
      </c>
      <c r="B308" s="10" t="s">
        <v>335</v>
      </c>
      <c r="C308" s="10" t="s">
        <v>8</v>
      </c>
      <c r="E308" s="14">
        <f t="shared" si="11"/>
        <v>1</v>
      </c>
      <c r="F308" s="18">
        <v>44137.625</v>
      </c>
      <c r="G308" s="10" t="str">
        <f>IF(WEEKDAY(F308,2)=1,"Maanantai","")</f>
        <v>Maanantai</v>
      </c>
      <c r="H308" s="19" t="str">
        <f>IF(WEEKDAY(F308,2)=1,"W"&amp;WEEKNUM(F308,14),"")</f>
        <v>W45</v>
      </c>
      <c r="I308">
        <f>SUM(A308:A314)</f>
        <v>1421</v>
      </c>
    </row>
    <row r="309" spans="1:9">
      <c r="A309">
        <v>241</v>
      </c>
      <c r="B309" t="s">
        <v>336</v>
      </c>
      <c r="C309" t="s">
        <v>8</v>
      </c>
      <c r="E309" s="3">
        <f t="shared" si="11"/>
        <v>2</v>
      </c>
      <c r="F309" s="5">
        <v>44138.625</v>
      </c>
      <c r="G309" s="10" t="str">
        <f t="shared" ref="G309:G344" si="13">IF(WEEKDAY(F309,2)=1,"Maanantai","")</f>
        <v/>
      </c>
      <c r="H309" s="19" t="str">
        <f t="shared" ref="H309:H366" si="14">IF(WEEKDAY(F309,2)=1,"W"&amp;WEEKNUM(F309,14),"")</f>
        <v/>
      </c>
    </row>
    <row r="310" spans="1:9">
      <c r="A310">
        <v>213</v>
      </c>
      <c r="B310" t="s">
        <v>337</v>
      </c>
      <c r="C310" t="s">
        <v>8</v>
      </c>
      <c r="E310" s="3">
        <f t="shared" si="11"/>
        <v>3</v>
      </c>
      <c r="F310" s="5">
        <v>44139.625</v>
      </c>
      <c r="G310" s="10" t="str">
        <f t="shared" si="13"/>
        <v/>
      </c>
      <c r="H310" s="19" t="str">
        <f t="shared" si="14"/>
        <v/>
      </c>
    </row>
    <row r="311" spans="1:9">
      <c r="A311">
        <v>221</v>
      </c>
      <c r="B311" t="s">
        <v>338</v>
      </c>
      <c r="C311" t="s">
        <v>8</v>
      </c>
      <c r="E311" s="3">
        <f t="shared" si="11"/>
        <v>4</v>
      </c>
      <c r="F311" s="5">
        <v>44140.625</v>
      </c>
      <c r="G311" s="10" t="str">
        <f t="shared" si="13"/>
        <v/>
      </c>
      <c r="H311" s="19" t="str">
        <f t="shared" si="14"/>
        <v/>
      </c>
    </row>
    <row r="312" spans="1:9">
      <c r="A312">
        <v>196</v>
      </c>
      <c r="B312" t="s">
        <v>339</v>
      </c>
      <c r="C312" t="s">
        <v>8</v>
      </c>
      <c r="E312" s="3">
        <f t="shared" si="11"/>
        <v>5</v>
      </c>
      <c r="F312" s="5">
        <v>44141.625</v>
      </c>
      <c r="G312" s="10" t="str">
        <f t="shared" si="13"/>
        <v/>
      </c>
      <c r="H312" s="19" t="str">
        <f t="shared" si="14"/>
        <v/>
      </c>
    </row>
    <row r="313" spans="1:9">
      <c r="A313">
        <v>128</v>
      </c>
      <c r="B313" t="s">
        <v>340</v>
      </c>
      <c r="C313" t="s">
        <v>8</v>
      </c>
      <c r="E313" s="3">
        <f t="shared" si="11"/>
        <v>6</v>
      </c>
      <c r="F313" s="5">
        <v>44142.625</v>
      </c>
      <c r="G313" s="10" t="str">
        <f t="shared" si="13"/>
        <v/>
      </c>
      <c r="H313" s="19" t="str">
        <f t="shared" si="14"/>
        <v/>
      </c>
    </row>
    <row r="314" spans="1:9">
      <c r="A314">
        <v>133</v>
      </c>
      <c r="B314" t="s">
        <v>341</v>
      </c>
      <c r="C314" t="s">
        <v>8</v>
      </c>
      <c r="E314" s="3">
        <f t="shared" si="11"/>
        <v>7</v>
      </c>
      <c r="F314" s="5">
        <v>44143.625</v>
      </c>
      <c r="G314" s="10" t="str">
        <f t="shared" si="13"/>
        <v/>
      </c>
      <c r="H314" s="19" t="str">
        <f t="shared" si="14"/>
        <v/>
      </c>
    </row>
    <row r="315" spans="1:9">
      <c r="A315">
        <v>273</v>
      </c>
      <c r="B315" t="s">
        <v>342</v>
      </c>
      <c r="C315" t="s">
        <v>8</v>
      </c>
      <c r="E315" s="3">
        <f t="shared" si="11"/>
        <v>1</v>
      </c>
      <c r="F315" s="5">
        <v>44144.625</v>
      </c>
      <c r="G315" s="10" t="str">
        <f t="shared" si="13"/>
        <v>Maanantai</v>
      </c>
      <c r="H315" s="19" t="str">
        <f t="shared" si="14"/>
        <v>W46</v>
      </c>
      <c r="I315">
        <f>SUM(A315:A321)</f>
        <v>1646</v>
      </c>
    </row>
    <row r="316" spans="1:9">
      <c r="A316">
        <v>205</v>
      </c>
      <c r="B316" t="s">
        <v>343</v>
      </c>
      <c r="C316" t="s">
        <v>8</v>
      </c>
      <c r="E316" s="3">
        <f t="shared" si="11"/>
        <v>2</v>
      </c>
      <c r="F316" s="5">
        <v>44145.625</v>
      </c>
      <c r="G316" s="10" t="str">
        <f t="shared" si="13"/>
        <v/>
      </c>
      <c r="H316" s="19" t="str">
        <f t="shared" si="14"/>
        <v/>
      </c>
    </row>
    <row r="317" spans="1:9">
      <c r="A317">
        <v>293</v>
      </c>
      <c r="B317" t="s">
        <v>344</v>
      </c>
      <c r="C317" t="s">
        <v>8</v>
      </c>
      <c r="E317" s="3">
        <f t="shared" si="11"/>
        <v>3</v>
      </c>
      <c r="F317" s="5">
        <v>44146.625</v>
      </c>
      <c r="G317" s="10" t="str">
        <f t="shared" si="13"/>
        <v/>
      </c>
      <c r="H317" s="19" t="str">
        <f t="shared" si="14"/>
        <v/>
      </c>
    </row>
    <row r="318" spans="1:9">
      <c r="A318">
        <v>282</v>
      </c>
      <c r="B318" t="s">
        <v>345</v>
      </c>
      <c r="C318" t="s">
        <v>8</v>
      </c>
      <c r="E318" s="3">
        <f t="shared" si="11"/>
        <v>4</v>
      </c>
      <c r="F318" s="5">
        <v>44147.625</v>
      </c>
      <c r="G318" s="10" t="str">
        <f t="shared" si="13"/>
        <v/>
      </c>
      <c r="H318" s="19" t="str">
        <f t="shared" si="14"/>
        <v/>
      </c>
    </row>
    <row r="319" spans="1:9">
      <c r="A319">
        <v>266</v>
      </c>
      <c r="B319" t="s">
        <v>346</v>
      </c>
      <c r="C319" t="s">
        <v>8</v>
      </c>
      <c r="E319" s="3">
        <f t="shared" si="11"/>
        <v>5</v>
      </c>
      <c r="F319" s="5">
        <v>44148.625</v>
      </c>
      <c r="G319" s="10" t="str">
        <f t="shared" si="13"/>
        <v/>
      </c>
      <c r="H319" s="19" t="str">
        <f t="shared" si="14"/>
        <v/>
      </c>
    </row>
    <row r="320" spans="1:9">
      <c r="A320">
        <v>145</v>
      </c>
      <c r="B320" t="s">
        <v>347</v>
      </c>
      <c r="C320" t="s">
        <v>8</v>
      </c>
      <c r="E320" s="3">
        <f t="shared" si="11"/>
        <v>6</v>
      </c>
      <c r="F320" s="5">
        <v>44149.625</v>
      </c>
      <c r="G320" s="10" t="str">
        <f t="shared" si="13"/>
        <v/>
      </c>
      <c r="H320" s="19" t="str">
        <f t="shared" si="14"/>
        <v/>
      </c>
    </row>
    <row r="321" spans="1:9">
      <c r="A321">
        <v>182</v>
      </c>
      <c r="B321" t="s">
        <v>348</v>
      </c>
      <c r="C321" t="s">
        <v>8</v>
      </c>
      <c r="E321" s="3">
        <f t="shared" si="11"/>
        <v>7</v>
      </c>
      <c r="F321" s="5">
        <v>44150.625</v>
      </c>
      <c r="G321" s="10" t="str">
        <f t="shared" si="13"/>
        <v/>
      </c>
      <c r="H321" s="19" t="str">
        <f t="shared" si="14"/>
        <v/>
      </c>
    </row>
    <row r="322" spans="1:9">
      <c r="A322">
        <v>392</v>
      </c>
      <c r="B322" t="s">
        <v>349</v>
      </c>
      <c r="C322" t="s">
        <v>8</v>
      </c>
      <c r="E322" s="3">
        <f t="shared" si="11"/>
        <v>1</v>
      </c>
      <c r="F322" s="5">
        <v>44151.625</v>
      </c>
      <c r="G322" s="10" t="str">
        <f t="shared" si="13"/>
        <v>Maanantai</v>
      </c>
      <c r="H322" s="19" t="str">
        <f t="shared" si="14"/>
        <v>W47</v>
      </c>
      <c r="I322">
        <f>SUM(A322:A328)</f>
        <v>2595</v>
      </c>
    </row>
    <row r="323" spans="1:9">
      <c r="A323">
        <v>391</v>
      </c>
      <c r="B323" t="s">
        <v>350</v>
      </c>
      <c r="C323" t="s">
        <v>8</v>
      </c>
      <c r="E323" s="3">
        <f t="shared" ref="E323" si="15">WEEKDAY(F323,2)</f>
        <v>2</v>
      </c>
      <c r="F323" s="5">
        <v>44152.625</v>
      </c>
      <c r="G323" s="10" t="str">
        <f t="shared" si="13"/>
        <v/>
      </c>
      <c r="H323" s="19" t="str">
        <f t="shared" si="14"/>
        <v/>
      </c>
    </row>
    <row r="324" spans="1:9">
      <c r="A324">
        <v>371</v>
      </c>
      <c r="B324" t="s">
        <v>351</v>
      </c>
      <c r="C324" t="s">
        <v>8</v>
      </c>
      <c r="E324" s="3">
        <f t="shared" si="11"/>
        <v>3</v>
      </c>
      <c r="F324" s="5">
        <v>44153.625</v>
      </c>
      <c r="G324" s="10" t="str">
        <f t="shared" si="13"/>
        <v/>
      </c>
      <c r="H324" s="19" t="str">
        <f t="shared" si="14"/>
        <v/>
      </c>
    </row>
    <row r="325" spans="1:9">
      <c r="A325">
        <v>478</v>
      </c>
      <c r="B325" t="s">
        <v>352</v>
      </c>
      <c r="C325" t="s">
        <v>8</v>
      </c>
      <c r="E325" s="3">
        <f t="shared" ref="E325:E366" si="16">WEEKDAY(F325,2)</f>
        <v>4</v>
      </c>
      <c r="F325" s="5">
        <v>44154.625</v>
      </c>
      <c r="G325" s="10" t="str">
        <f t="shared" si="13"/>
        <v/>
      </c>
      <c r="H325" s="19" t="str">
        <f t="shared" si="14"/>
        <v/>
      </c>
    </row>
    <row r="326" spans="1:9">
      <c r="A326">
        <v>428</v>
      </c>
      <c r="B326" t="s">
        <v>353</v>
      </c>
      <c r="C326" t="s">
        <v>8</v>
      </c>
      <c r="E326" s="3">
        <f t="shared" si="16"/>
        <v>5</v>
      </c>
      <c r="F326" s="5">
        <v>44155.625</v>
      </c>
      <c r="G326" s="10" t="str">
        <f t="shared" si="13"/>
        <v/>
      </c>
      <c r="H326" s="19" t="str">
        <f t="shared" si="14"/>
        <v/>
      </c>
    </row>
    <row r="327" spans="1:9">
      <c r="A327">
        <v>268</v>
      </c>
      <c r="B327" t="s">
        <v>356</v>
      </c>
      <c r="C327" t="s">
        <v>8</v>
      </c>
      <c r="E327" s="3">
        <f t="shared" si="16"/>
        <v>6</v>
      </c>
      <c r="F327" s="5">
        <v>44156.625</v>
      </c>
      <c r="G327" s="10" t="str">
        <f t="shared" si="13"/>
        <v/>
      </c>
      <c r="H327" s="19" t="str">
        <f t="shared" si="14"/>
        <v/>
      </c>
    </row>
    <row r="328" spans="1:9">
      <c r="A328">
        <v>267</v>
      </c>
      <c r="B328" t="s">
        <v>357</v>
      </c>
      <c r="C328" t="s">
        <v>8</v>
      </c>
      <c r="E328" s="3">
        <f t="shared" si="16"/>
        <v>7</v>
      </c>
      <c r="F328" s="5">
        <v>44157.625</v>
      </c>
      <c r="G328" s="10" t="str">
        <f t="shared" si="13"/>
        <v/>
      </c>
      <c r="H328" s="19" t="str">
        <f t="shared" si="14"/>
        <v/>
      </c>
    </row>
    <row r="329" spans="1:9">
      <c r="A329">
        <v>504</v>
      </c>
      <c r="B329" t="s">
        <v>358</v>
      </c>
      <c r="C329" t="s">
        <v>8</v>
      </c>
      <c r="E329" s="3">
        <f t="shared" si="16"/>
        <v>1</v>
      </c>
      <c r="F329" s="5">
        <v>44158.625</v>
      </c>
      <c r="G329" s="10" t="str">
        <f t="shared" si="13"/>
        <v>Maanantai</v>
      </c>
      <c r="H329" s="19" t="str">
        <f t="shared" si="14"/>
        <v>W48</v>
      </c>
      <c r="I329">
        <f>SUM(A329:A335)</f>
        <v>3127</v>
      </c>
    </row>
    <row r="330" spans="1:9">
      <c r="A330">
        <v>468</v>
      </c>
      <c r="B330" t="s">
        <v>359</v>
      </c>
      <c r="C330" t="s">
        <v>8</v>
      </c>
      <c r="E330" s="3">
        <f t="shared" si="16"/>
        <v>2</v>
      </c>
      <c r="F330" s="5">
        <v>44159.625</v>
      </c>
      <c r="G330" s="10" t="str">
        <f t="shared" si="13"/>
        <v/>
      </c>
      <c r="H330" s="19" t="str">
        <f t="shared" si="14"/>
        <v/>
      </c>
    </row>
    <row r="331" spans="1:9">
      <c r="A331">
        <v>613</v>
      </c>
      <c r="B331" t="s">
        <v>360</v>
      </c>
      <c r="C331" t="s">
        <v>8</v>
      </c>
      <c r="E331" s="3">
        <f t="shared" si="16"/>
        <v>3</v>
      </c>
      <c r="F331" s="5">
        <v>44160.625</v>
      </c>
      <c r="G331" s="10" t="str">
        <f t="shared" si="13"/>
        <v/>
      </c>
      <c r="H331" s="19" t="str">
        <f t="shared" si="14"/>
        <v/>
      </c>
    </row>
    <row r="332" spans="1:9">
      <c r="A332">
        <v>510</v>
      </c>
      <c r="B332" t="s">
        <v>363</v>
      </c>
      <c r="C332" t="s">
        <v>8</v>
      </c>
      <c r="E332" s="3">
        <f t="shared" si="16"/>
        <v>4</v>
      </c>
      <c r="F332" s="5">
        <v>44161.625</v>
      </c>
      <c r="G332" s="10" t="str">
        <f t="shared" si="13"/>
        <v/>
      </c>
      <c r="H332" s="19" t="str">
        <f t="shared" si="14"/>
        <v/>
      </c>
    </row>
    <row r="333" spans="1:9">
      <c r="A333">
        <v>455</v>
      </c>
      <c r="B333" t="s">
        <v>364</v>
      </c>
      <c r="C333" t="s">
        <v>8</v>
      </c>
      <c r="E333" s="3">
        <f t="shared" si="16"/>
        <v>5</v>
      </c>
      <c r="F333" s="5">
        <v>44162.625</v>
      </c>
      <c r="G333" s="10" t="str">
        <f>IF(WEEKDAY(F333,2)=1,"Maanantai","")</f>
        <v/>
      </c>
      <c r="H333" s="19" t="str">
        <f t="shared" si="14"/>
        <v/>
      </c>
    </row>
    <row r="334" spans="1:9">
      <c r="A334">
        <v>285</v>
      </c>
      <c r="B334" t="s">
        <v>365</v>
      </c>
      <c r="C334" t="s">
        <v>8</v>
      </c>
      <c r="E334" s="3">
        <f t="shared" si="16"/>
        <v>6</v>
      </c>
      <c r="F334" s="5">
        <v>44163.625</v>
      </c>
      <c r="G334" s="10" t="str">
        <f t="shared" si="13"/>
        <v/>
      </c>
      <c r="H334" s="19" t="str">
        <f t="shared" si="14"/>
        <v/>
      </c>
    </row>
    <row r="335" spans="1:9">
      <c r="A335">
        <v>292</v>
      </c>
      <c r="B335" t="s">
        <v>366</v>
      </c>
      <c r="C335" t="s">
        <v>8</v>
      </c>
      <c r="E335" s="3">
        <f t="shared" si="16"/>
        <v>7</v>
      </c>
      <c r="F335" s="5">
        <v>44164.625</v>
      </c>
      <c r="G335" s="10" t="str">
        <f t="shared" si="13"/>
        <v/>
      </c>
      <c r="H335" s="19" t="str">
        <f t="shared" si="14"/>
        <v/>
      </c>
    </row>
    <row r="336" spans="1:9">
      <c r="A336">
        <v>596</v>
      </c>
      <c r="B336" t="s">
        <v>367</v>
      </c>
      <c r="C336" t="s">
        <v>8</v>
      </c>
      <c r="E336" s="3">
        <f t="shared" si="16"/>
        <v>1</v>
      </c>
      <c r="F336" s="5">
        <v>44165.625</v>
      </c>
      <c r="G336" s="10" t="str">
        <f t="shared" si="13"/>
        <v>Maanantai</v>
      </c>
      <c r="H336" s="19" t="str">
        <f t="shared" si="14"/>
        <v>W49</v>
      </c>
      <c r="I336">
        <f>SUM(A336:A342)</f>
        <v>3009</v>
      </c>
    </row>
    <row r="337" spans="1:9">
      <c r="A337">
        <v>440</v>
      </c>
      <c r="B337" t="s">
        <v>369</v>
      </c>
      <c r="C337" t="s">
        <v>8</v>
      </c>
      <c r="E337" s="3">
        <f t="shared" si="16"/>
        <v>2</v>
      </c>
      <c r="F337" s="5">
        <v>44166.625</v>
      </c>
      <c r="G337" s="10" t="str">
        <f t="shared" si="13"/>
        <v/>
      </c>
      <c r="H337" s="19" t="str">
        <f t="shared" si="14"/>
        <v/>
      </c>
    </row>
    <row r="338" spans="1:9">
      <c r="A338">
        <v>494</v>
      </c>
      <c r="B338" t="s">
        <v>370</v>
      </c>
      <c r="C338" t="s">
        <v>8</v>
      </c>
      <c r="E338" s="3">
        <f t="shared" si="16"/>
        <v>3</v>
      </c>
      <c r="F338" s="5">
        <v>44167.625</v>
      </c>
      <c r="G338" s="10" t="str">
        <f t="shared" si="13"/>
        <v/>
      </c>
      <c r="H338" s="19" t="str">
        <f t="shared" si="14"/>
        <v/>
      </c>
    </row>
    <row r="339" spans="1:9">
      <c r="A339">
        <v>477</v>
      </c>
      <c r="B339" t="s">
        <v>371</v>
      </c>
      <c r="C339" t="s">
        <v>8</v>
      </c>
      <c r="E339" s="3">
        <f t="shared" si="16"/>
        <v>4</v>
      </c>
      <c r="F339" s="5">
        <v>44168.625</v>
      </c>
      <c r="G339" s="10" t="str">
        <f t="shared" si="13"/>
        <v/>
      </c>
      <c r="H339" s="19" t="str">
        <f t="shared" si="14"/>
        <v/>
      </c>
    </row>
    <row r="340" spans="1:9">
      <c r="A340">
        <v>472</v>
      </c>
      <c r="B340" t="s">
        <v>372</v>
      </c>
      <c r="C340" t="s">
        <v>8</v>
      </c>
      <c r="E340" s="3">
        <f t="shared" si="16"/>
        <v>5</v>
      </c>
      <c r="F340" s="5">
        <v>44169.625</v>
      </c>
      <c r="G340" s="10" t="str">
        <f t="shared" si="13"/>
        <v/>
      </c>
      <c r="H340" s="19" t="str">
        <f t="shared" si="14"/>
        <v/>
      </c>
    </row>
    <row r="341" spans="1:9">
      <c r="A341">
        <v>249</v>
      </c>
      <c r="B341" t="s">
        <v>373</v>
      </c>
      <c r="C341" t="s">
        <v>8</v>
      </c>
      <c r="E341" s="3">
        <f t="shared" si="16"/>
        <v>6</v>
      </c>
      <c r="F341" s="5">
        <v>44170.625</v>
      </c>
      <c r="G341" s="10" t="str">
        <f t="shared" si="13"/>
        <v/>
      </c>
      <c r="H341" s="19" t="str">
        <f t="shared" si="14"/>
        <v/>
      </c>
    </row>
    <row r="342" spans="1:9">
      <c r="A342">
        <v>281</v>
      </c>
      <c r="B342" t="s">
        <v>374</v>
      </c>
      <c r="C342" t="s">
        <v>8</v>
      </c>
      <c r="E342" s="3">
        <f t="shared" si="16"/>
        <v>7</v>
      </c>
      <c r="F342" s="5">
        <v>44171.625</v>
      </c>
      <c r="G342" s="10" t="str">
        <f t="shared" si="13"/>
        <v/>
      </c>
      <c r="H342" s="19" t="str">
        <f t="shared" si="14"/>
        <v/>
      </c>
    </row>
    <row r="343" spans="1:9">
      <c r="A343">
        <v>587</v>
      </c>
      <c r="B343" t="s">
        <v>375</v>
      </c>
      <c r="C343" t="s">
        <v>8</v>
      </c>
      <c r="E343" s="3">
        <f t="shared" si="16"/>
        <v>1</v>
      </c>
      <c r="F343" s="5">
        <v>44172.625</v>
      </c>
      <c r="G343" s="10" t="str">
        <f t="shared" si="13"/>
        <v>Maanantai</v>
      </c>
      <c r="H343" s="19" t="str">
        <f t="shared" si="14"/>
        <v>W50</v>
      </c>
      <c r="I343">
        <f>SUM(A343:A349)</f>
        <v>2902</v>
      </c>
    </row>
    <row r="344" spans="1:9">
      <c r="A344">
        <v>477</v>
      </c>
      <c r="B344" t="s">
        <v>376</v>
      </c>
      <c r="C344" t="s">
        <v>8</v>
      </c>
      <c r="E344" s="3">
        <f t="shared" si="16"/>
        <v>2</v>
      </c>
      <c r="F344" s="5">
        <v>44173.625</v>
      </c>
      <c r="G344" s="10" t="str">
        <f t="shared" si="13"/>
        <v/>
      </c>
      <c r="H344" s="19" t="str">
        <f t="shared" si="14"/>
        <v/>
      </c>
    </row>
    <row r="345" spans="1:9">
      <c r="A345">
        <v>462</v>
      </c>
      <c r="B345" t="s">
        <v>377</v>
      </c>
      <c r="C345" t="s">
        <v>8</v>
      </c>
      <c r="E345" s="3">
        <f t="shared" si="16"/>
        <v>3</v>
      </c>
      <c r="F345" s="5">
        <v>44174.625</v>
      </c>
      <c r="H345" s="19" t="str">
        <f t="shared" si="14"/>
        <v/>
      </c>
    </row>
    <row r="346" spans="1:9">
      <c r="A346">
        <v>408</v>
      </c>
      <c r="B346" t="s">
        <v>378</v>
      </c>
      <c r="C346" t="s">
        <v>8</v>
      </c>
      <c r="E346" s="3">
        <f t="shared" si="16"/>
        <v>4</v>
      </c>
      <c r="F346" s="5">
        <v>44175.625</v>
      </c>
      <c r="H346" s="19" t="str">
        <f t="shared" si="14"/>
        <v/>
      </c>
    </row>
    <row r="347" spans="1:9">
      <c r="A347">
        <v>445</v>
      </c>
      <c r="B347" t="s">
        <v>379</v>
      </c>
      <c r="C347" t="s">
        <v>8</v>
      </c>
      <c r="E347" s="3">
        <f t="shared" si="16"/>
        <v>5</v>
      </c>
      <c r="F347" s="5">
        <v>44176.625</v>
      </c>
      <c r="H347" s="19" t="str">
        <f t="shared" si="14"/>
        <v/>
      </c>
    </row>
    <row r="348" spans="1:9">
      <c r="A348">
        <v>250</v>
      </c>
      <c r="B348" t="s">
        <v>380</v>
      </c>
      <c r="C348" t="s">
        <v>8</v>
      </c>
      <c r="E348" s="3">
        <f t="shared" si="16"/>
        <v>6</v>
      </c>
      <c r="F348" s="5">
        <v>44177.625</v>
      </c>
      <c r="H348" s="19" t="str">
        <f t="shared" si="14"/>
        <v/>
      </c>
    </row>
    <row r="349" spans="1:9">
      <c r="A349">
        <v>273</v>
      </c>
      <c r="B349" t="s">
        <v>381</v>
      </c>
      <c r="C349" t="s">
        <v>8</v>
      </c>
      <c r="E349" s="3">
        <f t="shared" si="16"/>
        <v>7</v>
      </c>
      <c r="F349" s="5">
        <v>44178.625</v>
      </c>
      <c r="H349" s="19" t="str">
        <f t="shared" si="14"/>
        <v/>
      </c>
    </row>
    <row r="350" spans="1:9">
      <c r="A350">
        <v>460</v>
      </c>
      <c r="B350" t="s">
        <v>382</v>
      </c>
      <c r="C350" t="s">
        <v>8</v>
      </c>
      <c r="E350" s="3">
        <f t="shared" si="16"/>
        <v>1</v>
      </c>
      <c r="F350" s="5">
        <v>44179.625</v>
      </c>
      <c r="H350" s="19" t="str">
        <f t="shared" si="14"/>
        <v>W51</v>
      </c>
    </row>
    <row r="351" spans="1:9">
      <c r="A351">
        <v>352</v>
      </c>
      <c r="B351" t="s">
        <v>383</v>
      </c>
      <c r="C351" t="s">
        <v>8</v>
      </c>
      <c r="E351" s="3">
        <f t="shared" si="16"/>
        <v>2</v>
      </c>
      <c r="F351" s="5">
        <v>44180.625</v>
      </c>
      <c r="H351" s="19" t="str">
        <f t="shared" si="14"/>
        <v/>
      </c>
    </row>
    <row r="352" spans="1:9">
      <c r="A352">
        <v>338</v>
      </c>
      <c r="B352" t="s">
        <v>384</v>
      </c>
      <c r="C352" t="s">
        <v>8</v>
      </c>
      <c r="E352" s="3">
        <f t="shared" si="16"/>
        <v>3</v>
      </c>
      <c r="F352" s="5">
        <v>44181.625</v>
      </c>
      <c r="H352" s="19" t="str">
        <f t="shared" si="14"/>
        <v/>
      </c>
    </row>
    <row r="353" spans="1:8">
      <c r="A353">
        <v>277</v>
      </c>
      <c r="B353" t="s">
        <v>385</v>
      </c>
      <c r="C353" t="s">
        <v>8</v>
      </c>
      <c r="E353" s="3">
        <f t="shared" si="16"/>
        <v>4</v>
      </c>
      <c r="F353" s="5">
        <v>44182.625</v>
      </c>
      <c r="H353" s="19" t="str">
        <f t="shared" si="14"/>
        <v/>
      </c>
    </row>
    <row r="354" spans="1:8">
      <c r="A354">
        <v>284</v>
      </c>
      <c r="B354" t="s">
        <v>386</v>
      </c>
      <c r="C354" t="s">
        <v>8</v>
      </c>
      <c r="E354" s="3">
        <f t="shared" si="16"/>
        <v>5</v>
      </c>
      <c r="F354" s="5">
        <v>44183.625</v>
      </c>
      <c r="H354" s="19" t="str">
        <f t="shared" si="14"/>
        <v/>
      </c>
    </row>
    <row r="355" spans="1:8">
      <c r="A355">
        <v>63</v>
      </c>
      <c r="B355" t="s">
        <v>387</v>
      </c>
      <c r="C355" t="s">
        <v>8</v>
      </c>
      <c r="E355" s="3">
        <f t="shared" si="16"/>
        <v>6</v>
      </c>
      <c r="F355" s="5">
        <v>44184.625</v>
      </c>
      <c r="H355" s="19" t="str">
        <f t="shared" si="14"/>
        <v/>
      </c>
    </row>
    <row r="356" spans="1:8">
      <c r="A356">
        <v>0</v>
      </c>
      <c r="B356" t="s">
        <v>388</v>
      </c>
      <c r="C356" t="s">
        <v>8</v>
      </c>
      <c r="E356" s="3">
        <f t="shared" si="16"/>
        <v>7</v>
      </c>
      <c r="F356" s="5">
        <v>44185.401562500003</v>
      </c>
      <c r="H356" s="19" t="str">
        <f t="shared" si="14"/>
        <v/>
      </c>
    </row>
    <row r="357" spans="1:8">
      <c r="E357" s="3">
        <f t="shared" si="16"/>
        <v>6</v>
      </c>
      <c r="H357" s="19" t="str">
        <f t="shared" si="14"/>
        <v/>
      </c>
    </row>
    <row r="358" spans="1:8">
      <c r="E358" s="3">
        <f t="shared" si="16"/>
        <v>6</v>
      </c>
      <c r="H358" s="19" t="str">
        <f t="shared" si="14"/>
        <v/>
      </c>
    </row>
    <row r="359" spans="1:8">
      <c r="E359" s="3">
        <f t="shared" si="16"/>
        <v>6</v>
      </c>
      <c r="H359" s="19" t="str">
        <f t="shared" si="14"/>
        <v/>
      </c>
    </row>
    <row r="360" spans="1:8">
      <c r="E360" s="3">
        <f t="shared" si="16"/>
        <v>6</v>
      </c>
      <c r="H360" s="19" t="str">
        <f t="shared" si="14"/>
        <v/>
      </c>
    </row>
    <row r="361" spans="1:8">
      <c r="E361" s="3">
        <f t="shared" si="16"/>
        <v>6</v>
      </c>
      <c r="H361" s="19" t="str">
        <f t="shared" si="14"/>
        <v/>
      </c>
    </row>
    <row r="362" spans="1:8">
      <c r="E362" s="3">
        <f t="shared" si="16"/>
        <v>6</v>
      </c>
      <c r="H362" s="19" t="str">
        <f t="shared" si="14"/>
        <v/>
      </c>
    </row>
    <row r="363" spans="1:8">
      <c r="E363" s="3">
        <f t="shared" si="16"/>
        <v>6</v>
      </c>
      <c r="H363" s="19" t="str">
        <f t="shared" si="14"/>
        <v/>
      </c>
    </row>
    <row r="364" spans="1:8">
      <c r="E364" s="3">
        <f t="shared" si="16"/>
        <v>6</v>
      </c>
      <c r="H364" s="19" t="str">
        <f t="shared" si="14"/>
        <v/>
      </c>
    </row>
    <row r="365" spans="1:8">
      <c r="E365" s="3">
        <f t="shared" si="16"/>
        <v>6</v>
      </c>
      <c r="H365" s="19" t="str">
        <f t="shared" si="14"/>
        <v/>
      </c>
    </row>
    <row r="366" spans="1: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176"/>
  <sheetViews>
    <sheetView tabSelected="1" topLeftCell="A4" zoomScaleNormal="100" workbookViewId="0">
      <selection activeCell="A33" sqref="A33"/>
    </sheetView>
  </sheetViews>
  <sheetFormatPr defaultRowHeight="14.6"/>
  <cols>
    <col min="2" max="2" width="10.07421875" customWidth="1"/>
    <col min="3" max="3" width="10.84375" bestFit="1" customWidth="1"/>
    <col min="11" max="11" width="9.23046875" style="4"/>
    <col min="13" max="13" width="12.15234375" style="16" customWidth="1"/>
    <col min="14" max="14" width="15" bestFit="1" customWidth="1"/>
    <col min="16" max="16" width="9.84375" style="16" customWidth="1"/>
    <col min="18" max="18" width="15" bestFit="1" customWidth="1"/>
    <col min="19" max="19" width="15" style="16" bestFit="1" customWidth="1"/>
    <col min="22" max="22" width="15" style="16" bestFit="1" customWidth="1"/>
    <col min="25" max="25" width="12.15234375" style="16" customWidth="1"/>
    <col min="26" max="26" width="15" bestFit="1" customWidth="1"/>
    <col min="28" max="28" width="12.15234375" style="16" customWidth="1"/>
    <col min="30" max="30" width="15" bestFit="1" customWidth="1"/>
    <col min="31" max="31" width="12.15234375" style="16" customWidth="1"/>
    <col min="34" max="34" width="15" style="16" bestFit="1" customWidth="1"/>
    <col min="37" max="37" width="12.15234375" style="16" customWidth="1"/>
    <col min="38" max="38" width="15" bestFit="1" customWidth="1"/>
    <col min="40" max="40" width="12.15234375" style="16" customWidth="1"/>
    <col min="42" max="42" width="15" bestFit="1"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20.12 n=309. Yhteensä N=33162. Edelliset 7 päivää 2047 (päivittyy), 2910 (muutos -4 %), 3020 (-3 %) ja 3102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20.12 n=309. Yhteensä N=33162. Melko pysyvät 7 päivää 10.12-16.12 yhteensä 2526 (muutos -16 %), aiemmat 7 päivää 3005 (-2 %) ja 3072 https://github.com/jussivirkkala/excel/tree/master/hs-koronavirus-avoindata</v>
      </c>
      <c r="B32" s="4"/>
    </row>
    <row r="33" spans="1:247">
      <c r="B33" s="4"/>
    </row>
    <row r="34" spans="1:247">
      <c r="A34" t="str">
        <f ca="1">"Kirjattuja (näytteenottopäivä) COVID-19 tapauksia. N="&amp;C65&amp;"."&amp;CHAR(32)&amp;"Uusimmat "&amp;TEXT(MAX(M:M),"p.kk")&amp;" lisäykset punaisella n="&amp;P67&amp;"."</f>
        <v>Kirjattuja (näytteenottopäivä) COVID-19 tapauksia. N=33162. Uusimmat 20.12 lisäykset punaisella n=309.</v>
      </c>
      <c r="B34" s="4"/>
    </row>
    <row r="35" spans="1:247">
      <c r="B35" s="4" t="s">
        <v>5</v>
      </c>
      <c r="C35" t="s">
        <v>0</v>
      </c>
      <c r="D35" t="s">
        <v>6</v>
      </c>
      <c r="E35">
        <f ca="1">SUM(E37:E65)</f>
        <v>309</v>
      </c>
      <c r="F35" t="s">
        <v>228</v>
      </c>
      <c r="G35" t="s">
        <v>354</v>
      </c>
      <c r="I35" t="s">
        <v>355</v>
      </c>
      <c r="J35" t="s">
        <v>354</v>
      </c>
      <c r="M35" s="16" t="s">
        <v>311</v>
      </c>
      <c r="P35" s="16" t="s">
        <v>312</v>
      </c>
      <c r="S35" s="16" t="s">
        <v>313</v>
      </c>
    </row>
    <row r="36" spans="1:247">
      <c r="A36" t="str">
        <f ca="1">IF(WEEKDAY(B36,2)=1,"Ma "&amp;TEXT(B36,"p"),TEXT(B36,"p.k"))</f>
        <v>21.11</v>
      </c>
      <c r="B36" s="4">
        <f ca="1">B37-1</f>
        <v>44156</v>
      </c>
      <c r="C36" s="11">
        <f t="shared" ref="C36:C65" ca="1" si="0">SUMIF(aika,"&lt;"&amp;(B36+1),Id)</f>
        <v>22083</v>
      </c>
    </row>
    <row r="37" spans="1:247" s="10" customFormat="1">
      <c r="A37" t="str">
        <f t="shared" ref="A37:A65" ca="1" si="1">IF(WEEKDAY(B37,2)=1,"Ma "&amp;TEXT(B37,"p"),TEXT(B37,"p.k"))</f>
        <v>22.11</v>
      </c>
      <c r="B37" s="9">
        <f t="shared" ref="B37:B62" ca="1" si="2">B38-1</f>
        <v>44157</v>
      </c>
      <c r="C37" s="10">
        <f t="shared" ca="1" si="0"/>
        <v>22350</v>
      </c>
      <c r="D37" s="10">
        <f t="shared" ref="D37" ca="1" si="3">C37-C36</f>
        <v>267</v>
      </c>
      <c r="E37" s="10">
        <f t="shared" ref="E37:E64" ca="1" si="4">_xlfn.IFNA(D37-F37,"")</f>
        <v>0</v>
      </c>
      <c r="F37" s="10">
        <f ca="1">VLOOKUP(B37,Previous,3,FALSE)</f>
        <v>267</v>
      </c>
      <c r="G37" s="10">
        <f ca="1">SUM(D37:D43)</f>
        <v>3102</v>
      </c>
      <c r="I37" s="10">
        <f ca="1">SUM(D37:D50)</f>
        <v>6122</v>
      </c>
      <c r="K37" s="14"/>
      <c r="M37" s="17">
        <v>44157</v>
      </c>
      <c r="N37" s="10">
        <v>22350</v>
      </c>
      <c r="O37" s="10">
        <v>267</v>
      </c>
      <c r="P37" s="17">
        <v>44157</v>
      </c>
      <c r="Q37" s="10">
        <v>22350</v>
      </c>
      <c r="R37" s="10">
        <v>267</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v>44132</v>
      </c>
      <c r="EY37" s="10">
        <v>15920</v>
      </c>
      <c r="EZ37" s="10">
        <v>240</v>
      </c>
      <c r="FA37" s="17">
        <v>44133</v>
      </c>
      <c r="FB37" s="10">
        <v>16156</v>
      </c>
      <c r="FC37" s="10">
        <v>237</v>
      </c>
      <c r="FD37" s="17">
        <v>44134</v>
      </c>
      <c r="FE37" s="10">
        <v>16330</v>
      </c>
      <c r="FF37" s="10">
        <v>219</v>
      </c>
      <c r="FG37" s="17">
        <v>44135</v>
      </c>
      <c r="FH37" s="10">
        <v>16502</v>
      </c>
      <c r="FI37" s="10">
        <v>121</v>
      </c>
      <c r="FJ37" s="17">
        <v>44136</v>
      </c>
      <c r="FK37" s="10">
        <v>16662</v>
      </c>
      <c r="FL37" s="10">
        <v>150</v>
      </c>
      <c r="FM37" s="17">
        <v>44137</v>
      </c>
      <c r="FN37" s="10">
        <v>16943</v>
      </c>
      <c r="FO37" s="10">
        <v>281</v>
      </c>
      <c r="FP37" s="17">
        <v>44138</v>
      </c>
      <c r="FQ37" s="10">
        <v>17184</v>
      </c>
      <c r="FR37" s="10">
        <v>241</v>
      </c>
      <c r="FS37" s="17">
        <v>44139</v>
      </c>
      <c r="FT37" s="10">
        <v>17418</v>
      </c>
      <c r="FU37" s="10">
        <v>213</v>
      </c>
      <c r="FV37" s="17">
        <v>44140</v>
      </c>
      <c r="FW37" s="10">
        <v>17641</v>
      </c>
      <c r="FX37" s="10">
        <v>222</v>
      </c>
      <c r="FY37" s="17">
        <v>44141</v>
      </c>
      <c r="FZ37" s="10">
        <v>17841</v>
      </c>
      <c r="GA37" s="10">
        <v>196</v>
      </c>
      <c r="GB37" s="17">
        <v>44142</v>
      </c>
      <c r="GC37" s="10">
        <v>17969</v>
      </c>
      <c r="GD37" s="10">
        <v>128</v>
      </c>
      <c r="GE37" s="17">
        <v>44143</v>
      </c>
      <c r="GF37" s="10">
        <v>18102</v>
      </c>
      <c r="GG37" s="10">
        <v>133</v>
      </c>
      <c r="GH37" s="17">
        <v>44144</v>
      </c>
      <c r="GI37" s="10">
        <v>18375</v>
      </c>
      <c r="GJ37" s="10">
        <v>273</v>
      </c>
      <c r="GK37" s="17">
        <v>44145</v>
      </c>
      <c r="GL37" s="10">
        <v>18580</v>
      </c>
      <c r="GM37" s="10">
        <v>205</v>
      </c>
      <c r="GN37" s="17">
        <v>44146</v>
      </c>
      <c r="GO37" s="10">
        <v>18872</v>
      </c>
      <c r="GP37" s="10">
        <v>292</v>
      </c>
      <c r="GQ37" s="17">
        <v>44147</v>
      </c>
      <c r="GR37" s="10">
        <v>19155</v>
      </c>
      <c r="GS37" s="10">
        <v>282</v>
      </c>
      <c r="GT37" s="17">
        <v>44148</v>
      </c>
      <c r="GU37" s="10">
        <v>19419</v>
      </c>
      <c r="GV37" s="10">
        <v>265</v>
      </c>
      <c r="GW37" s="17">
        <v>44149</v>
      </c>
      <c r="GX37" s="10">
        <v>19570</v>
      </c>
      <c r="GY37" s="10">
        <v>145</v>
      </c>
      <c r="GZ37" s="17">
        <v>44150</v>
      </c>
      <c r="HA37" s="10">
        <v>19753</v>
      </c>
      <c r="HB37" s="10">
        <v>182</v>
      </c>
      <c r="HC37" s="17">
        <v>44151</v>
      </c>
      <c r="HD37" s="10">
        <v>20144</v>
      </c>
      <c r="HE37" s="10">
        <v>392</v>
      </c>
      <c r="HF37" s="17">
        <v>44152</v>
      </c>
      <c r="HG37" s="10">
        <v>20535</v>
      </c>
      <c r="HH37" s="10">
        <v>391</v>
      </c>
      <c r="HI37" s="17">
        <v>44153</v>
      </c>
      <c r="HJ37" s="10">
        <v>20907</v>
      </c>
      <c r="HK37" s="10">
        <v>371</v>
      </c>
      <c r="HL37" s="17">
        <v>44154</v>
      </c>
      <c r="HM37" s="10">
        <v>21383</v>
      </c>
      <c r="HN37" s="10">
        <v>478</v>
      </c>
      <c r="HO37" s="17">
        <v>44155</v>
      </c>
      <c r="HP37" s="10">
        <v>21815</v>
      </c>
      <c r="HQ37" s="10">
        <v>429</v>
      </c>
      <c r="HR37" s="17">
        <v>44156</v>
      </c>
      <c r="HS37" s="10">
        <v>22082</v>
      </c>
      <c r="HT37" s="10">
        <v>268</v>
      </c>
      <c r="HU37" s="17">
        <v>44157</v>
      </c>
      <c r="HV37" s="10">
        <v>22350</v>
      </c>
      <c r="HW37" s="10">
        <v>267</v>
      </c>
      <c r="HX37" s="17"/>
      <c r="IA37" s="17"/>
      <c r="ID37" s="17"/>
      <c r="IG37" s="17"/>
      <c r="IJ37" s="17"/>
      <c r="IM37" s="17"/>
    </row>
    <row r="38" spans="1:247">
      <c r="A38" t="str">
        <f t="shared" ca="1" si="1"/>
        <v>Ma 23</v>
      </c>
      <c r="B38" s="4">
        <f t="shared" ca="1" si="2"/>
        <v>44158</v>
      </c>
      <c r="C38" s="11">
        <f t="shared" ca="1" si="0"/>
        <v>22854</v>
      </c>
      <c r="D38">
        <f t="shared" ref="D38" ca="1" si="5">C38-C37</f>
        <v>504</v>
      </c>
      <c r="E38" s="11">
        <f t="shared" ca="1" si="4"/>
        <v>0</v>
      </c>
      <c r="F38" s="11">
        <f t="shared" ref="F38:F65" ca="1" si="6">VLOOKUP(B38,Previous,3,FALSE)</f>
        <v>504</v>
      </c>
      <c r="K38" s="3"/>
      <c r="M38" s="16">
        <v>44158</v>
      </c>
      <c r="N38">
        <v>22854</v>
      </c>
      <c r="O38">
        <v>504</v>
      </c>
      <c r="P38" s="16">
        <v>44158</v>
      </c>
      <c r="Q38">
        <v>22854</v>
      </c>
      <c r="R38">
        <v>504</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v>44133</v>
      </c>
      <c r="EY38">
        <v>16157</v>
      </c>
      <c r="EZ38">
        <v>237</v>
      </c>
      <c r="FA38" s="16">
        <v>44134</v>
      </c>
      <c r="FB38">
        <v>16375</v>
      </c>
      <c r="FC38">
        <v>219</v>
      </c>
      <c r="FD38" s="16">
        <v>44135</v>
      </c>
      <c r="FE38">
        <v>16451</v>
      </c>
      <c r="FF38">
        <v>121</v>
      </c>
      <c r="FG38" s="16">
        <v>44136</v>
      </c>
      <c r="FH38">
        <v>16652</v>
      </c>
      <c r="FI38">
        <v>150</v>
      </c>
      <c r="FJ38" s="16">
        <v>44137</v>
      </c>
      <c r="FK38">
        <v>16943</v>
      </c>
      <c r="FL38">
        <v>281</v>
      </c>
      <c r="FM38" s="16">
        <v>44138</v>
      </c>
      <c r="FN38">
        <v>17184</v>
      </c>
      <c r="FO38">
        <v>241</v>
      </c>
      <c r="FP38" s="16">
        <v>44139</v>
      </c>
      <c r="FQ38">
        <v>17395</v>
      </c>
      <c r="FR38">
        <v>211</v>
      </c>
      <c r="FS38" s="16">
        <v>44140</v>
      </c>
      <c r="FT38">
        <v>17640</v>
      </c>
      <c r="FU38">
        <v>222</v>
      </c>
      <c r="FV38" s="16">
        <v>44141</v>
      </c>
      <c r="FW38">
        <v>17837</v>
      </c>
      <c r="FX38">
        <v>196</v>
      </c>
      <c r="FY38" s="16">
        <v>44142</v>
      </c>
      <c r="FZ38">
        <v>17969</v>
      </c>
      <c r="GA38">
        <v>128</v>
      </c>
      <c r="GB38" s="16">
        <v>44143</v>
      </c>
      <c r="GC38">
        <v>18102</v>
      </c>
      <c r="GD38">
        <v>133</v>
      </c>
      <c r="GE38" s="16">
        <v>44144</v>
      </c>
      <c r="GF38">
        <v>18375</v>
      </c>
      <c r="GG38">
        <v>273</v>
      </c>
      <c r="GH38" s="16">
        <v>44145</v>
      </c>
      <c r="GI38">
        <v>18580</v>
      </c>
      <c r="GJ38">
        <v>205</v>
      </c>
      <c r="GK38" s="16">
        <v>44146</v>
      </c>
      <c r="GL38">
        <v>18872</v>
      </c>
      <c r="GM38">
        <v>292</v>
      </c>
      <c r="GN38" s="16">
        <v>44147</v>
      </c>
      <c r="GO38">
        <v>19154</v>
      </c>
      <c r="GP38">
        <v>282</v>
      </c>
      <c r="GQ38" s="16">
        <v>44148</v>
      </c>
      <c r="GR38">
        <v>19420</v>
      </c>
      <c r="GS38">
        <v>265</v>
      </c>
      <c r="GT38" s="16">
        <v>44149</v>
      </c>
      <c r="GU38">
        <v>19564</v>
      </c>
      <c r="GV38">
        <v>145</v>
      </c>
      <c r="GW38" s="16">
        <v>44150</v>
      </c>
      <c r="GX38">
        <v>19752</v>
      </c>
      <c r="GY38">
        <v>182</v>
      </c>
      <c r="GZ38" s="16">
        <v>44151</v>
      </c>
      <c r="HA38">
        <v>20145</v>
      </c>
      <c r="HB38">
        <v>392</v>
      </c>
      <c r="HC38" s="16">
        <v>44152</v>
      </c>
      <c r="HD38">
        <v>20535</v>
      </c>
      <c r="HE38">
        <v>391</v>
      </c>
      <c r="HF38" s="16">
        <v>44153</v>
      </c>
      <c r="HG38">
        <v>20906</v>
      </c>
      <c r="HH38">
        <v>371</v>
      </c>
      <c r="HI38" s="16">
        <v>44154</v>
      </c>
      <c r="HJ38">
        <v>21385</v>
      </c>
      <c r="HK38">
        <v>478</v>
      </c>
      <c r="HL38" s="16">
        <v>44155</v>
      </c>
      <c r="HM38">
        <v>21812</v>
      </c>
      <c r="HN38">
        <v>429</v>
      </c>
      <c r="HO38" s="16">
        <v>44156</v>
      </c>
      <c r="HP38">
        <v>22083</v>
      </c>
      <c r="HQ38">
        <v>268</v>
      </c>
      <c r="HR38" s="16">
        <v>44157</v>
      </c>
      <c r="HS38">
        <v>22349</v>
      </c>
      <c r="HT38">
        <v>267</v>
      </c>
      <c r="HU38" s="16">
        <v>44158</v>
      </c>
      <c r="HV38">
        <v>22854</v>
      </c>
      <c r="HW38">
        <v>504</v>
      </c>
      <c r="HX38" s="16"/>
      <c r="IA38" s="16"/>
      <c r="ID38" s="16"/>
      <c r="IG38" s="16"/>
      <c r="IJ38" s="16"/>
      <c r="IM38" s="16"/>
    </row>
    <row r="39" spans="1:247">
      <c r="A39" t="str">
        <f t="shared" ca="1" si="1"/>
        <v>24.11</v>
      </c>
      <c r="B39" s="4">
        <f t="shared" ca="1" si="2"/>
        <v>44159</v>
      </c>
      <c r="C39" s="11">
        <f t="shared" ca="1" si="0"/>
        <v>23322</v>
      </c>
      <c r="D39">
        <f t="shared" ref="D39" ca="1" si="7">C39-C38</f>
        <v>468</v>
      </c>
      <c r="E39" s="11">
        <f t="shared" ca="1" si="4"/>
        <v>0</v>
      </c>
      <c r="F39" s="11">
        <f t="shared" ca="1" si="6"/>
        <v>468</v>
      </c>
      <c r="K39" s="3"/>
      <c r="M39" s="16">
        <v>44159</v>
      </c>
      <c r="N39">
        <v>23322</v>
      </c>
      <c r="O39">
        <v>468</v>
      </c>
      <c r="P39" s="16">
        <v>44159</v>
      </c>
      <c r="Q39">
        <v>23322</v>
      </c>
      <c r="R39">
        <v>468</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v>44134</v>
      </c>
      <c r="EY39">
        <v>16376</v>
      </c>
      <c r="EZ39">
        <v>219</v>
      </c>
      <c r="FA39" s="16">
        <v>44135</v>
      </c>
      <c r="FB39">
        <v>16496</v>
      </c>
      <c r="FC39">
        <v>121</v>
      </c>
      <c r="FD39" s="16">
        <v>44136</v>
      </c>
      <c r="FE39">
        <v>16601</v>
      </c>
      <c r="FF39">
        <v>150</v>
      </c>
      <c r="FG39" s="16">
        <v>44137</v>
      </c>
      <c r="FH39">
        <v>16933</v>
      </c>
      <c r="FI39">
        <v>281</v>
      </c>
      <c r="FJ39" s="16">
        <v>44138</v>
      </c>
      <c r="FK39">
        <v>17184</v>
      </c>
      <c r="FL39">
        <v>241</v>
      </c>
      <c r="FM39" s="16">
        <v>44139</v>
      </c>
      <c r="FN39">
        <v>17395</v>
      </c>
      <c r="FO39">
        <v>211</v>
      </c>
      <c r="FP39" s="16">
        <v>44140</v>
      </c>
      <c r="FQ39">
        <v>17617</v>
      </c>
      <c r="FR39">
        <v>222</v>
      </c>
      <c r="FS39" s="16">
        <v>44141</v>
      </c>
      <c r="FT39">
        <v>17835</v>
      </c>
      <c r="FU39">
        <v>195</v>
      </c>
      <c r="FV39" s="16">
        <v>44142</v>
      </c>
      <c r="FW39">
        <v>17965</v>
      </c>
      <c r="FX39">
        <v>128</v>
      </c>
      <c r="FY39" s="16">
        <v>44143</v>
      </c>
      <c r="FZ39">
        <v>18102</v>
      </c>
      <c r="GA39">
        <v>133</v>
      </c>
      <c r="GB39" s="16">
        <v>44144</v>
      </c>
      <c r="GC39">
        <v>18375</v>
      </c>
      <c r="GD39">
        <v>273</v>
      </c>
      <c r="GE39" s="16">
        <v>44145</v>
      </c>
      <c r="GF39">
        <v>18580</v>
      </c>
      <c r="GG39">
        <v>205</v>
      </c>
      <c r="GH39" s="16">
        <v>44146</v>
      </c>
      <c r="GI39">
        <v>18872</v>
      </c>
      <c r="GJ39">
        <v>292</v>
      </c>
      <c r="GK39" s="16">
        <v>44147</v>
      </c>
      <c r="GL39">
        <v>19154</v>
      </c>
      <c r="GM39">
        <v>282</v>
      </c>
      <c r="GN39" s="16">
        <v>44148</v>
      </c>
      <c r="GO39">
        <v>19419</v>
      </c>
      <c r="GP39">
        <v>265</v>
      </c>
      <c r="GQ39" s="16">
        <v>44149</v>
      </c>
      <c r="GR39">
        <v>19565</v>
      </c>
      <c r="GS39">
        <v>145</v>
      </c>
      <c r="GT39" s="16">
        <v>44150</v>
      </c>
      <c r="GU39">
        <v>19746</v>
      </c>
      <c r="GV39">
        <v>182</v>
      </c>
      <c r="GW39" s="16">
        <v>44151</v>
      </c>
      <c r="GX39">
        <v>20143</v>
      </c>
      <c r="GY39">
        <v>391</v>
      </c>
      <c r="GZ39" s="16">
        <v>44152</v>
      </c>
      <c r="HA39">
        <v>20536</v>
      </c>
      <c r="HB39">
        <v>391</v>
      </c>
      <c r="HC39" s="16">
        <v>44153</v>
      </c>
      <c r="HD39">
        <v>20906</v>
      </c>
      <c r="HE39">
        <v>371</v>
      </c>
      <c r="HF39" s="16">
        <v>44154</v>
      </c>
      <c r="HG39">
        <v>21384</v>
      </c>
      <c r="HH39">
        <v>478</v>
      </c>
      <c r="HI39" s="16">
        <v>44155</v>
      </c>
      <c r="HJ39">
        <v>21814</v>
      </c>
      <c r="HK39">
        <v>429</v>
      </c>
      <c r="HL39" s="16">
        <v>44156</v>
      </c>
      <c r="HM39">
        <v>22080</v>
      </c>
      <c r="HN39">
        <v>268</v>
      </c>
      <c r="HO39" s="16">
        <v>44157</v>
      </c>
      <c r="HP39">
        <v>22350</v>
      </c>
      <c r="HQ39">
        <v>267</v>
      </c>
      <c r="HR39" s="16">
        <v>44158</v>
      </c>
      <c r="HS39">
        <v>22853</v>
      </c>
      <c r="HT39">
        <v>504</v>
      </c>
      <c r="HU39" s="16">
        <v>44159</v>
      </c>
      <c r="HV39">
        <v>23322</v>
      </c>
      <c r="HW39">
        <v>468</v>
      </c>
      <c r="HX39" s="16"/>
      <c r="IA39" s="16"/>
      <c r="ID39" s="16"/>
      <c r="IG39" s="16"/>
      <c r="IJ39" s="16"/>
      <c r="IM39" s="16"/>
    </row>
    <row r="40" spans="1:247">
      <c r="A40" t="str">
        <f t="shared" ca="1" si="1"/>
        <v>25.11</v>
      </c>
      <c r="B40" s="4">
        <f t="shared" ca="1" si="2"/>
        <v>44160</v>
      </c>
      <c r="C40" s="11">
        <f t="shared" ca="1" si="0"/>
        <v>23935</v>
      </c>
      <c r="D40">
        <f t="shared" ref="D40" ca="1" si="8">C40-C39</f>
        <v>613</v>
      </c>
      <c r="E40" s="11">
        <f t="shared" ca="1" si="4"/>
        <v>0</v>
      </c>
      <c r="F40" s="11">
        <f t="shared" ca="1" si="6"/>
        <v>613</v>
      </c>
      <c r="K40" s="10"/>
      <c r="M40" s="16">
        <v>44160</v>
      </c>
      <c r="N40">
        <v>23935</v>
      </c>
      <c r="O40">
        <v>613</v>
      </c>
      <c r="P40" s="16">
        <v>44160</v>
      </c>
      <c r="Q40">
        <v>23935</v>
      </c>
      <c r="R40">
        <v>613</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v>44135</v>
      </c>
      <c r="EY40">
        <v>16497</v>
      </c>
      <c r="EZ40">
        <v>121</v>
      </c>
      <c r="FA40" s="16">
        <v>44136</v>
      </c>
      <c r="FB40">
        <v>16646</v>
      </c>
      <c r="FC40">
        <v>150</v>
      </c>
      <c r="FD40" s="16">
        <v>44137</v>
      </c>
      <c r="FE40">
        <v>16878</v>
      </c>
      <c r="FF40">
        <v>277</v>
      </c>
      <c r="FG40" s="16">
        <v>44138</v>
      </c>
      <c r="FH40">
        <v>17174</v>
      </c>
      <c r="FI40">
        <v>241</v>
      </c>
      <c r="FJ40" s="16">
        <v>44139</v>
      </c>
      <c r="FK40">
        <v>17395</v>
      </c>
      <c r="FL40">
        <v>211</v>
      </c>
      <c r="FM40" s="16">
        <v>44140</v>
      </c>
      <c r="FN40">
        <v>17617</v>
      </c>
      <c r="FO40">
        <v>222</v>
      </c>
      <c r="FP40" s="16">
        <v>44141</v>
      </c>
      <c r="FQ40">
        <v>17812</v>
      </c>
      <c r="FR40">
        <v>195</v>
      </c>
      <c r="FS40" s="16">
        <v>44142</v>
      </c>
      <c r="FT40">
        <v>17963</v>
      </c>
      <c r="FU40">
        <v>128</v>
      </c>
      <c r="FV40" s="16">
        <v>44143</v>
      </c>
      <c r="FW40">
        <v>18098</v>
      </c>
      <c r="FX40">
        <v>133</v>
      </c>
      <c r="FY40" s="16">
        <v>44144</v>
      </c>
      <c r="FZ40">
        <v>18375</v>
      </c>
      <c r="GA40">
        <v>273</v>
      </c>
      <c r="GB40" s="16">
        <v>44145</v>
      </c>
      <c r="GC40">
        <v>18580</v>
      </c>
      <c r="GD40">
        <v>205</v>
      </c>
      <c r="GE40" s="16">
        <v>44146</v>
      </c>
      <c r="GF40">
        <v>18872</v>
      </c>
      <c r="GG40">
        <v>292</v>
      </c>
      <c r="GH40" s="16">
        <v>44147</v>
      </c>
      <c r="GI40">
        <v>19154</v>
      </c>
      <c r="GJ40">
        <v>282</v>
      </c>
      <c r="GK40" s="16">
        <v>44148</v>
      </c>
      <c r="GL40">
        <v>19419</v>
      </c>
      <c r="GM40">
        <v>265</v>
      </c>
      <c r="GN40" s="16">
        <v>44149</v>
      </c>
      <c r="GO40">
        <v>19564</v>
      </c>
      <c r="GP40">
        <v>145</v>
      </c>
      <c r="GQ40" s="16">
        <v>44150</v>
      </c>
      <c r="GR40">
        <v>19747</v>
      </c>
      <c r="GS40">
        <v>182</v>
      </c>
      <c r="GT40" s="16">
        <v>44151</v>
      </c>
      <c r="GU40">
        <v>20138</v>
      </c>
      <c r="GV40">
        <v>392</v>
      </c>
      <c r="GW40" s="16">
        <v>44152</v>
      </c>
      <c r="GX40">
        <v>20534</v>
      </c>
      <c r="GY40">
        <v>391</v>
      </c>
      <c r="GZ40" s="16">
        <v>44153</v>
      </c>
      <c r="HA40">
        <v>20907</v>
      </c>
      <c r="HB40">
        <v>371</v>
      </c>
      <c r="HC40" s="16">
        <v>44154</v>
      </c>
      <c r="HD40">
        <v>21384</v>
      </c>
      <c r="HE40">
        <v>478</v>
      </c>
      <c r="HF40" s="16">
        <v>44155</v>
      </c>
      <c r="HG40">
        <v>21813</v>
      </c>
      <c r="HH40">
        <v>429</v>
      </c>
      <c r="HI40" s="16">
        <v>44156</v>
      </c>
      <c r="HJ40">
        <v>22082</v>
      </c>
      <c r="HK40">
        <v>268</v>
      </c>
      <c r="HL40" s="16">
        <v>44157</v>
      </c>
      <c r="HM40">
        <v>22347</v>
      </c>
      <c r="HN40">
        <v>267</v>
      </c>
      <c r="HO40" s="16">
        <v>44158</v>
      </c>
      <c r="HP40">
        <v>22854</v>
      </c>
      <c r="HQ40">
        <v>504</v>
      </c>
      <c r="HR40" s="16">
        <v>44159</v>
      </c>
      <c r="HS40">
        <v>23321</v>
      </c>
      <c r="HT40">
        <v>468</v>
      </c>
      <c r="HU40" s="16">
        <v>44160</v>
      </c>
      <c r="HV40">
        <v>23935</v>
      </c>
      <c r="HW40">
        <v>613</v>
      </c>
      <c r="HX40" s="16"/>
      <c r="IA40" s="16"/>
      <c r="ID40" s="16"/>
      <c r="IG40" s="16"/>
      <c r="IJ40" s="16"/>
      <c r="IM40" s="16"/>
    </row>
    <row r="41" spans="1:247">
      <c r="A41" t="str">
        <f t="shared" ca="1" si="1"/>
        <v>26.11</v>
      </c>
      <c r="B41" s="4">
        <f t="shared" ca="1" si="2"/>
        <v>44161</v>
      </c>
      <c r="C41" s="11">
        <f t="shared" ca="1" si="0"/>
        <v>24445</v>
      </c>
      <c r="D41">
        <f t="shared" ref="D41" ca="1" si="9">C41-C40</f>
        <v>510</v>
      </c>
      <c r="E41" s="11">
        <f t="shared" ca="1" si="4"/>
        <v>0</v>
      </c>
      <c r="F41" s="11">
        <f t="shared" ca="1" si="6"/>
        <v>510</v>
      </c>
      <c r="J41" s="10">
        <f ca="1">SUM(D41:D47)</f>
        <v>3072</v>
      </c>
      <c r="K41" s="3"/>
      <c r="M41" s="16">
        <v>44161</v>
      </c>
      <c r="N41">
        <v>24445</v>
      </c>
      <c r="O41">
        <v>510</v>
      </c>
      <c r="P41" s="16">
        <v>44161</v>
      </c>
      <c r="Q41">
        <v>24445</v>
      </c>
      <c r="R41">
        <v>510</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v>44136</v>
      </c>
      <c r="EY41">
        <v>16647</v>
      </c>
      <c r="EZ41">
        <v>150</v>
      </c>
      <c r="FA41" s="16">
        <v>44137</v>
      </c>
      <c r="FB41">
        <v>16927</v>
      </c>
      <c r="FC41">
        <v>281</v>
      </c>
      <c r="FD41" s="16">
        <v>44138</v>
      </c>
      <c r="FE41">
        <v>17116</v>
      </c>
      <c r="FF41">
        <v>238</v>
      </c>
      <c r="FG41" s="16">
        <v>44139</v>
      </c>
      <c r="FH41">
        <v>17385</v>
      </c>
      <c r="FI41">
        <v>211</v>
      </c>
      <c r="FJ41" s="16">
        <v>44140</v>
      </c>
      <c r="FK41">
        <v>17617</v>
      </c>
      <c r="FL41">
        <v>222</v>
      </c>
      <c r="FM41" s="16">
        <v>44141</v>
      </c>
      <c r="FN41">
        <v>17812</v>
      </c>
      <c r="FO41">
        <v>195</v>
      </c>
      <c r="FP41" s="16">
        <v>44142</v>
      </c>
      <c r="FQ41">
        <v>17940</v>
      </c>
      <c r="FR41">
        <v>128</v>
      </c>
      <c r="FS41" s="16">
        <v>44143</v>
      </c>
      <c r="FT41">
        <v>18096</v>
      </c>
      <c r="FU41">
        <v>133</v>
      </c>
      <c r="FV41" s="16">
        <v>44144</v>
      </c>
      <c r="FW41">
        <v>18371</v>
      </c>
      <c r="FX41">
        <v>273</v>
      </c>
      <c r="FY41" s="16">
        <v>44145</v>
      </c>
      <c r="FZ41">
        <v>18580</v>
      </c>
      <c r="GA41">
        <v>205</v>
      </c>
      <c r="GB41" s="16">
        <v>44146</v>
      </c>
      <c r="GC41">
        <v>18872</v>
      </c>
      <c r="GD41">
        <v>292</v>
      </c>
      <c r="GE41" s="16">
        <v>44147</v>
      </c>
      <c r="GF41">
        <v>19154</v>
      </c>
      <c r="GG41">
        <v>282</v>
      </c>
      <c r="GH41" s="16">
        <v>44148</v>
      </c>
      <c r="GI41">
        <v>19419</v>
      </c>
      <c r="GJ41">
        <v>265</v>
      </c>
      <c r="GK41" s="16">
        <v>44149</v>
      </c>
      <c r="GL41">
        <v>19564</v>
      </c>
      <c r="GM41">
        <v>145</v>
      </c>
      <c r="GN41" s="16">
        <v>44150</v>
      </c>
      <c r="GO41">
        <v>19746</v>
      </c>
      <c r="GP41">
        <v>182</v>
      </c>
      <c r="GQ41" s="16">
        <v>44151</v>
      </c>
      <c r="GR41">
        <v>20139</v>
      </c>
      <c r="GS41">
        <v>392</v>
      </c>
      <c r="GT41" s="16">
        <v>44152</v>
      </c>
      <c r="GU41">
        <v>20529</v>
      </c>
      <c r="GV41">
        <v>391</v>
      </c>
      <c r="GW41" s="16">
        <v>44153</v>
      </c>
      <c r="GX41">
        <v>20905</v>
      </c>
      <c r="GY41">
        <v>371</v>
      </c>
      <c r="GZ41" s="16">
        <v>44154</v>
      </c>
      <c r="HA41">
        <v>21385</v>
      </c>
      <c r="HB41">
        <v>478</v>
      </c>
      <c r="HC41" s="16">
        <v>44155</v>
      </c>
      <c r="HD41">
        <v>21813</v>
      </c>
      <c r="HE41">
        <v>429</v>
      </c>
      <c r="HF41" s="16">
        <v>44156</v>
      </c>
      <c r="HG41">
        <v>22081</v>
      </c>
      <c r="HH41">
        <v>268</v>
      </c>
      <c r="HI41" s="16">
        <v>44157</v>
      </c>
      <c r="HJ41">
        <v>22349</v>
      </c>
      <c r="HK41">
        <v>267</v>
      </c>
      <c r="HL41" s="16">
        <v>44158</v>
      </c>
      <c r="HM41">
        <v>22851</v>
      </c>
      <c r="HN41">
        <v>504</v>
      </c>
      <c r="HO41" s="16">
        <v>44159</v>
      </c>
      <c r="HP41">
        <v>23322</v>
      </c>
      <c r="HQ41">
        <v>468</v>
      </c>
      <c r="HR41" s="16">
        <v>44160</v>
      </c>
      <c r="HS41">
        <v>23934</v>
      </c>
      <c r="HT41">
        <v>613</v>
      </c>
      <c r="HU41" s="16">
        <v>44161</v>
      </c>
      <c r="HV41">
        <v>24445</v>
      </c>
      <c r="HW41">
        <v>510</v>
      </c>
      <c r="HX41" s="16"/>
      <c r="IA41" s="16"/>
      <c r="ID41" s="16"/>
      <c r="IG41" s="16"/>
      <c r="IJ41" s="16"/>
      <c r="IM41" s="16"/>
    </row>
    <row r="42" spans="1:247">
      <c r="A42" t="str">
        <f t="shared" ca="1" si="1"/>
        <v>27.11</v>
      </c>
      <c r="B42" s="4">
        <f t="shared" ca="1" si="2"/>
        <v>44162</v>
      </c>
      <c r="C42" s="11">
        <f t="shared" ca="1" si="0"/>
        <v>24900</v>
      </c>
      <c r="D42">
        <f t="shared" ref="D42" ca="1" si="10">C42-C41</f>
        <v>455</v>
      </c>
      <c r="E42" s="11">
        <f t="shared" ca="1" si="4"/>
        <v>0</v>
      </c>
      <c r="F42" s="11">
        <f t="shared" ca="1" si="6"/>
        <v>455</v>
      </c>
      <c r="K42" s="3"/>
      <c r="M42" s="16">
        <v>44162</v>
      </c>
      <c r="N42">
        <v>24900</v>
      </c>
      <c r="O42">
        <v>455</v>
      </c>
      <c r="P42" s="16">
        <v>44162</v>
      </c>
      <c r="Q42">
        <v>24900</v>
      </c>
      <c r="R42">
        <v>455</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v>44137</v>
      </c>
      <c r="EY42">
        <v>16928</v>
      </c>
      <c r="EZ42">
        <v>281</v>
      </c>
      <c r="FA42" s="16">
        <v>44138</v>
      </c>
      <c r="FB42">
        <v>17168</v>
      </c>
      <c r="FC42">
        <v>241</v>
      </c>
      <c r="FD42" s="16">
        <v>44139</v>
      </c>
      <c r="FE42">
        <v>17325</v>
      </c>
      <c r="FF42">
        <v>209</v>
      </c>
      <c r="FG42" s="16">
        <v>44140</v>
      </c>
      <c r="FH42">
        <v>17606</v>
      </c>
      <c r="FI42">
        <v>221</v>
      </c>
      <c r="FJ42" s="16">
        <v>44141</v>
      </c>
      <c r="FK42">
        <v>17812</v>
      </c>
      <c r="FL42">
        <v>195</v>
      </c>
      <c r="FM42" s="16">
        <v>44142</v>
      </c>
      <c r="FN42">
        <v>17940</v>
      </c>
      <c r="FO42">
        <v>128</v>
      </c>
      <c r="FP42" s="16">
        <v>44143</v>
      </c>
      <c r="FQ42">
        <v>18073</v>
      </c>
      <c r="FR42">
        <v>133</v>
      </c>
      <c r="FS42" s="16">
        <v>44144</v>
      </c>
      <c r="FT42">
        <v>18369</v>
      </c>
      <c r="FU42">
        <v>273</v>
      </c>
      <c r="FV42" s="16">
        <v>44145</v>
      </c>
      <c r="FW42">
        <v>18576</v>
      </c>
      <c r="FX42">
        <v>205</v>
      </c>
      <c r="FY42" s="16">
        <v>44146</v>
      </c>
      <c r="FZ42">
        <v>18872</v>
      </c>
      <c r="GA42">
        <v>292</v>
      </c>
      <c r="GB42" s="16">
        <v>44147</v>
      </c>
      <c r="GC42">
        <v>19154</v>
      </c>
      <c r="GD42">
        <v>282</v>
      </c>
      <c r="GE42" s="16">
        <v>44148</v>
      </c>
      <c r="GF42">
        <v>19419</v>
      </c>
      <c r="GG42">
        <v>265</v>
      </c>
      <c r="GH42" s="16">
        <v>44149</v>
      </c>
      <c r="GI42">
        <v>19564</v>
      </c>
      <c r="GJ42">
        <v>145</v>
      </c>
      <c r="GK42" s="16">
        <v>44150</v>
      </c>
      <c r="GL42">
        <v>19746</v>
      </c>
      <c r="GM42">
        <v>182</v>
      </c>
      <c r="GN42" s="16">
        <v>44151</v>
      </c>
      <c r="GO42">
        <v>20138</v>
      </c>
      <c r="GP42">
        <v>392</v>
      </c>
      <c r="GQ42" s="16">
        <v>44152</v>
      </c>
      <c r="GR42">
        <v>20531</v>
      </c>
      <c r="GS42">
        <v>392</v>
      </c>
      <c r="GT42" s="16">
        <v>44153</v>
      </c>
      <c r="GU42">
        <v>20900</v>
      </c>
      <c r="GV42">
        <v>371</v>
      </c>
      <c r="GW42" s="16">
        <v>44154</v>
      </c>
      <c r="GX42">
        <v>21383</v>
      </c>
      <c r="GY42">
        <v>478</v>
      </c>
      <c r="GZ42" s="16">
        <v>44155</v>
      </c>
      <c r="HA42">
        <v>21814</v>
      </c>
      <c r="HB42">
        <v>429</v>
      </c>
      <c r="HC42" s="16">
        <v>44156</v>
      </c>
      <c r="HD42">
        <v>22081</v>
      </c>
      <c r="HE42">
        <v>268</v>
      </c>
      <c r="HF42" s="16">
        <v>44157</v>
      </c>
      <c r="HG42">
        <v>22348</v>
      </c>
      <c r="HH42">
        <v>267</v>
      </c>
      <c r="HI42" s="16">
        <v>44158</v>
      </c>
      <c r="HJ42">
        <v>22853</v>
      </c>
      <c r="HK42">
        <v>504</v>
      </c>
      <c r="HL42" s="16">
        <v>44159</v>
      </c>
      <c r="HM42">
        <v>23319</v>
      </c>
      <c r="HN42">
        <v>468</v>
      </c>
      <c r="HO42" s="16">
        <v>44160</v>
      </c>
      <c r="HP42">
        <v>23935</v>
      </c>
      <c r="HQ42">
        <v>613</v>
      </c>
      <c r="HR42" s="16">
        <v>44161</v>
      </c>
      <c r="HS42">
        <v>24444</v>
      </c>
      <c r="HT42">
        <v>510</v>
      </c>
      <c r="HU42" s="16">
        <v>44162</v>
      </c>
      <c r="HV42">
        <v>24900</v>
      </c>
      <c r="HW42">
        <v>455</v>
      </c>
      <c r="HX42" s="16"/>
      <c r="IA42" s="16"/>
      <c r="ID42" s="16"/>
      <c r="IG42" s="16"/>
      <c r="IJ42" s="16"/>
      <c r="IM42" s="16"/>
    </row>
    <row r="43" spans="1:247">
      <c r="A43" t="str">
        <f t="shared" ca="1" si="1"/>
        <v>28.11</v>
      </c>
      <c r="B43" s="4">
        <f t="shared" ca="1" si="2"/>
        <v>44163</v>
      </c>
      <c r="C43" s="11">
        <f t="shared" ca="1" si="0"/>
        <v>25185</v>
      </c>
      <c r="D43">
        <f t="shared" ref="D43" ca="1" si="11">C43-C42</f>
        <v>285</v>
      </c>
      <c r="E43" s="11">
        <f t="shared" ca="1" si="4"/>
        <v>0</v>
      </c>
      <c r="F43" s="11">
        <f t="shared" ca="1" si="6"/>
        <v>285</v>
      </c>
      <c r="G43" s="10"/>
      <c r="K43" s="3"/>
      <c r="M43" s="16">
        <v>44163</v>
      </c>
      <c r="N43">
        <v>25185</v>
      </c>
      <c r="O43">
        <v>285</v>
      </c>
      <c r="P43" s="16">
        <v>44163</v>
      </c>
      <c r="Q43">
        <v>25185</v>
      </c>
      <c r="R43">
        <v>285</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v>44138</v>
      </c>
      <c r="EY43">
        <v>17169</v>
      </c>
      <c r="EZ43">
        <v>241</v>
      </c>
      <c r="FA43" s="16">
        <v>44139</v>
      </c>
      <c r="FB43">
        <v>17378</v>
      </c>
      <c r="FC43">
        <v>210</v>
      </c>
      <c r="FD43" s="16">
        <v>44140</v>
      </c>
      <c r="FE43">
        <v>17546</v>
      </c>
      <c r="FF43">
        <v>221</v>
      </c>
      <c r="FG43" s="16">
        <v>44141</v>
      </c>
      <c r="FH43">
        <v>17801</v>
      </c>
      <c r="FI43">
        <v>195</v>
      </c>
      <c r="FJ43" s="16">
        <v>44142</v>
      </c>
      <c r="FK43">
        <v>17940</v>
      </c>
      <c r="FL43">
        <v>128</v>
      </c>
      <c r="FM43" s="16">
        <v>44143</v>
      </c>
      <c r="FN43">
        <v>18073</v>
      </c>
      <c r="FO43">
        <v>133</v>
      </c>
      <c r="FP43" s="16">
        <v>44144</v>
      </c>
      <c r="FQ43">
        <v>18349</v>
      </c>
      <c r="FR43">
        <v>276</v>
      </c>
      <c r="FS43" s="16">
        <v>44145</v>
      </c>
      <c r="FT43">
        <v>18574</v>
      </c>
      <c r="FU43">
        <v>205</v>
      </c>
      <c r="FV43" s="16">
        <v>44146</v>
      </c>
      <c r="FW43">
        <v>18868</v>
      </c>
      <c r="FX43">
        <v>292</v>
      </c>
      <c r="FY43" s="16">
        <v>44147</v>
      </c>
      <c r="FZ43">
        <v>19154</v>
      </c>
      <c r="GA43">
        <v>282</v>
      </c>
      <c r="GB43" s="16">
        <v>44148</v>
      </c>
      <c r="GC43">
        <v>19418</v>
      </c>
      <c r="GD43">
        <v>264</v>
      </c>
      <c r="GE43" s="16">
        <v>44149</v>
      </c>
      <c r="GF43">
        <v>19564</v>
      </c>
      <c r="GG43">
        <v>145</v>
      </c>
      <c r="GH43" s="16">
        <v>44150</v>
      </c>
      <c r="GI43">
        <v>19746</v>
      </c>
      <c r="GJ43">
        <v>182</v>
      </c>
      <c r="GK43" s="16">
        <v>44151</v>
      </c>
      <c r="GL43">
        <v>20138</v>
      </c>
      <c r="GM43">
        <v>392</v>
      </c>
      <c r="GN43" s="16">
        <v>44152</v>
      </c>
      <c r="GO43">
        <v>20530</v>
      </c>
      <c r="GP43">
        <v>392</v>
      </c>
      <c r="GQ43" s="16">
        <v>44153</v>
      </c>
      <c r="GR43">
        <v>20903</v>
      </c>
      <c r="GS43">
        <v>372</v>
      </c>
      <c r="GT43" s="16">
        <v>44154</v>
      </c>
      <c r="GU43">
        <v>21378</v>
      </c>
      <c r="GV43">
        <v>478</v>
      </c>
      <c r="GW43" s="16">
        <v>44155</v>
      </c>
      <c r="GX43">
        <v>21812</v>
      </c>
      <c r="GY43">
        <v>429</v>
      </c>
      <c r="GZ43" s="16">
        <v>44156</v>
      </c>
      <c r="HA43">
        <v>22082</v>
      </c>
      <c r="HB43">
        <v>268</v>
      </c>
      <c r="HC43" s="16">
        <v>44157</v>
      </c>
      <c r="HD43">
        <v>22348</v>
      </c>
      <c r="HE43">
        <v>267</v>
      </c>
      <c r="HF43" s="16">
        <v>44158</v>
      </c>
      <c r="HG43">
        <v>22852</v>
      </c>
      <c r="HH43">
        <v>504</v>
      </c>
      <c r="HI43" s="16">
        <v>44159</v>
      </c>
      <c r="HJ43">
        <v>23321</v>
      </c>
      <c r="HK43">
        <v>468</v>
      </c>
      <c r="HL43" s="16">
        <v>44160</v>
      </c>
      <c r="HM43">
        <v>23932</v>
      </c>
      <c r="HN43">
        <v>613</v>
      </c>
      <c r="HO43" s="16">
        <v>44161</v>
      </c>
      <c r="HP43">
        <v>24445</v>
      </c>
      <c r="HQ43">
        <v>510</v>
      </c>
      <c r="HR43" s="16">
        <v>44162</v>
      </c>
      <c r="HS43">
        <v>24899</v>
      </c>
      <c r="HT43">
        <v>455</v>
      </c>
      <c r="HU43" s="16">
        <v>44163</v>
      </c>
      <c r="HV43">
        <v>25185</v>
      </c>
      <c r="HW43">
        <v>285</v>
      </c>
      <c r="HX43" s="16"/>
      <c r="IA43" s="16"/>
      <c r="ID43" s="16"/>
      <c r="IG43" s="16"/>
      <c r="IJ43" s="16"/>
      <c r="IM43" s="16"/>
    </row>
    <row r="44" spans="1:247" s="10" customFormat="1">
      <c r="A44" t="str">
        <f t="shared" ca="1" si="1"/>
        <v>29.11</v>
      </c>
      <c r="B44" s="9">
        <f t="shared" ca="1" si="2"/>
        <v>44164</v>
      </c>
      <c r="C44" s="10">
        <f t="shared" ca="1" si="0"/>
        <v>25477</v>
      </c>
      <c r="D44" s="10">
        <f t="shared" ref="D44" ca="1" si="12">C44-C43</f>
        <v>292</v>
      </c>
      <c r="E44" s="10">
        <f t="shared" ca="1" si="4"/>
        <v>-1</v>
      </c>
      <c r="F44" s="10">
        <f t="shared" ca="1" si="6"/>
        <v>293</v>
      </c>
      <c r="G44" s="10">
        <f ca="1">SUM(D44:D50)</f>
        <v>3020</v>
      </c>
      <c r="H44" s="10" t="str">
        <f ca="1">TEXT(G44/G37-1,"0 %")</f>
        <v>-3 %</v>
      </c>
      <c r="K44" s="14"/>
      <c r="L44"/>
      <c r="M44" s="17">
        <v>44164</v>
      </c>
      <c r="N44" s="10">
        <v>25478</v>
      </c>
      <c r="O44" s="10">
        <v>293</v>
      </c>
      <c r="P44" s="17">
        <v>44164</v>
      </c>
      <c r="Q44" s="10">
        <v>25478</v>
      </c>
      <c r="R44" s="10">
        <v>293</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v>44139</v>
      </c>
      <c r="EY44" s="10">
        <v>17379</v>
      </c>
      <c r="EZ44" s="10">
        <v>210</v>
      </c>
      <c r="FA44" s="17">
        <v>44140</v>
      </c>
      <c r="FB44" s="10">
        <v>17599</v>
      </c>
      <c r="FC44" s="10">
        <v>221</v>
      </c>
      <c r="FD44" s="17">
        <v>44141</v>
      </c>
      <c r="FE44" s="10">
        <v>17741</v>
      </c>
      <c r="FF44" s="10">
        <v>195</v>
      </c>
      <c r="FG44" s="17">
        <v>44142</v>
      </c>
      <c r="FH44" s="10">
        <v>17929</v>
      </c>
      <c r="FI44" s="10">
        <v>128</v>
      </c>
      <c r="FJ44" s="17">
        <v>44143</v>
      </c>
      <c r="FK44" s="10">
        <v>18073</v>
      </c>
      <c r="FL44" s="10">
        <v>133</v>
      </c>
      <c r="FM44" s="17">
        <v>44144</v>
      </c>
      <c r="FN44" s="10">
        <v>18349</v>
      </c>
      <c r="FO44" s="10">
        <v>276</v>
      </c>
      <c r="FP44" s="17">
        <v>44145</v>
      </c>
      <c r="FQ44" s="10">
        <v>18554</v>
      </c>
      <c r="FR44" s="10">
        <v>205</v>
      </c>
      <c r="FS44" s="17">
        <v>44146</v>
      </c>
      <c r="FT44" s="10">
        <v>18866</v>
      </c>
      <c r="FU44" s="10">
        <v>292</v>
      </c>
      <c r="FV44" s="17">
        <v>44147</v>
      </c>
      <c r="FW44" s="10">
        <v>19150</v>
      </c>
      <c r="FX44" s="10">
        <v>282</v>
      </c>
      <c r="FY44" s="17">
        <v>44148</v>
      </c>
      <c r="FZ44" s="10">
        <v>19418</v>
      </c>
      <c r="GA44" s="10">
        <v>264</v>
      </c>
      <c r="GB44" s="17">
        <v>44149</v>
      </c>
      <c r="GC44" s="10">
        <v>19563</v>
      </c>
      <c r="GD44" s="10">
        <v>145</v>
      </c>
      <c r="GE44" s="17">
        <v>44150</v>
      </c>
      <c r="GF44" s="10">
        <v>19746</v>
      </c>
      <c r="GG44" s="10">
        <v>182</v>
      </c>
      <c r="GH44" s="17">
        <v>44151</v>
      </c>
      <c r="GI44" s="10">
        <v>20138</v>
      </c>
      <c r="GJ44" s="10">
        <v>392</v>
      </c>
      <c r="GK44" s="17">
        <v>44152</v>
      </c>
      <c r="GL44" s="10">
        <v>20530</v>
      </c>
      <c r="GM44" s="10">
        <v>392</v>
      </c>
      <c r="GN44" s="17">
        <v>44153</v>
      </c>
      <c r="GO44" s="10">
        <v>20902</v>
      </c>
      <c r="GP44" s="10">
        <v>372</v>
      </c>
      <c r="GQ44" s="17">
        <v>44154</v>
      </c>
      <c r="GR44" s="10">
        <v>21383</v>
      </c>
      <c r="GS44" s="10">
        <v>480</v>
      </c>
      <c r="GT44" s="17">
        <v>44155</v>
      </c>
      <c r="GU44" s="10">
        <v>21807</v>
      </c>
      <c r="GV44" s="10">
        <v>429</v>
      </c>
      <c r="GW44" s="17">
        <v>44156</v>
      </c>
      <c r="GX44" s="10">
        <v>22080</v>
      </c>
      <c r="GY44" s="10">
        <v>268</v>
      </c>
      <c r="GZ44" s="17">
        <v>44157</v>
      </c>
      <c r="HA44" s="10">
        <v>22349</v>
      </c>
      <c r="HB44" s="10">
        <v>267</v>
      </c>
      <c r="HC44" s="17">
        <v>44158</v>
      </c>
      <c r="HD44" s="10">
        <v>22853</v>
      </c>
      <c r="HE44" s="10">
        <v>505</v>
      </c>
      <c r="HF44" s="17">
        <v>44159</v>
      </c>
      <c r="HG44" s="10">
        <v>23320</v>
      </c>
      <c r="HH44" s="10">
        <v>468</v>
      </c>
      <c r="HI44" s="17">
        <v>44160</v>
      </c>
      <c r="HJ44" s="10">
        <v>23934</v>
      </c>
      <c r="HK44" s="10">
        <v>613</v>
      </c>
      <c r="HL44" s="17">
        <v>44161</v>
      </c>
      <c r="HM44" s="10">
        <v>24442</v>
      </c>
      <c r="HN44" s="10">
        <v>510</v>
      </c>
      <c r="HO44" s="17">
        <v>44162</v>
      </c>
      <c r="HP44" s="10">
        <v>24900</v>
      </c>
      <c r="HQ44" s="10">
        <v>455</v>
      </c>
      <c r="HR44" s="17">
        <v>44163</v>
      </c>
      <c r="HS44" s="10">
        <v>25183</v>
      </c>
      <c r="HT44" s="10">
        <v>284</v>
      </c>
      <c r="HU44" s="17">
        <v>44164</v>
      </c>
      <c r="HV44" s="10">
        <v>25478</v>
      </c>
      <c r="HW44" s="10">
        <v>293</v>
      </c>
      <c r="HX44" s="17"/>
      <c r="IA44" s="17"/>
      <c r="ID44" s="17"/>
      <c r="IG44" s="17"/>
      <c r="IJ44" s="17"/>
      <c r="IM44" s="17"/>
    </row>
    <row r="45" spans="1:247">
      <c r="A45" t="str">
        <f t="shared" ca="1" si="1"/>
        <v>Ma 30</v>
      </c>
      <c r="B45" s="4">
        <f t="shared" ca="1" si="2"/>
        <v>44165</v>
      </c>
      <c r="C45" s="11">
        <f t="shared" ca="1" si="0"/>
        <v>26073</v>
      </c>
      <c r="D45">
        <f t="shared" ref="D45" ca="1" si="13">C45-C44</f>
        <v>596</v>
      </c>
      <c r="E45" s="11">
        <f t="shared" ca="1" si="4"/>
        <v>0</v>
      </c>
      <c r="F45" s="11">
        <f t="shared" ca="1" si="6"/>
        <v>596</v>
      </c>
      <c r="K45" s="3"/>
      <c r="M45" s="16">
        <v>44165</v>
      </c>
      <c r="N45">
        <v>26074</v>
      </c>
      <c r="O45">
        <v>596</v>
      </c>
      <c r="P45" s="16">
        <v>44165</v>
      </c>
      <c r="Q45">
        <v>26074</v>
      </c>
      <c r="R45">
        <v>596</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v>44140</v>
      </c>
      <c r="EY45">
        <v>17600</v>
      </c>
      <c r="EZ45">
        <v>221</v>
      </c>
      <c r="FA45" s="16">
        <v>44141</v>
      </c>
      <c r="FB45">
        <v>17793</v>
      </c>
      <c r="FC45">
        <v>194</v>
      </c>
      <c r="FD45" s="16">
        <v>44142</v>
      </c>
      <c r="FE45">
        <v>17869</v>
      </c>
      <c r="FF45">
        <v>128</v>
      </c>
      <c r="FG45" s="16">
        <v>44143</v>
      </c>
      <c r="FH45">
        <v>18062</v>
      </c>
      <c r="FI45">
        <v>133</v>
      </c>
      <c r="FJ45" s="16">
        <v>44144</v>
      </c>
      <c r="FK45">
        <v>18349</v>
      </c>
      <c r="FL45">
        <v>276</v>
      </c>
      <c r="FM45" s="16">
        <v>44145</v>
      </c>
      <c r="FN45">
        <v>18554</v>
      </c>
      <c r="FO45">
        <v>205</v>
      </c>
      <c r="FP45" s="16">
        <v>44146</v>
      </c>
      <c r="FQ45">
        <v>18846</v>
      </c>
      <c r="FR45">
        <v>292</v>
      </c>
      <c r="FS45" s="16">
        <v>44147</v>
      </c>
      <c r="FT45">
        <v>19148</v>
      </c>
      <c r="FU45">
        <v>282</v>
      </c>
      <c r="FV45" s="16">
        <v>44148</v>
      </c>
      <c r="FW45">
        <v>19414</v>
      </c>
      <c r="FX45">
        <v>264</v>
      </c>
      <c r="FY45" s="16">
        <v>44149</v>
      </c>
      <c r="FZ45">
        <v>19563</v>
      </c>
      <c r="GA45">
        <v>145</v>
      </c>
      <c r="GB45" s="16">
        <v>44150</v>
      </c>
      <c r="GC45">
        <v>19745</v>
      </c>
      <c r="GD45">
        <v>182</v>
      </c>
      <c r="GE45" s="16">
        <v>44151</v>
      </c>
      <c r="GF45">
        <v>20138</v>
      </c>
      <c r="GG45">
        <v>392</v>
      </c>
      <c r="GH45" s="16">
        <v>44152</v>
      </c>
      <c r="GI45">
        <v>20530</v>
      </c>
      <c r="GJ45">
        <v>392</v>
      </c>
      <c r="GK45" s="16">
        <v>44153</v>
      </c>
      <c r="GL45">
        <v>20902</v>
      </c>
      <c r="GM45">
        <v>372</v>
      </c>
      <c r="GN45" s="16">
        <v>44154</v>
      </c>
      <c r="GO45">
        <v>21382</v>
      </c>
      <c r="GP45">
        <v>480</v>
      </c>
      <c r="GQ45" s="16">
        <v>44155</v>
      </c>
      <c r="GR45">
        <v>21815</v>
      </c>
      <c r="GS45">
        <v>432</v>
      </c>
      <c r="GT45" s="16">
        <v>44156</v>
      </c>
      <c r="GU45">
        <v>22075</v>
      </c>
      <c r="GV45">
        <v>268</v>
      </c>
      <c r="GW45" s="16">
        <v>44157</v>
      </c>
      <c r="GX45">
        <v>22347</v>
      </c>
      <c r="GY45">
        <v>267</v>
      </c>
      <c r="GZ45" s="16">
        <v>44158</v>
      </c>
      <c r="HA45">
        <v>22854</v>
      </c>
      <c r="HB45">
        <v>505</v>
      </c>
      <c r="HC45" s="16">
        <v>44159</v>
      </c>
      <c r="HD45">
        <v>23321</v>
      </c>
      <c r="HE45">
        <v>468</v>
      </c>
      <c r="HF45" s="16">
        <v>44160</v>
      </c>
      <c r="HG45">
        <v>23933</v>
      </c>
      <c r="HH45">
        <v>613</v>
      </c>
      <c r="HI45" s="16">
        <v>44161</v>
      </c>
      <c r="HJ45">
        <v>24444</v>
      </c>
      <c r="HK45">
        <v>510</v>
      </c>
      <c r="HL45" s="16">
        <v>44162</v>
      </c>
      <c r="HM45">
        <v>24896</v>
      </c>
      <c r="HN45">
        <v>454</v>
      </c>
      <c r="HO45" s="16">
        <v>44163</v>
      </c>
      <c r="HP45">
        <v>25184</v>
      </c>
      <c r="HQ45">
        <v>284</v>
      </c>
      <c r="HR45" s="16">
        <v>44164</v>
      </c>
      <c r="HS45">
        <v>25477</v>
      </c>
      <c r="HT45">
        <v>294</v>
      </c>
      <c r="HU45" s="16">
        <v>44165</v>
      </c>
      <c r="HV45">
        <v>26074</v>
      </c>
      <c r="HW45">
        <v>596</v>
      </c>
      <c r="HX45" s="16"/>
      <c r="IA45" s="16"/>
      <c r="ID45" s="16"/>
      <c r="IG45" s="16"/>
      <c r="IJ45" s="16"/>
      <c r="IM45" s="16"/>
    </row>
    <row r="46" spans="1:247">
      <c r="A46" t="str">
        <f t="shared" ca="1" si="1"/>
        <v>1.12</v>
      </c>
      <c r="B46" s="4">
        <f t="shared" ca="1" si="2"/>
        <v>44166</v>
      </c>
      <c r="C46" s="11">
        <f t="shared" ca="1" si="0"/>
        <v>26513</v>
      </c>
      <c r="D46">
        <f t="shared" ref="D46" ca="1" si="14">C46-C45</f>
        <v>440</v>
      </c>
      <c r="E46" s="11">
        <f t="shared" ca="1" si="4"/>
        <v>0</v>
      </c>
      <c r="F46" s="11">
        <f t="shared" ca="1" si="6"/>
        <v>440</v>
      </c>
      <c r="K46" s="3"/>
      <c r="M46" s="16">
        <v>44166</v>
      </c>
      <c r="N46">
        <v>26514</v>
      </c>
      <c r="O46">
        <v>440</v>
      </c>
      <c r="P46" s="16">
        <v>44166</v>
      </c>
      <c r="Q46">
        <v>26514</v>
      </c>
      <c r="R46">
        <v>440</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v>44141</v>
      </c>
      <c r="EY46">
        <v>17794</v>
      </c>
      <c r="EZ46">
        <v>194</v>
      </c>
      <c r="FA46" s="16">
        <v>44142</v>
      </c>
      <c r="FB46">
        <v>17921</v>
      </c>
      <c r="FC46">
        <v>128</v>
      </c>
      <c r="FD46" s="16">
        <v>44143</v>
      </c>
      <c r="FE46">
        <v>18001</v>
      </c>
      <c r="FF46">
        <v>132</v>
      </c>
      <c r="FG46" s="16">
        <v>44144</v>
      </c>
      <c r="FH46">
        <v>18338</v>
      </c>
      <c r="FI46">
        <v>276</v>
      </c>
      <c r="FJ46" s="16">
        <v>44145</v>
      </c>
      <c r="FK46">
        <v>18554</v>
      </c>
      <c r="FL46">
        <v>205</v>
      </c>
      <c r="FM46" s="16">
        <v>44146</v>
      </c>
      <c r="FN46">
        <v>18846</v>
      </c>
      <c r="FO46">
        <v>292</v>
      </c>
      <c r="FP46" s="16">
        <v>44147</v>
      </c>
      <c r="FQ46">
        <v>19128</v>
      </c>
      <c r="FR46">
        <v>282</v>
      </c>
      <c r="FS46" s="16">
        <v>44148</v>
      </c>
      <c r="FT46">
        <v>19412</v>
      </c>
      <c r="FU46">
        <v>264</v>
      </c>
      <c r="FV46" s="16">
        <v>44149</v>
      </c>
      <c r="FW46">
        <v>19559</v>
      </c>
      <c r="FX46">
        <v>145</v>
      </c>
      <c r="FY46" s="16">
        <v>44150</v>
      </c>
      <c r="FZ46">
        <v>19745</v>
      </c>
      <c r="GA46">
        <v>182</v>
      </c>
      <c r="GB46" s="16">
        <v>44151</v>
      </c>
      <c r="GC46">
        <v>20137</v>
      </c>
      <c r="GD46">
        <v>392</v>
      </c>
      <c r="GE46" s="16">
        <v>44152</v>
      </c>
      <c r="GF46">
        <v>20530</v>
      </c>
      <c r="GG46">
        <v>392</v>
      </c>
      <c r="GH46" s="16">
        <v>44153</v>
      </c>
      <c r="GI46">
        <v>20902</v>
      </c>
      <c r="GJ46">
        <v>372</v>
      </c>
      <c r="GK46" s="16">
        <v>44154</v>
      </c>
      <c r="GL46">
        <v>21382</v>
      </c>
      <c r="GM46">
        <v>480</v>
      </c>
      <c r="GN46" s="16">
        <v>44155</v>
      </c>
      <c r="GO46">
        <v>21814</v>
      </c>
      <c r="GP46">
        <v>432</v>
      </c>
      <c r="GQ46" s="16">
        <v>44156</v>
      </c>
      <c r="GR46">
        <v>22085</v>
      </c>
      <c r="GS46">
        <v>270</v>
      </c>
      <c r="GT46" s="16">
        <v>44157</v>
      </c>
      <c r="GU46">
        <v>22342</v>
      </c>
      <c r="GV46">
        <v>267</v>
      </c>
      <c r="GW46" s="16">
        <v>44158</v>
      </c>
      <c r="GX46">
        <v>22852</v>
      </c>
      <c r="GY46">
        <v>505</v>
      </c>
      <c r="GZ46" s="16">
        <v>44159</v>
      </c>
      <c r="HA46">
        <v>23322</v>
      </c>
      <c r="HB46">
        <v>468</v>
      </c>
      <c r="HC46" s="16">
        <v>44160</v>
      </c>
      <c r="HD46">
        <v>23936</v>
      </c>
      <c r="HE46">
        <v>615</v>
      </c>
      <c r="HF46" s="16">
        <v>44161</v>
      </c>
      <c r="HG46">
        <v>24443</v>
      </c>
      <c r="HH46">
        <v>510</v>
      </c>
      <c r="HI46" s="16">
        <v>44162</v>
      </c>
      <c r="HJ46">
        <v>24898</v>
      </c>
      <c r="HK46">
        <v>454</v>
      </c>
      <c r="HL46" s="16">
        <v>44163</v>
      </c>
      <c r="HM46">
        <v>25179</v>
      </c>
      <c r="HN46">
        <v>283</v>
      </c>
      <c r="HO46" s="16">
        <v>44164</v>
      </c>
      <c r="HP46">
        <v>25479</v>
      </c>
      <c r="HQ46">
        <v>295</v>
      </c>
      <c r="HR46" s="16">
        <v>44165</v>
      </c>
      <c r="HS46">
        <v>26073</v>
      </c>
      <c r="HT46">
        <v>596</v>
      </c>
      <c r="HU46" s="16">
        <v>44166</v>
      </c>
      <c r="HV46">
        <v>26514</v>
      </c>
      <c r="HW46">
        <v>440</v>
      </c>
      <c r="HX46" s="16"/>
      <c r="IA46" s="16"/>
      <c r="ID46" s="16"/>
      <c r="IG46" s="16"/>
      <c r="IJ46" s="16"/>
      <c r="IM46" s="16"/>
    </row>
    <row r="47" spans="1:247">
      <c r="A47" t="str">
        <f t="shared" ca="1" si="1"/>
        <v>2.12</v>
      </c>
      <c r="B47" s="4">
        <f t="shared" ca="1" si="2"/>
        <v>44167</v>
      </c>
      <c r="C47" s="11">
        <f t="shared" ca="1" si="0"/>
        <v>27007</v>
      </c>
      <c r="D47">
        <f t="shared" ref="D47" ca="1" si="15">C47-C46</f>
        <v>494</v>
      </c>
      <c r="E47" s="11">
        <f t="shared" ca="1" si="4"/>
        <v>0</v>
      </c>
      <c r="F47" s="11">
        <f t="shared" ca="1" si="6"/>
        <v>494</v>
      </c>
      <c r="M47" s="16">
        <v>44167</v>
      </c>
      <c r="N47">
        <v>27008</v>
      </c>
      <c r="O47">
        <v>494</v>
      </c>
      <c r="P47" s="16">
        <v>44167</v>
      </c>
      <c r="Q47">
        <v>27008</v>
      </c>
      <c r="R47">
        <v>494</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v>44142</v>
      </c>
      <c r="EY47">
        <v>17922</v>
      </c>
      <c r="EZ47">
        <v>128</v>
      </c>
      <c r="FA47" s="16">
        <v>44143</v>
      </c>
      <c r="FB47">
        <v>18054</v>
      </c>
      <c r="FC47">
        <v>133</v>
      </c>
      <c r="FD47" s="16">
        <v>44144</v>
      </c>
      <c r="FE47">
        <v>18277</v>
      </c>
      <c r="FF47">
        <v>276</v>
      </c>
      <c r="FG47" s="16">
        <v>44145</v>
      </c>
      <c r="FH47">
        <v>18543</v>
      </c>
      <c r="FI47">
        <v>205</v>
      </c>
      <c r="FJ47" s="16">
        <v>44146</v>
      </c>
      <c r="FK47">
        <v>18846</v>
      </c>
      <c r="FL47">
        <v>292</v>
      </c>
      <c r="FM47" s="16">
        <v>44147</v>
      </c>
      <c r="FN47">
        <v>19128</v>
      </c>
      <c r="FO47">
        <v>282</v>
      </c>
      <c r="FP47" s="16">
        <v>44148</v>
      </c>
      <c r="FQ47">
        <v>19392</v>
      </c>
      <c r="FR47">
        <v>264</v>
      </c>
      <c r="FS47" s="16">
        <v>44149</v>
      </c>
      <c r="FT47">
        <v>19557</v>
      </c>
      <c r="FU47">
        <v>145</v>
      </c>
      <c r="FV47" s="16">
        <v>44150</v>
      </c>
      <c r="FW47">
        <v>19740</v>
      </c>
      <c r="FX47">
        <v>181</v>
      </c>
      <c r="FY47" s="16">
        <v>44151</v>
      </c>
      <c r="FZ47">
        <v>20138</v>
      </c>
      <c r="GA47">
        <v>393</v>
      </c>
      <c r="GB47" s="16">
        <v>44152</v>
      </c>
      <c r="GC47">
        <v>20529</v>
      </c>
      <c r="GD47">
        <v>392</v>
      </c>
      <c r="GE47" s="16">
        <v>44153</v>
      </c>
      <c r="GF47">
        <v>20902</v>
      </c>
      <c r="GG47">
        <v>372</v>
      </c>
      <c r="GH47" s="16">
        <v>44154</v>
      </c>
      <c r="GI47">
        <v>21382</v>
      </c>
      <c r="GJ47">
        <v>480</v>
      </c>
      <c r="GK47" s="16">
        <v>44155</v>
      </c>
      <c r="GL47">
        <v>21814</v>
      </c>
      <c r="GM47">
        <v>432</v>
      </c>
      <c r="GN47" s="16">
        <v>44156</v>
      </c>
      <c r="GO47">
        <v>22083</v>
      </c>
      <c r="GP47">
        <v>269</v>
      </c>
      <c r="GQ47" s="16">
        <v>44157</v>
      </c>
      <c r="GR47">
        <v>22348</v>
      </c>
      <c r="GS47">
        <v>263</v>
      </c>
      <c r="GT47" s="16">
        <v>44158</v>
      </c>
      <c r="GU47">
        <v>22847</v>
      </c>
      <c r="GV47">
        <v>505</v>
      </c>
      <c r="GW47" s="16">
        <v>44159</v>
      </c>
      <c r="GX47">
        <v>23320</v>
      </c>
      <c r="GY47">
        <v>468</v>
      </c>
      <c r="GZ47" s="16">
        <v>44160</v>
      </c>
      <c r="HA47">
        <v>23937</v>
      </c>
      <c r="HB47">
        <v>615</v>
      </c>
      <c r="HC47" s="16">
        <v>44161</v>
      </c>
      <c r="HD47">
        <v>24447</v>
      </c>
      <c r="HE47">
        <v>511</v>
      </c>
      <c r="HF47" s="16">
        <v>44162</v>
      </c>
      <c r="HG47">
        <v>24899</v>
      </c>
      <c r="HH47">
        <v>456</v>
      </c>
      <c r="HI47" s="16">
        <v>44163</v>
      </c>
      <c r="HJ47">
        <v>25181</v>
      </c>
      <c r="HK47">
        <v>283</v>
      </c>
      <c r="HL47" s="16">
        <v>44164</v>
      </c>
      <c r="HM47">
        <v>25472</v>
      </c>
      <c r="HN47">
        <v>293</v>
      </c>
      <c r="HO47" s="16">
        <v>44165</v>
      </c>
      <c r="HP47">
        <v>26076</v>
      </c>
      <c r="HQ47">
        <v>597</v>
      </c>
      <c r="HR47" s="16">
        <v>44166</v>
      </c>
      <c r="HS47">
        <v>26513</v>
      </c>
      <c r="HT47">
        <v>440</v>
      </c>
      <c r="HU47" s="16">
        <v>44167</v>
      </c>
      <c r="HV47">
        <v>27008</v>
      </c>
      <c r="HW47">
        <v>494</v>
      </c>
      <c r="HX47" s="16"/>
      <c r="IA47" s="16"/>
      <c r="ID47" s="16"/>
      <c r="IG47" s="16"/>
      <c r="IJ47" s="16"/>
      <c r="IM47" s="16"/>
    </row>
    <row r="48" spans="1:247">
      <c r="A48" t="str">
        <f t="shared" ca="1" si="1"/>
        <v>3.12</v>
      </c>
      <c r="B48" s="4">
        <f t="shared" ca="1" si="2"/>
        <v>44168</v>
      </c>
      <c r="C48" s="11">
        <f t="shared" ca="1" si="0"/>
        <v>27484</v>
      </c>
      <c r="D48">
        <f t="shared" ref="D48" ca="1" si="16">C48-C47</f>
        <v>477</v>
      </c>
      <c r="E48" s="11">
        <f t="shared" ca="1" si="4"/>
        <v>0</v>
      </c>
      <c r="F48" s="11">
        <f t="shared" ca="1" si="6"/>
        <v>477</v>
      </c>
      <c r="J48" s="10">
        <f ca="1">SUM(D48:D54)</f>
        <v>3005</v>
      </c>
      <c r="K48" s="10" t="str">
        <f ca="1">TEXT(J48/J41-1,"0 %")</f>
        <v>-2 %</v>
      </c>
      <c r="M48" s="16">
        <v>44168</v>
      </c>
      <c r="N48">
        <v>27485</v>
      </c>
      <c r="O48">
        <v>477</v>
      </c>
      <c r="P48" s="16">
        <v>44168</v>
      </c>
      <c r="Q48">
        <v>27485</v>
      </c>
      <c r="R48">
        <v>477</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v>44143</v>
      </c>
      <c r="EY48">
        <v>18055</v>
      </c>
      <c r="EZ48">
        <v>133</v>
      </c>
      <c r="FA48" s="16">
        <v>44144</v>
      </c>
      <c r="FB48">
        <v>18329</v>
      </c>
      <c r="FC48">
        <v>275</v>
      </c>
      <c r="FD48" s="16">
        <v>44145</v>
      </c>
      <c r="FE48">
        <v>18482</v>
      </c>
      <c r="FF48">
        <v>205</v>
      </c>
      <c r="FG48" s="16">
        <v>44146</v>
      </c>
      <c r="FH48">
        <v>18835</v>
      </c>
      <c r="FI48">
        <v>292</v>
      </c>
      <c r="FJ48" s="16">
        <v>44147</v>
      </c>
      <c r="FK48">
        <v>19128</v>
      </c>
      <c r="FL48">
        <v>282</v>
      </c>
      <c r="FM48" s="16">
        <v>44148</v>
      </c>
      <c r="FN48">
        <v>19392</v>
      </c>
      <c r="FO48">
        <v>264</v>
      </c>
      <c r="FP48" s="16">
        <v>44149</v>
      </c>
      <c r="FQ48">
        <v>19537</v>
      </c>
      <c r="FR48">
        <v>145</v>
      </c>
      <c r="FS48" s="16">
        <v>44150</v>
      </c>
      <c r="FT48">
        <v>19738</v>
      </c>
      <c r="FU48">
        <v>181</v>
      </c>
      <c r="FV48" s="16">
        <v>44151</v>
      </c>
      <c r="FW48">
        <v>20133</v>
      </c>
      <c r="FX48">
        <v>393</v>
      </c>
      <c r="FY48" s="16">
        <v>44152</v>
      </c>
      <c r="FZ48">
        <v>20530</v>
      </c>
      <c r="GA48">
        <v>392</v>
      </c>
      <c r="GB48" s="16">
        <v>44153</v>
      </c>
      <c r="GC48">
        <v>20901</v>
      </c>
      <c r="GD48">
        <v>372</v>
      </c>
      <c r="GE48" s="16">
        <v>44154</v>
      </c>
      <c r="GF48">
        <v>21381</v>
      </c>
      <c r="GG48">
        <v>479</v>
      </c>
      <c r="GH48" s="16">
        <v>44155</v>
      </c>
      <c r="GI48">
        <v>21814</v>
      </c>
      <c r="GJ48">
        <v>432</v>
      </c>
      <c r="GK48" s="16">
        <v>44156</v>
      </c>
      <c r="GL48">
        <v>22083</v>
      </c>
      <c r="GM48">
        <v>269</v>
      </c>
      <c r="GN48" s="16">
        <v>44157</v>
      </c>
      <c r="GO48">
        <v>22346</v>
      </c>
      <c r="GP48">
        <v>263</v>
      </c>
      <c r="GQ48" s="16">
        <v>44158</v>
      </c>
      <c r="GR48">
        <v>22838</v>
      </c>
      <c r="GS48">
        <v>490</v>
      </c>
      <c r="GT48" s="16">
        <v>44159</v>
      </c>
      <c r="GU48">
        <v>23315</v>
      </c>
      <c r="GV48">
        <v>468</v>
      </c>
      <c r="GW48" s="16">
        <v>44160</v>
      </c>
      <c r="GX48">
        <v>23935</v>
      </c>
      <c r="GY48">
        <v>615</v>
      </c>
      <c r="GZ48" s="16">
        <v>44161</v>
      </c>
      <c r="HA48">
        <v>24448</v>
      </c>
      <c r="HB48">
        <v>511</v>
      </c>
      <c r="HC48" s="16">
        <v>44162</v>
      </c>
      <c r="HD48">
        <v>24907</v>
      </c>
      <c r="HE48">
        <v>460</v>
      </c>
      <c r="HF48" s="16">
        <v>44163</v>
      </c>
      <c r="HG48">
        <v>25182</v>
      </c>
      <c r="HH48">
        <v>283</v>
      </c>
      <c r="HI48" s="16">
        <v>44164</v>
      </c>
      <c r="HJ48">
        <v>25474</v>
      </c>
      <c r="HK48">
        <v>293</v>
      </c>
      <c r="HL48" s="16">
        <v>44165</v>
      </c>
      <c r="HM48">
        <v>26067</v>
      </c>
      <c r="HN48">
        <v>595</v>
      </c>
      <c r="HO48" s="16">
        <v>44166</v>
      </c>
      <c r="HP48">
        <v>26516</v>
      </c>
      <c r="HQ48">
        <v>440</v>
      </c>
      <c r="HR48" s="16">
        <v>44167</v>
      </c>
      <c r="HS48">
        <v>27006</v>
      </c>
      <c r="HT48">
        <v>493</v>
      </c>
      <c r="HU48" s="16">
        <v>44168</v>
      </c>
      <c r="HV48">
        <v>27485</v>
      </c>
      <c r="HW48">
        <v>477</v>
      </c>
      <c r="HX48" s="16"/>
      <c r="IA48" s="16"/>
      <c r="ID48" s="16"/>
      <c r="IG48" s="16"/>
      <c r="IJ48" s="16"/>
      <c r="IM48" s="16"/>
    </row>
    <row r="49" spans="1:247">
      <c r="A49" t="str">
        <f t="shared" ca="1" si="1"/>
        <v>4.12</v>
      </c>
      <c r="B49" s="4">
        <f t="shared" ca="1" si="2"/>
        <v>44169</v>
      </c>
      <c r="C49" s="11">
        <f t="shared" ca="1" si="0"/>
        <v>27956</v>
      </c>
      <c r="D49">
        <f t="shared" ref="D49" ca="1" si="17">C49-C48</f>
        <v>472</v>
      </c>
      <c r="E49" s="11">
        <f t="shared" ca="1" si="4"/>
        <v>0</v>
      </c>
      <c r="F49" s="11">
        <f t="shared" ca="1" si="6"/>
        <v>472</v>
      </c>
      <c r="K49" s="3"/>
      <c r="M49" s="16">
        <v>44169</v>
      </c>
      <c r="N49">
        <v>27957</v>
      </c>
      <c r="O49">
        <v>472</v>
      </c>
      <c r="P49" s="16">
        <v>44169</v>
      </c>
      <c r="Q49">
        <v>27957</v>
      </c>
      <c r="R49">
        <v>472</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v>44144</v>
      </c>
      <c r="EY49">
        <v>18330</v>
      </c>
      <c r="EZ49">
        <v>275</v>
      </c>
      <c r="FA49" s="16">
        <v>44145</v>
      </c>
      <c r="FB49">
        <v>18534</v>
      </c>
      <c r="FC49">
        <v>205</v>
      </c>
      <c r="FD49" s="16">
        <v>44146</v>
      </c>
      <c r="FE49">
        <v>18774</v>
      </c>
      <c r="FF49">
        <v>292</v>
      </c>
      <c r="FG49" s="16">
        <v>44147</v>
      </c>
      <c r="FH49">
        <v>19112</v>
      </c>
      <c r="FI49">
        <v>277</v>
      </c>
      <c r="FJ49" s="16">
        <v>44148</v>
      </c>
      <c r="FK49">
        <v>19392</v>
      </c>
      <c r="FL49">
        <v>264</v>
      </c>
      <c r="FM49" s="16">
        <v>44149</v>
      </c>
      <c r="FN49">
        <v>19537</v>
      </c>
      <c r="FO49">
        <v>145</v>
      </c>
      <c r="FP49" s="16">
        <v>44150</v>
      </c>
      <c r="FQ49">
        <v>19718</v>
      </c>
      <c r="FR49">
        <v>181</v>
      </c>
      <c r="FS49" s="16">
        <v>44151</v>
      </c>
      <c r="FT49">
        <v>20131</v>
      </c>
      <c r="FU49">
        <v>393</v>
      </c>
      <c r="FV49" s="16">
        <v>44152</v>
      </c>
      <c r="FW49">
        <v>20524</v>
      </c>
      <c r="FX49">
        <v>391</v>
      </c>
      <c r="FY49" s="16">
        <v>44153</v>
      </c>
      <c r="FZ49">
        <v>20902</v>
      </c>
      <c r="GA49">
        <v>372</v>
      </c>
      <c r="GB49" s="16">
        <v>44154</v>
      </c>
      <c r="GC49">
        <v>21380</v>
      </c>
      <c r="GD49">
        <v>479</v>
      </c>
      <c r="GE49" s="16">
        <v>44155</v>
      </c>
      <c r="GF49">
        <v>21812</v>
      </c>
      <c r="GG49">
        <v>431</v>
      </c>
      <c r="GH49" s="16">
        <v>44156</v>
      </c>
      <c r="GI49">
        <v>22083</v>
      </c>
      <c r="GJ49">
        <v>269</v>
      </c>
      <c r="GK49" s="16">
        <v>44157</v>
      </c>
      <c r="GL49">
        <v>22346</v>
      </c>
      <c r="GM49">
        <v>263</v>
      </c>
      <c r="GN49" s="16">
        <v>44158</v>
      </c>
      <c r="GO49">
        <v>22836</v>
      </c>
      <c r="GP49">
        <v>490</v>
      </c>
      <c r="GQ49" s="16">
        <v>44159</v>
      </c>
      <c r="GR49">
        <v>23299</v>
      </c>
      <c r="GS49">
        <v>461</v>
      </c>
      <c r="GT49" s="16">
        <v>44160</v>
      </c>
      <c r="GU49">
        <v>23930</v>
      </c>
      <c r="GV49">
        <v>615</v>
      </c>
      <c r="GW49" s="16">
        <v>44161</v>
      </c>
      <c r="GX49">
        <v>24446</v>
      </c>
      <c r="GY49">
        <v>511</v>
      </c>
      <c r="GZ49" s="16">
        <v>44162</v>
      </c>
      <c r="HA49">
        <v>24908</v>
      </c>
      <c r="HB49">
        <v>460</v>
      </c>
      <c r="HC49" s="16">
        <v>44163</v>
      </c>
      <c r="HD49">
        <v>25189</v>
      </c>
      <c r="HE49">
        <v>282</v>
      </c>
      <c r="HF49" s="16">
        <v>44164</v>
      </c>
      <c r="HG49">
        <v>25475</v>
      </c>
      <c r="HH49">
        <v>293</v>
      </c>
      <c r="HI49" s="16">
        <v>44165</v>
      </c>
      <c r="HJ49">
        <v>26069</v>
      </c>
      <c r="HK49">
        <v>595</v>
      </c>
      <c r="HL49" s="16">
        <v>44166</v>
      </c>
      <c r="HM49">
        <v>26507</v>
      </c>
      <c r="HN49">
        <v>440</v>
      </c>
      <c r="HO49" s="16">
        <v>44167</v>
      </c>
      <c r="HP49">
        <v>27009</v>
      </c>
      <c r="HQ49">
        <v>493</v>
      </c>
      <c r="HR49" s="16">
        <v>44168</v>
      </c>
      <c r="HS49">
        <v>27482</v>
      </c>
      <c r="HT49">
        <v>476</v>
      </c>
      <c r="HU49" s="16">
        <v>44169</v>
      </c>
      <c r="HV49">
        <v>27957</v>
      </c>
      <c r="HW49">
        <v>472</v>
      </c>
      <c r="HX49" s="16"/>
      <c r="IA49" s="16"/>
      <c r="ID49" s="16"/>
      <c r="IG49" s="16"/>
      <c r="IJ49" s="16"/>
      <c r="IM49" s="16"/>
    </row>
    <row r="50" spans="1:247">
      <c r="A50" t="str">
        <f t="shared" ca="1" si="1"/>
        <v>5.12</v>
      </c>
      <c r="B50" s="4">
        <f t="shared" ca="1" si="2"/>
        <v>44170</v>
      </c>
      <c r="C50" s="11">
        <f t="shared" ca="1" si="0"/>
        <v>28205</v>
      </c>
      <c r="D50">
        <f t="shared" ref="D50" ca="1" si="18">C50-C49</f>
        <v>249</v>
      </c>
      <c r="E50" s="11">
        <f t="shared" ca="1" si="4"/>
        <v>0</v>
      </c>
      <c r="F50" s="11">
        <f ca="1">VLOOKUP(B50,Previous,3,FALSE)</f>
        <v>249</v>
      </c>
      <c r="K50" s="3"/>
      <c r="M50" s="16">
        <v>44170</v>
      </c>
      <c r="N50">
        <v>28206</v>
      </c>
      <c r="O50">
        <v>249</v>
      </c>
      <c r="P50" s="16">
        <v>44170</v>
      </c>
      <c r="Q50">
        <v>28206</v>
      </c>
      <c r="R50">
        <v>249</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v>44145</v>
      </c>
      <c r="EY50">
        <v>18535</v>
      </c>
      <c r="EZ50">
        <v>205</v>
      </c>
      <c r="FA50" s="16">
        <v>44146</v>
      </c>
      <c r="FB50">
        <v>18825</v>
      </c>
      <c r="FC50">
        <v>291</v>
      </c>
      <c r="FD50" s="16">
        <v>44147</v>
      </c>
      <c r="FE50">
        <v>19051</v>
      </c>
      <c r="FF50">
        <v>277</v>
      </c>
      <c r="FG50" s="16">
        <v>44148</v>
      </c>
      <c r="FH50">
        <v>19374</v>
      </c>
      <c r="FI50">
        <v>262</v>
      </c>
      <c r="FJ50" s="16">
        <v>44149</v>
      </c>
      <c r="FK50">
        <v>19537</v>
      </c>
      <c r="FL50">
        <v>145</v>
      </c>
      <c r="FM50" s="16">
        <v>44150</v>
      </c>
      <c r="FN50">
        <v>19718</v>
      </c>
      <c r="FO50">
        <v>181</v>
      </c>
      <c r="FP50" s="16">
        <v>44151</v>
      </c>
      <c r="FQ50">
        <v>20111</v>
      </c>
      <c r="FR50">
        <v>393</v>
      </c>
      <c r="FS50" s="16">
        <v>44152</v>
      </c>
      <c r="FT50">
        <v>20522</v>
      </c>
      <c r="FU50">
        <v>391</v>
      </c>
      <c r="FV50" s="16">
        <v>44153</v>
      </c>
      <c r="FW50">
        <v>20896</v>
      </c>
      <c r="FX50">
        <v>372</v>
      </c>
      <c r="FY50" s="16">
        <v>44154</v>
      </c>
      <c r="FZ50">
        <v>21381</v>
      </c>
      <c r="GA50">
        <v>479</v>
      </c>
      <c r="GB50" s="16">
        <v>44155</v>
      </c>
      <c r="GC50">
        <v>21811</v>
      </c>
      <c r="GD50">
        <v>431</v>
      </c>
      <c r="GE50" s="16">
        <v>44156</v>
      </c>
      <c r="GF50">
        <v>22081</v>
      </c>
      <c r="GG50">
        <v>269</v>
      </c>
      <c r="GH50" s="16">
        <v>44157</v>
      </c>
      <c r="GI50">
        <v>22346</v>
      </c>
      <c r="GJ50">
        <v>263</v>
      </c>
      <c r="GK50" s="16">
        <v>44158</v>
      </c>
      <c r="GL50">
        <v>22836</v>
      </c>
      <c r="GM50">
        <v>490</v>
      </c>
      <c r="GN50" s="16">
        <v>44159</v>
      </c>
      <c r="GO50">
        <v>23296</v>
      </c>
      <c r="GP50">
        <v>460</v>
      </c>
      <c r="GQ50" s="16">
        <v>44160</v>
      </c>
      <c r="GR50">
        <v>23900</v>
      </c>
      <c r="GS50">
        <v>601</v>
      </c>
      <c r="GT50" s="16">
        <v>44161</v>
      </c>
      <c r="GU50">
        <v>24441</v>
      </c>
      <c r="GV50">
        <v>511</v>
      </c>
      <c r="GW50" s="16">
        <v>44162</v>
      </c>
      <c r="GX50">
        <v>24906</v>
      </c>
      <c r="GY50">
        <v>460</v>
      </c>
      <c r="GZ50" s="16">
        <v>44163</v>
      </c>
      <c r="HA50">
        <v>25190</v>
      </c>
      <c r="HB50">
        <v>282</v>
      </c>
      <c r="HC50" s="16">
        <v>44164</v>
      </c>
      <c r="HD50">
        <v>25482</v>
      </c>
      <c r="HE50">
        <v>293</v>
      </c>
      <c r="HF50" s="16">
        <v>44165</v>
      </c>
      <c r="HG50">
        <v>26071</v>
      </c>
      <c r="HH50">
        <v>596</v>
      </c>
      <c r="HI50" s="16">
        <v>44166</v>
      </c>
      <c r="HJ50">
        <v>26510</v>
      </c>
      <c r="HK50">
        <v>441</v>
      </c>
      <c r="HL50" s="16">
        <v>44167</v>
      </c>
      <c r="HM50">
        <v>27000</v>
      </c>
      <c r="HN50">
        <v>493</v>
      </c>
      <c r="HO50" s="16">
        <v>44168</v>
      </c>
      <c r="HP50">
        <v>27485</v>
      </c>
      <c r="HQ50">
        <v>476</v>
      </c>
      <c r="HR50" s="16">
        <v>44169</v>
      </c>
      <c r="HS50">
        <v>27954</v>
      </c>
      <c r="HT50">
        <v>472</v>
      </c>
      <c r="HU50" s="16">
        <v>44170</v>
      </c>
      <c r="HV50">
        <v>28206</v>
      </c>
      <c r="HW50">
        <v>249</v>
      </c>
      <c r="HX50" s="16"/>
      <c r="IA50" s="16"/>
      <c r="ID50" s="16"/>
      <c r="IG50" s="16"/>
      <c r="IJ50" s="16"/>
      <c r="IM50" s="16"/>
    </row>
    <row r="51" spans="1:247" s="10" customFormat="1">
      <c r="A51" t="str">
        <f t="shared" ca="1" si="1"/>
        <v>6.12</v>
      </c>
      <c r="B51" s="9">
        <f t="shared" ca="1" si="2"/>
        <v>44171</v>
      </c>
      <c r="C51" s="10">
        <f t="shared" ca="1" si="0"/>
        <v>28486</v>
      </c>
      <c r="D51" s="10">
        <f t="shared" ref="D51" ca="1" si="19">C51-C50</f>
        <v>281</v>
      </c>
      <c r="E51" s="10">
        <f t="shared" ca="1" si="4"/>
        <v>0</v>
      </c>
      <c r="F51" s="10">
        <f t="shared" ca="1" si="6"/>
        <v>281</v>
      </c>
      <c r="G51" s="10">
        <f ca="1">SUM(D51:D57)</f>
        <v>2910</v>
      </c>
      <c r="H51" s="10" t="str">
        <f ca="1">TEXT(G51/G44-1,"0 %")</f>
        <v>-4 %</v>
      </c>
      <c r="I51" s="10">
        <f ca="1">SUM(D51:D64)</f>
        <v>4957</v>
      </c>
      <c r="K51" s="14"/>
      <c r="L51"/>
      <c r="M51" s="17">
        <v>44171</v>
      </c>
      <c r="N51" s="10">
        <v>28487</v>
      </c>
      <c r="O51" s="10">
        <v>281</v>
      </c>
      <c r="P51" s="17">
        <v>44171</v>
      </c>
      <c r="Q51" s="10">
        <v>28487</v>
      </c>
      <c r="R51" s="10">
        <v>281</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v>44146</v>
      </c>
      <c r="EY51" s="10">
        <v>18826</v>
      </c>
      <c r="EZ51" s="10">
        <v>291</v>
      </c>
      <c r="FA51" s="17">
        <v>44147</v>
      </c>
      <c r="FB51" s="10">
        <v>19102</v>
      </c>
      <c r="FC51" s="10">
        <v>277</v>
      </c>
      <c r="FD51" s="17">
        <v>44148</v>
      </c>
      <c r="FE51" s="10">
        <v>19312</v>
      </c>
      <c r="FF51" s="10">
        <v>261</v>
      </c>
      <c r="FG51" s="17">
        <v>44149</v>
      </c>
      <c r="FH51" s="10">
        <v>19519</v>
      </c>
      <c r="FI51" s="10">
        <v>145</v>
      </c>
      <c r="FJ51" s="17">
        <v>44150</v>
      </c>
      <c r="FK51" s="10">
        <v>19718</v>
      </c>
      <c r="FL51" s="10">
        <v>181</v>
      </c>
      <c r="FM51" s="17">
        <v>44151</v>
      </c>
      <c r="FN51" s="10">
        <v>20111</v>
      </c>
      <c r="FO51" s="10">
        <v>393</v>
      </c>
      <c r="FP51" s="17">
        <v>44152</v>
      </c>
      <c r="FQ51" s="10">
        <v>20505</v>
      </c>
      <c r="FR51" s="10">
        <v>394</v>
      </c>
      <c r="FS51" s="17">
        <v>44153</v>
      </c>
      <c r="FT51" s="10">
        <v>20894</v>
      </c>
      <c r="FU51" s="10">
        <v>372</v>
      </c>
      <c r="FV51" s="17">
        <v>44154</v>
      </c>
      <c r="FW51" s="10">
        <v>21375</v>
      </c>
      <c r="FX51" s="10">
        <v>479</v>
      </c>
      <c r="FY51" s="17">
        <v>44155</v>
      </c>
      <c r="FZ51" s="10">
        <v>21812</v>
      </c>
      <c r="GA51" s="10">
        <v>431</v>
      </c>
      <c r="GB51" s="17">
        <v>44156</v>
      </c>
      <c r="GC51" s="10">
        <v>22080</v>
      </c>
      <c r="GD51" s="10">
        <v>269</v>
      </c>
      <c r="GE51" s="17">
        <v>44157</v>
      </c>
      <c r="GF51" s="10">
        <v>22344</v>
      </c>
      <c r="GG51" s="10">
        <v>263</v>
      </c>
      <c r="GH51" s="17">
        <v>44158</v>
      </c>
      <c r="GI51" s="10">
        <v>22836</v>
      </c>
      <c r="GJ51" s="10">
        <v>490</v>
      </c>
      <c r="GK51" s="17">
        <v>44159</v>
      </c>
      <c r="GL51" s="10">
        <v>23296</v>
      </c>
      <c r="GM51" s="10">
        <v>460</v>
      </c>
      <c r="GN51" s="17">
        <v>44160</v>
      </c>
      <c r="GO51" s="10">
        <v>23895</v>
      </c>
      <c r="GP51" s="10">
        <v>599</v>
      </c>
      <c r="GQ51" s="17">
        <v>44161</v>
      </c>
      <c r="GR51" s="10">
        <v>24409</v>
      </c>
      <c r="GS51" s="10">
        <v>509</v>
      </c>
      <c r="GT51" s="17">
        <v>44162</v>
      </c>
      <c r="GU51" s="10">
        <v>24901</v>
      </c>
      <c r="GV51" s="10">
        <v>460</v>
      </c>
      <c r="GW51" s="17">
        <v>44163</v>
      </c>
      <c r="GX51" s="10">
        <v>25188</v>
      </c>
      <c r="GY51" s="10">
        <v>282</v>
      </c>
      <c r="GZ51" s="17">
        <v>44164</v>
      </c>
      <c r="HA51" s="10">
        <v>25483</v>
      </c>
      <c r="HB51" s="10">
        <v>293</v>
      </c>
      <c r="HC51" s="17">
        <v>44165</v>
      </c>
      <c r="HD51" s="10">
        <v>26080</v>
      </c>
      <c r="HE51" s="10">
        <v>598</v>
      </c>
      <c r="HF51" s="17">
        <v>44166</v>
      </c>
      <c r="HG51" s="10">
        <v>26514</v>
      </c>
      <c r="HH51" s="10">
        <v>443</v>
      </c>
      <c r="HI51" s="17">
        <v>44167</v>
      </c>
      <c r="HJ51" s="10">
        <v>27003</v>
      </c>
      <c r="HK51" s="10">
        <v>493</v>
      </c>
      <c r="HL51" s="17">
        <v>44168</v>
      </c>
      <c r="HM51" s="10">
        <v>27475</v>
      </c>
      <c r="HN51" s="10">
        <v>475</v>
      </c>
      <c r="HO51" s="17">
        <v>44169</v>
      </c>
      <c r="HP51" s="10">
        <v>27957</v>
      </c>
      <c r="HQ51" s="10">
        <v>472</v>
      </c>
      <c r="HR51" s="17">
        <v>44170</v>
      </c>
      <c r="HS51" s="10">
        <v>28203</v>
      </c>
      <c r="HT51" s="10">
        <v>249</v>
      </c>
      <c r="HU51" s="17">
        <v>44171</v>
      </c>
      <c r="HV51" s="10">
        <v>28487</v>
      </c>
      <c r="HW51" s="10">
        <v>281</v>
      </c>
      <c r="HX51" s="17"/>
      <c r="IA51" s="17"/>
      <c r="ID51" s="17"/>
      <c r="IG51" s="17"/>
      <c r="IJ51" s="17"/>
      <c r="IM51" s="17"/>
    </row>
    <row r="52" spans="1:247">
      <c r="A52" t="str">
        <f t="shared" ca="1" si="1"/>
        <v>Ma 7</v>
      </c>
      <c r="B52" s="4">
        <f t="shared" ca="1" si="2"/>
        <v>44172</v>
      </c>
      <c r="C52" s="11">
        <f t="shared" ca="1" si="0"/>
        <v>29073</v>
      </c>
      <c r="D52">
        <f t="shared" ref="D52:D63" ca="1" si="20">C52-C51</f>
        <v>587</v>
      </c>
      <c r="E52" s="11">
        <f t="shared" ca="1" si="4"/>
        <v>-1</v>
      </c>
      <c r="F52" s="11">
        <f t="shared" ca="1" si="6"/>
        <v>588</v>
      </c>
      <c r="G52" s="10"/>
      <c r="K52" s="3"/>
      <c r="M52" s="16">
        <v>44172</v>
      </c>
      <c r="N52">
        <v>29075</v>
      </c>
      <c r="O52">
        <v>588</v>
      </c>
      <c r="P52" s="16">
        <v>44172</v>
      </c>
      <c r="Q52">
        <v>29075</v>
      </c>
      <c r="R52">
        <v>588</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v>44147</v>
      </c>
      <c r="EY52">
        <v>19103</v>
      </c>
      <c r="EZ52">
        <v>277</v>
      </c>
      <c r="FA52" s="16">
        <v>44148</v>
      </c>
      <c r="FB52">
        <v>19364</v>
      </c>
      <c r="FC52">
        <v>262</v>
      </c>
      <c r="FD52" s="16">
        <v>44149</v>
      </c>
      <c r="FE52">
        <v>19456</v>
      </c>
      <c r="FF52">
        <v>144</v>
      </c>
      <c r="FG52" s="16">
        <v>44150</v>
      </c>
      <c r="FH52">
        <v>19700</v>
      </c>
      <c r="FI52">
        <v>181</v>
      </c>
      <c r="FJ52" s="16">
        <v>44151</v>
      </c>
      <c r="FK52">
        <v>20111</v>
      </c>
      <c r="FL52">
        <v>393</v>
      </c>
      <c r="FM52" s="16">
        <v>44152</v>
      </c>
      <c r="FN52">
        <v>20505</v>
      </c>
      <c r="FO52">
        <v>394</v>
      </c>
      <c r="FP52" s="16">
        <v>44153</v>
      </c>
      <c r="FQ52">
        <v>20877</v>
      </c>
      <c r="FR52">
        <v>372</v>
      </c>
      <c r="FS52" s="16">
        <v>44154</v>
      </c>
      <c r="FT52">
        <v>21373</v>
      </c>
      <c r="FU52">
        <v>479</v>
      </c>
      <c r="FV52" s="16">
        <v>44155</v>
      </c>
      <c r="FW52">
        <v>21806</v>
      </c>
      <c r="FX52">
        <v>431</v>
      </c>
      <c r="FY52" s="16">
        <v>44156</v>
      </c>
      <c r="FZ52">
        <v>22081</v>
      </c>
      <c r="GA52">
        <v>269</v>
      </c>
      <c r="GB52" s="16">
        <v>44157</v>
      </c>
      <c r="GC52">
        <v>22342</v>
      </c>
      <c r="GD52">
        <v>262</v>
      </c>
      <c r="GE52" s="16">
        <v>44158</v>
      </c>
      <c r="GF52">
        <v>22834</v>
      </c>
      <c r="GG52">
        <v>490</v>
      </c>
      <c r="GH52" s="16">
        <v>44159</v>
      </c>
      <c r="GI52">
        <v>23296</v>
      </c>
      <c r="GJ52">
        <v>460</v>
      </c>
      <c r="GK52" s="16">
        <v>44160</v>
      </c>
      <c r="GL52">
        <v>23895</v>
      </c>
      <c r="GM52">
        <v>599</v>
      </c>
      <c r="GN52" s="16">
        <v>44161</v>
      </c>
      <c r="GO52">
        <v>24404</v>
      </c>
      <c r="GP52">
        <v>509</v>
      </c>
      <c r="GQ52" s="16">
        <v>44162</v>
      </c>
      <c r="GR52">
        <v>24874</v>
      </c>
      <c r="GS52">
        <v>465</v>
      </c>
      <c r="GT52" s="16">
        <v>44163</v>
      </c>
      <c r="GU52">
        <v>25183</v>
      </c>
      <c r="GV52">
        <v>282</v>
      </c>
      <c r="GW52" s="16">
        <v>44164</v>
      </c>
      <c r="GX52">
        <v>25481</v>
      </c>
      <c r="GY52">
        <v>293</v>
      </c>
      <c r="GZ52" s="16">
        <v>44165</v>
      </c>
      <c r="HA52">
        <v>26080</v>
      </c>
      <c r="HB52">
        <v>597</v>
      </c>
      <c r="HC52" s="16">
        <v>44166</v>
      </c>
      <c r="HD52">
        <v>26523</v>
      </c>
      <c r="HE52">
        <v>443</v>
      </c>
      <c r="HF52" s="16">
        <v>44167</v>
      </c>
      <c r="HG52">
        <v>27007</v>
      </c>
      <c r="HH52">
        <v>493</v>
      </c>
      <c r="HI52" s="16">
        <v>44168</v>
      </c>
      <c r="HJ52">
        <v>27478</v>
      </c>
      <c r="HK52">
        <v>475</v>
      </c>
      <c r="HL52" s="16">
        <v>44169</v>
      </c>
      <c r="HM52">
        <v>27947</v>
      </c>
      <c r="HN52">
        <v>472</v>
      </c>
      <c r="HO52" s="16">
        <v>44170</v>
      </c>
      <c r="HP52">
        <v>28206</v>
      </c>
      <c r="HQ52">
        <v>249</v>
      </c>
      <c r="HR52" s="16">
        <v>44171</v>
      </c>
      <c r="HS52">
        <v>28484</v>
      </c>
      <c r="HT52">
        <v>281</v>
      </c>
      <c r="HU52" s="16">
        <v>44172</v>
      </c>
      <c r="HV52">
        <v>29075</v>
      </c>
      <c r="HW52">
        <v>588</v>
      </c>
      <c r="HX52" s="16"/>
      <c r="IA52" s="16"/>
      <c r="ID52" s="16"/>
      <c r="IG52" s="16"/>
      <c r="IJ52" s="16"/>
      <c r="IM52" s="16"/>
    </row>
    <row r="53" spans="1:247">
      <c r="A53" t="str">
        <f t="shared" ca="1" si="1"/>
        <v>8.12</v>
      </c>
      <c r="B53" s="4">
        <f t="shared" ca="1" si="2"/>
        <v>44173</v>
      </c>
      <c r="C53" s="11">
        <f t="shared" ca="1" si="0"/>
        <v>29550</v>
      </c>
      <c r="D53">
        <f t="shared" ca="1" si="20"/>
        <v>477</v>
      </c>
      <c r="E53" s="11">
        <f t="shared" ca="1" si="4"/>
        <v>0</v>
      </c>
      <c r="F53" s="11">
        <f t="shared" ca="1" si="6"/>
        <v>477</v>
      </c>
      <c r="J53" s="13"/>
      <c r="K53" s="3"/>
      <c r="M53" s="16">
        <v>44173</v>
      </c>
      <c r="N53">
        <v>29552</v>
      </c>
      <c r="O53">
        <v>477</v>
      </c>
      <c r="P53" s="16">
        <v>44173</v>
      </c>
      <c r="Q53">
        <v>29552</v>
      </c>
      <c r="R53">
        <v>477</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v>44148</v>
      </c>
      <c r="EY53">
        <v>19365</v>
      </c>
      <c r="EZ53">
        <v>262</v>
      </c>
      <c r="FA53" s="16">
        <v>44149</v>
      </c>
      <c r="FB53">
        <v>19508</v>
      </c>
      <c r="FC53">
        <v>144</v>
      </c>
      <c r="FD53" s="16">
        <v>44150</v>
      </c>
      <c r="FE53">
        <v>19634</v>
      </c>
      <c r="FF53">
        <v>178</v>
      </c>
      <c r="FG53" s="16">
        <v>44151</v>
      </c>
      <c r="FH53">
        <v>20093</v>
      </c>
      <c r="FI53">
        <v>393</v>
      </c>
      <c r="FJ53" s="16">
        <v>44152</v>
      </c>
      <c r="FK53">
        <v>20505</v>
      </c>
      <c r="FL53">
        <v>394</v>
      </c>
      <c r="FM53" s="16">
        <v>44153</v>
      </c>
      <c r="FN53">
        <v>20877</v>
      </c>
      <c r="FO53">
        <v>372</v>
      </c>
      <c r="FP53" s="16">
        <v>44154</v>
      </c>
      <c r="FQ53">
        <v>21356</v>
      </c>
      <c r="FR53">
        <v>479</v>
      </c>
      <c r="FS53" s="16">
        <v>44155</v>
      </c>
      <c r="FT53">
        <v>21803</v>
      </c>
      <c r="FU53">
        <v>430</v>
      </c>
      <c r="FV53" s="16">
        <v>44156</v>
      </c>
      <c r="FW53">
        <v>22075</v>
      </c>
      <c r="FX53">
        <v>269</v>
      </c>
      <c r="FY53" s="16">
        <v>44157</v>
      </c>
      <c r="FZ53">
        <v>22343</v>
      </c>
      <c r="GA53">
        <v>262</v>
      </c>
      <c r="GB53" s="16">
        <v>44158</v>
      </c>
      <c r="GC53">
        <v>22832</v>
      </c>
      <c r="GD53">
        <v>490</v>
      </c>
      <c r="GE53" s="16">
        <v>44159</v>
      </c>
      <c r="GF53">
        <v>23294</v>
      </c>
      <c r="GG53">
        <v>460</v>
      </c>
      <c r="GH53" s="16">
        <v>44160</v>
      </c>
      <c r="GI53">
        <v>23895</v>
      </c>
      <c r="GJ53">
        <v>599</v>
      </c>
      <c r="GK53" s="16">
        <v>44161</v>
      </c>
      <c r="GL53">
        <v>24403</v>
      </c>
      <c r="GM53">
        <v>508</v>
      </c>
      <c r="GN53" s="16">
        <v>44162</v>
      </c>
      <c r="GO53">
        <v>24869</v>
      </c>
      <c r="GP53">
        <v>465</v>
      </c>
      <c r="GQ53" s="16">
        <v>44163</v>
      </c>
      <c r="GR53">
        <v>25166</v>
      </c>
      <c r="GS53">
        <v>292</v>
      </c>
      <c r="GT53" s="16">
        <v>44164</v>
      </c>
      <c r="GU53">
        <v>25476</v>
      </c>
      <c r="GV53">
        <v>293</v>
      </c>
      <c r="GW53" s="16">
        <v>44165</v>
      </c>
      <c r="GX53">
        <v>26077</v>
      </c>
      <c r="GY53">
        <v>596</v>
      </c>
      <c r="GZ53" s="16">
        <v>44166</v>
      </c>
      <c r="HA53">
        <v>26523</v>
      </c>
      <c r="HB53">
        <v>443</v>
      </c>
      <c r="HC53" s="16">
        <v>44167</v>
      </c>
      <c r="HD53">
        <v>27018</v>
      </c>
      <c r="HE53">
        <v>495</v>
      </c>
      <c r="HF53" s="16">
        <v>44168</v>
      </c>
      <c r="HG53">
        <v>27481</v>
      </c>
      <c r="HH53">
        <v>474</v>
      </c>
      <c r="HI53" s="16">
        <v>44169</v>
      </c>
      <c r="HJ53">
        <v>27951</v>
      </c>
      <c r="HK53">
        <v>473</v>
      </c>
      <c r="HL53" s="16">
        <v>44170</v>
      </c>
      <c r="HM53">
        <v>28198</v>
      </c>
      <c r="HN53">
        <v>251</v>
      </c>
      <c r="HO53" s="16">
        <v>44171</v>
      </c>
      <c r="HP53">
        <v>28487</v>
      </c>
      <c r="HQ53">
        <v>281</v>
      </c>
      <c r="HR53" s="16">
        <v>44172</v>
      </c>
      <c r="HS53">
        <v>29073</v>
      </c>
      <c r="HT53">
        <v>589</v>
      </c>
      <c r="HU53" s="16">
        <v>44173</v>
      </c>
      <c r="HV53">
        <v>29552</v>
      </c>
      <c r="HW53">
        <v>477</v>
      </c>
      <c r="HX53" s="16"/>
      <c r="IA53" s="16"/>
      <c r="ID53" s="16"/>
      <c r="IG53" s="16"/>
      <c r="IJ53" s="16"/>
      <c r="IM53" s="16"/>
    </row>
    <row r="54" spans="1:247">
      <c r="A54" t="str">
        <f t="shared" ca="1" si="1"/>
        <v>9.12</v>
      </c>
      <c r="B54" s="4">
        <f t="shared" ca="1" si="2"/>
        <v>44174</v>
      </c>
      <c r="C54" s="11">
        <f t="shared" ca="1" si="0"/>
        <v>30012</v>
      </c>
      <c r="D54">
        <f t="shared" ca="1" si="20"/>
        <v>462</v>
      </c>
      <c r="E54" s="11">
        <f t="shared" ca="1" si="4"/>
        <v>0</v>
      </c>
      <c r="F54" s="11">
        <f t="shared" ca="1" si="6"/>
        <v>462</v>
      </c>
      <c r="M54" s="16">
        <v>44174</v>
      </c>
      <c r="N54">
        <v>30014</v>
      </c>
      <c r="O54">
        <v>462</v>
      </c>
      <c r="P54" s="16">
        <v>44174</v>
      </c>
      <c r="Q54">
        <v>30014</v>
      </c>
      <c r="R54">
        <v>462</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v>44149</v>
      </c>
      <c r="EY54">
        <v>19508</v>
      </c>
      <c r="EZ54">
        <v>143</v>
      </c>
      <c r="FA54" s="16">
        <v>44150</v>
      </c>
      <c r="FB54">
        <v>19689</v>
      </c>
      <c r="FC54">
        <v>181</v>
      </c>
      <c r="FD54" s="16">
        <v>44151</v>
      </c>
      <c r="FE54">
        <v>20022</v>
      </c>
      <c r="FF54">
        <v>388</v>
      </c>
      <c r="FG54" s="16">
        <v>44152</v>
      </c>
      <c r="FH54">
        <v>20487</v>
      </c>
      <c r="FI54">
        <v>394</v>
      </c>
      <c r="FJ54" s="16">
        <v>44153</v>
      </c>
      <c r="FK54">
        <v>20877</v>
      </c>
      <c r="FL54">
        <v>372</v>
      </c>
      <c r="FM54" s="16">
        <v>44154</v>
      </c>
      <c r="FN54">
        <v>21356</v>
      </c>
      <c r="FO54">
        <v>479</v>
      </c>
      <c r="FP54" s="16">
        <v>44155</v>
      </c>
      <c r="FQ54">
        <v>21784</v>
      </c>
      <c r="FR54">
        <v>428</v>
      </c>
      <c r="FS54" s="16">
        <v>44156</v>
      </c>
      <c r="FT54">
        <v>22072</v>
      </c>
      <c r="FU54">
        <v>269</v>
      </c>
      <c r="FV54" s="16">
        <v>44157</v>
      </c>
      <c r="FW54">
        <v>22337</v>
      </c>
      <c r="FX54">
        <v>262</v>
      </c>
      <c r="FY54" s="16">
        <v>44158</v>
      </c>
      <c r="FZ54">
        <v>22833</v>
      </c>
      <c r="GA54">
        <v>490</v>
      </c>
      <c r="GB54" s="16">
        <v>44159</v>
      </c>
      <c r="GC54">
        <v>23292</v>
      </c>
      <c r="GD54">
        <v>460</v>
      </c>
      <c r="GE54" s="16">
        <v>44160</v>
      </c>
      <c r="GF54">
        <v>23893</v>
      </c>
      <c r="GG54">
        <v>599</v>
      </c>
      <c r="GH54" s="16">
        <v>44161</v>
      </c>
      <c r="GI54">
        <v>24403</v>
      </c>
      <c r="GJ54">
        <v>508</v>
      </c>
      <c r="GK54" s="16">
        <v>44162</v>
      </c>
      <c r="GL54">
        <v>24865</v>
      </c>
      <c r="GM54">
        <v>462</v>
      </c>
      <c r="GN54" s="16">
        <v>44163</v>
      </c>
      <c r="GO54">
        <v>25162</v>
      </c>
      <c r="GP54">
        <v>293</v>
      </c>
      <c r="GQ54" s="16">
        <v>44164</v>
      </c>
      <c r="GR54">
        <v>25450</v>
      </c>
      <c r="GS54">
        <v>284</v>
      </c>
      <c r="GT54" s="16">
        <v>44165</v>
      </c>
      <c r="GU54">
        <v>26069</v>
      </c>
      <c r="GV54">
        <v>593</v>
      </c>
      <c r="GW54" s="16">
        <v>44166</v>
      </c>
      <c r="GX54">
        <v>26520</v>
      </c>
      <c r="GY54">
        <v>443</v>
      </c>
      <c r="GZ54" s="16">
        <v>44167</v>
      </c>
      <c r="HA54">
        <v>27018</v>
      </c>
      <c r="HB54">
        <v>495</v>
      </c>
      <c r="HC54" s="16">
        <v>44168</v>
      </c>
      <c r="HD54">
        <v>27492</v>
      </c>
      <c r="HE54">
        <v>474</v>
      </c>
      <c r="HF54" s="16">
        <v>44169</v>
      </c>
      <c r="HG54">
        <v>27955</v>
      </c>
      <c r="HH54">
        <v>474</v>
      </c>
      <c r="HI54" s="16">
        <v>44170</v>
      </c>
      <c r="HJ54">
        <v>28203</v>
      </c>
      <c r="HK54">
        <v>252</v>
      </c>
      <c r="HL54" s="16">
        <v>44171</v>
      </c>
      <c r="HM54">
        <v>28478</v>
      </c>
      <c r="HN54">
        <v>280</v>
      </c>
      <c r="HO54" s="16">
        <v>44172</v>
      </c>
      <c r="HP54">
        <v>29077</v>
      </c>
      <c r="HQ54">
        <v>590</v>
      </c>
      <c r="HR54" s="16">
        <v>44173</v>
      </c>
      <c r="HS54">
        <v>29549</v>
      </c>
      <c r="HT54">
        <v>476</v>
      </c>
      <c r="HU54" s="16">
        <v>44174</v>
      </c>
      <c r="HV54">
        <v>30014</v>
      </c>
      <c r="HW54">
        <v>462</v>
      </c>
      <c r="HX54" s="16"/>
      <c r="IA54" s="16"/>
      <c r="ID54" s="16"/>
      <c r="IG54" s="16"/>
      <c r="IJ54" s="16"/>
      <c r="IM54" s="16"/>
    </row>
    <row r="55" spans="1:247">
      <c r="A55" t="str">
        <f t="shared" ca="1" si="1"/>
        <v>10.12</v>
      </c>
      <c r="B55" s="4">
        <f t="shared" ca="1" si="2"/>
        <v>44175</v>
      </c>
      <c r="C55" s="11">
        <f t="shared" ca="1" si="0"/>
        <v>30420</v>
      </c>
      <c r="D55">
        <f t="shared" ca="1" si="20"/>
        <v>408</v>
      </c>
      <c r="E55" s="11">
        <f t="shared" ca="1" si="4"/>
        <v>0</v>
      </c>
      <c r="F55" s="11">
        <f t="shared" ca="1" si="6"/>
        <v>408</v>
      </c>
      <c r="I55" s="10"/>
      <c r="J55" s="10">
        <f ca="1">SUM(D55:D61)</f>
        <v>2526</v>
      </c>
      <c r="K55" s="10" t="str">
        <f ca="1">TEXT(J55/J48-1,"0 %")</f>
        <v>-16 %</v>
      </c>
      <c r="M55" s="16">
        <v>44175</v>
      </c>
      <c r="N55">
        <v>30422</v>
      </c>
      <c r="O55">
        <v>408</v>
      </c>
      <c r="P55" s="16">
        <v>44175</v>
      </c>
      <c r="Q55">
        <v>30422</v>
      </c>
      <c r="R55">
        <v>408</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v>44150</v>
      </c>
      <c r="EY55">
        <v>19689</v>
      </c>
      <c r="EZ55">
        <v>181</v>
      </c>
      <c r="FA55" s="16">
        <v>44151</v>
      </c>
      <c r="FB55">
        <v>20084</v>
      </c>
      <c r="FC55">
        <v>395</v>
      </c>
      <c r="FD55" s="16">
        <v>44152</v>
      </c>
      <c r="FE55">
        <v>20415</v>
      </c>
      <c r="FF55">
        <v>393</v>
      </c>
      <c r="FG55" s="16">
        <v>44153</v>
      </c>
      <c r="FH55">
        <v>20858</v>
      </c>
      <c r="FI55">
        <v>371</v>
      </c>
      <c r="FJ55" s="16">
        <v>44154</v>
      </c>
      <c r="FK55">
        <v>21355</v>
      </c>
      <c r="FL55">
        <v>478</v>
      </c>
      <c r="FM55" s="16">
        <v>44155</v>
      </c>
      <c r="FN55">
        <v>21784</v>
      </c>
      <c r="FO55">
        <v>428</v>
      </c>
      <c r="FP55" s="16">
        <v>44156</v>
      </c>
      <c r="FQ55">
        <v>22054</v>
      </c>
      <c r="FR55">
        <v>270</v>
      </c>
      <c r="FS55" s="16">
        <v>44157</v>
      </c>
      <c r="FT55">
        <v>22334</v>
      </c>
      <c r="FU55">
        <v>262</v>
      </c>
      <c r="FV55" s="16">
        <v>44158</v>
      </c>
      <c r="FW55">
        <v>22828</v>
      </c>
      <c r="FX55">
        <v>491</v>
      </c>
      <c r="FY55" s="16">
        <v>44159</v>
      </c>
      <c r="FZ55">
        <v>23294</v>
      </c>
      <c r="GA55">
        <v>461</v>
      </c>
      <c r="GB55" s="16">
        <v>44160</v>
      </c>
      <c r="GC55">
        <v>23890</v>
      </c>
      <c r="GD55">
        <v>598</v>
      </c>
      <c r="GE55" s="16">
        <v>44161</v>
      </c>
      <c r="GF55">
        <v>24401</v>
      </c>
      <c r="GG55">
        <v>508</v>
      </c>
      <c r="GH55" s="16">
        <v>44162</v>
      </c>
      <c r="GI55">
        <v>24864</v>
      </c>
      <c r="GJ55">
        <v>461</v>
      </c>
      <c r="GK55" s="16">
        <v>44163</v>
      </c>
      <c r="GL55">
        <v>25156</v>
      </c>
      <c r="GM55">
        <v>291</v>
      </c>
      <c r="GN55" s="16">
        <v>44164</v>
      </c>
      <c r="GO55">
        <v>25443</v>
      </c>
      <c r="GP55">
        <v>281</v>
      </c>
      <c r="GQ55" s="16">
        <v>44165</v>
      </c>
      <c r="GR55">
        <v>26003</v>
      </c>
      <c r="GS55">
        <v>553</v>
      </c>
      <c r="GT55" s="16">
        <v>44166</v>
      </c>
      <c r="GU55">
        <v>26511</v>
      </c>
      <c r="GV55">
        <v>442</v>
      </c>
      <c r="GW55" s="16">
        <v>44167</v>
      </c>
      <c r="GX55">
        <v>27015</v>
      </c>
      <c r="GY55">
        <v>495</v>
      </c>
      <c r="GZ55" s="16">
        <v>44168</v>
      </c>
      <c r="HA55">
        <v>27492</v>
      </c>
      <c r="HB55">
        <v>474</v>
      </c>
      <c r="HC55" s="16">
        <v>44169</v>
      </c>
      <c r="HD55">
        <v>27968</v>
      </c>
      <c r="HE55">
        <v>476</v>
      </c>
      <c r="HF55" s="16">
        <v>44170</v>
      </c>
      <c r="HG55">
        <v>28207</v>
      </c>
      <c r="HH55">
        <v>252</v>
      </c>
      <c r="HI55" s="16">
        <v>44171</v>
      </c>
      <c r="HJ55">
        <v>28484</v>
      </c>
      <c r="HK55">
        <v>281</v>
      </c>
      <c r="HL55" s="16">
        <v>44172</v>
      </c>
      <c r="HM55">
        <v>29069</v>
      </c>
      <c r="HN55">
        <v>591</v>
      </c>
      <c r="HO55" s="16">
        <v>44173</v>
      </c>
      <c r="HP55">
        <v>29555</v>
      </c>
      <c r="HQ55">
        <v>478</v>
      </c>
      <c r="HR55" s="16">
        <v>44174</v>
      </c>
      <c r="HS55">
        <v>30011</v>
      </c>
      <c r="HT55">
        <v>462</v>
      </c>
      <c r="HU55" s="16">
        <v>44175</v>
      </c>
      <c r="HV55">
        <v>30422</v>
      </c>
      <c r="HW55">
        <v>408</v>
      </c>
      <c r="HX55" s="16"/>
      <c r="IA55" s="16"/>
      <c r="ID55" s="16"/>
      <c r="IG55" s="16"/>
      <c r="IJ55" s="16"/>
      <c r="IM55" s="16"/>
    </row>
    <row r="56" spans="1:247">
      <c r="A56" t="str">
        <f t="shared" ca="1" si="1"/>
        <v>11.12</v>
      </c>
      <c r="B56" s="4">
        <f t="shared" ca="1" si="2"/>
        <v>44176</v>
      </c>
      <c r="C56" s="11">
        <f t="shared" ca="1" si="0"/>
        <v>30865</v>
      </c>
      <c r="D56">
        <f t="shared" ca="1" si="20"/>
        <v>445</v>
      </c>
      <c r="E56" s="11">
        <f t="shared" ca="1" si="4"/>
        <v>0</v>
      </c>
      <c r="F56" s="11">
        <f t="shared" ca="1" si="6"/>
        <v>445</v>
      </c>
      <c r="K56" s="3"/>
      <c r="M56" s="16">
        <v>44176</v>
      </c>
      <c r="N56">
        <v>30867</v>
      </c>
      <c r="O56">
        <v>445</v>
      </c>
      <c r="P56" s="16">
        <v>44176</v>
      </c>
      <c r="Q56">
        <v>30867</v>
      </c>
      <c r="R56">
        <v>445</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v>44151</v>
      </c>
      <c r="EY56">
        <v>20082</v>
      </c>
      <c r="EZ56">
        <v>393</v>
      </c>
      <c r="FA56" s="16">
        <v>44152</v>
      </c>
      <c r="FB56">
        <v>20478</v>
      </c>
      <c r="FC56">
        <v>394</v>
      </c>
      <c r="FD56" s="16">
        <v>44153</v>
      </c>
      <c r="FE56">
        <v>20784</v>
      </c>
      <c r="FF56">
        <v>369</v>
      </c>
      <c r="FG56" s="16">
        <v>44154</v>
      </c>
      <c r="FH56">
        <v>21336</v>
      </c>
      <c r="FI56">
        <v>478</v>
      </c>
      <c r="FJ56" s="16">
        <v>44155</v>
      </c>
      <c r="FK56">
        <v>21782</v>
      </c>
      <c r="FL56">
        <v>427</v>
      </c>
      <c r="FM56" s="16">
        <v>44156</v>
      </c>
      <c r="FN56">
        <v>22054</v>
      </c>
      <c r="FO56">
        <v>270</v>
      </c>
      <c r="FP56" s="16">
        <v>44157</v>
      </c>
      <c r="FQ56">
        <v>22318</v>
      </c>
      <c r="FR56">
        <v>264</v>
      </c>
      <c r="FS56" s="16">
        <v>44158</v>
      </c>
      <c r="FT56">
        <v>22824</v>
      </c>
      <c r="FU56">
        <v>490</v>
      </c>
      <c r="FV56" s="16">
        <v>44159</v>
      </c>
      <c r="FW56">
        <v>23290</v>
      </c>
      <c r="FX56">
        <v>462</v>
      </c>
      <c r="FY56" s="16">
        <v>44160</v>
      </c>
      <c r="FZ56">
        <v>23894</v>
      </c>
      <c r="GA56">
        <v>600</v>
      </c>
      <c r="GB56" s="16">
        <v>44161</v>
      </c>
      <c r="GC56">
        <v>24398</v>
      </c>
      <c r="GD56">
        <v>508</v>
      </c>
      <c r="GE56" s="16">
        <v>44162</v>
      </c>
      <c r="GF56">
        <v>24862</v>
      </c>
      <c r="GG56">
        <v>461</v>
      </c>
      <c r="GH56" s="16">
        <v>44163</v>
      </c>
      <c r="GI56">
        <v>25154</v>
      </c>
      <c r="GJ56">
        <v>290</v>
      </c>
      <c r="GK56" s="16">
        <v>44164</v>
      </c>
      <c r="GL56">
        <v>25436</v>
      </c>
      <c r="GM56">
        <v>280</v>
      </c>
      <c r="GN56" s="16">
        <v>44165</v>
      </c>
      <c r="GO56">
        <v>25994</v>
      </c>
      <c r="GP56">
        <v>551</v>
      </c>
      <c r="GQ56" s="16">
        <v>44166</v>
      </c>
      <c r="GR56">
        <v>26397</v>
      </c>
      <c r="GS56">
        <v>394</v>
      </c>
      <c r="GT56" s="16">
        <v>44167</v>
      </c>
      <c r="GU56">
        <v>27006</v>
      </c>
      <c r="GV56">
        <v>495</v>
      </c>
      <c r="GW56" s="16">
        <v>44168</v>
      </c>
      <c r="GX56">
        <v>27489</v>
      </c>
      <c r="GY56">
        <v>474</v>
      </c>
      <c r="GZ56" s="16">
        <v>44169</v>
      </c>
      <c r="HA56">
        <v>27967</v>
      </c>
      <c r="HB56">
        <v>475</v>
      </c>
      <c r="HC56" s="16">
        <v>44170</v>
      </c>
      <c r="HD56">
        <v>28222</v>
      </c>
      <c r="HE56">
        <v>254</v>
      </c>
      <c r="HF56" s="16">
        <v>44171</v>
      </c>
      <c r="HG56">
        <v>28487</v>
      </c>
      <c r="HH56">
        <v>280</v>
      </c>
      <c r="HI56" s="16">
        <v>44172</v>
      </c>
      <c r="HJ56">
        <v>29072</v>
      </c>
      <c r="HK56">
        <v>588</v>
      </c>
      <c r="HL56" s="16">
        <v>44173</v>
      </c>
      <c r="HM56">
        <v>29546</v>
      </c>
      <c r="HN56">
        <v>477</v>
      </c>
      <c r="HO56" s="16">
        <v>44174</v>
      </c>
      <c r="HP56">
        <v>30017</v>
      </c>
      <c r="HQ56">
        <v>462</v>
      </c>
      <c r="HR56" s="16">
        <v>44175</v>
      </c>
      <c r="HS56">
        <v>30419</v>
      </c>
      <c r="HT56">
        <v>408</v>
      </c>
      <c r="HU56" s="16">
        <v>44176</v>
      </c>
      <c r="HV56">
        <v>30867</v>
      </c>
      <c r="HW56">
        <v>445</v>
      </c>
      <c r="HX56" s="16"/>
      <c r="IA56" s="16"/>
      <c r="ID56" s="16"/>
      <c r="IG56" s="16"/>
      <c r="IJ56" s="16"/>
      <c r="IM56" s="16"/>
    </row>
    <row r="57" spans="1:247">
      <c r="A57" t="str">
        <f t="shared" ca="1" si="1"/>
        <v>12.12</v>
      </c>
      <c r="B57" s="4">
        <f t="shared" ca="1" si="2"/>
        <v>44177</v>
      </c>
      <c r="C57" s="11">
        <f t="shared" ca="1" si="0"/>
        <v>31115</v>
      </c>
      <c r="D57">
        <f t="shared" ca="1" si="20"/>
        <v>250</v>
      </c>
      <c r="E57" s="11">
        <f t="shared" ca="1" si="4"/>
        <v>0</v>
      </c>
      <c r="F57" s="11">
        <f t="shared" ca="1" si="6"/>
        <v>250</v>
      </c>
      <c r="J57" s="13"/>
      <c r="K57" s="3"/>
      <c r="M57" s="16">
        <v>44177</v>
      </c>
      <c r="N57">
        <v>31117</v>
      </c>
      <c r="O57">
        <v>250</v>
      </c>
      <c r="P57" s="16">
        <v>44177</v>
      </c>
      <c r="Q57">
        <v>31117</v>
      </c>
      <c r="R57">
        <v>250</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v>44152</v>
      </c>
      <c r="EY57">
        <v>20475</v>
      </c>
      <c r="EZ57">
        <v>393</v>
      </c>
      <c r="FA57" s="16">
        <v>44153</v>
      </c>
      <c r="FB57">
        <v>20850</v>
      </c>
      <c r="FC57">
        <v>372</v>
      </c>
      <c r="FD57" s="16">
        <v>44154</v>
      </c>
      <c r="FE57">
        <v>21263</v>
      </c>
      <c r="FF57">
        <v>479</v>
      </c>
      <c r="FG57" s="16">
        <v>44155</v>
      </c>
      <c r="FH57">
        <v>21761</v>
      </c>
      <c r="FI57">
        <v>425</v>
      </c>
      <c r="FJ57" s="16">
        <v>44156</v>
      </c>
      <c r="FK57">
        <v>22052</v>
      </c>
      <c r="FL57">
        <v>270</v>
      </c>
      <c r="FM57" s="16">
        <v>44157</v>
      </c>
      <c r="FN57">
        <v>22320</v>
      </c>
      <c r="FO57">
        <v>266</v>
      </c>
      <c r="FP57" s="16">
        <v>44158</v>
      </c>
      <c r="FQ57">
        <v>22798</v>
      </c>
      <c r="FR57">
        <v>480</v>
      </c>
      <c r="FS57" s="16">
        <v>44159</v>
      </c>
      <c r="FT57">
        <v>23285</v>
      </c>
      <c r="FU57">
        <v>461</v>
      </c>
      <c r="FV57" s="16">
        <v>44160</v>
      </c>
      <c r="FW57">
        <v>23890</v>
      </c>
      <c r="FX57">
        <v>600</v>
      </c>
      <c r="FY57" s="16">
        <v>44161</v>
      </c>
      <c r="FZ57">
        <v>24401</v>
      </c>
      <c r="GA57">
        <v>507</v>
      </c>
      <c r="GB57" s="16">
        <v>44162</v>
      </c>
      <c r="GC57">
        <v>24858</v>
      </c>
      <c r="GD57">
        <v>460</v>
      </c>
      <c r="GE57" s="16">
        <v>44163</v>
      </c>
      <c r="GF57">
        <v>25152</v>
      </c>
      <c r="GG57">
        <v>290</v>
      </c>
      <c r="GH57" s="16">
        <v>44164</v>
      </c>
      <c r="GI57">
        <v>25434</v>
      </c>
      <c r="GJ57">
        <v>280</v>
      </c>
      <c r="GK57" s="16">
        <v>44165</v>
      </c>
      <c r="GL57">
        <v>25982</v>
      </c>
      <c r="GM57">
        <v>546</v>
      </c>
      <c r="GN57" s="16">
        <v>44166</v>
      </c>
      <c r="GO57">
        <v>26384</v>
      </c>
      <c r="GP57">
        <v>390</v>
      </c>
      <c r="GQ57" s="16">
        <v>44167</v>
      </c>
      <c r="GR57">
        <v>26874</v>
      </c>
      <c r="GS57">
        <v>477</v>
      </c>
      <c r="GT57" s="16">
        <v>44168</v>
      </c>
      <c r="GU57">
        <v>27479</v>
      </c>
      <c r="GV57">
        <v>473</v>
      </c>
      <c r="GW57" s="16">
        <v>44169</v>
      </c>
      <c r="GX57">
        <v>27962</v>
      </c>
      <c r="GY57">
        <v>473</v>
      </c>
      <c r="GZ57" s="16">
        <v>44170</v>
      </c>
      <c r="HA57">
        <v>28219</v>
      </c>
      <c r="HB57">
        <v>252</v>
      </c>
      <c r="HC57" s="16">
        <v>44171</v>
      </c>
      <c r="HD57">
        <v>28504</v>
      </c>
      <c r="HE57">
        <v>282</v>
      </c>
      <c r="HF57" s="16">
        <v>44172</v>
      </c>
      <c r="HG57">
        <v>29076</v>
      </c>
      <c r="HH57">
        <v>589</v>
      </c>
      <c r="HI57" s="16">
        <v>44173</v>
      </c>
      <c r="HJ57">
        <v>29539</v>
      </c>
      <c r="HK57">
        <v>467</v>
      </c>
      <c r="HL57" s="16">
        <v>44174</v>
      </c>
      <c r="HM57">
        <v>30008</v>
      </c>
      <c r="HN57">
        <v>462</v>
      </c>
      <c r="HO57" s="16">
        <v>44175</v>
      </c>
      <c r="HP57">
        <v>30424</v>
      </c>
      <c r="HQ57">
        <v>407</v>
      </c>
      <c r="HR57" s="16">
        <v>44176</v>
      </c>
      <c r="HS57">
        <v>30864</v>
      </c>
      <c r="HT57">
        <v>445</v>
      </c>
      <c r="HU57" s="16">
        <v>44177</v>
      </c>
      <c r="HV57">
        <v>31117</v>
      </c>
      <c r="HW57">
        <v>250</v>
      </c>
      <c r="HX57" s="16"/>
      <c r="IA57" s="16"/>
      <c r="ID57" s="16"/>
      <c r="IG57" s="16"/>
      <c r="IJ57" s="16"/>
      <c r="IM57" s="16"/>
    </row>
    <row r="58" spans="1:247" s="10" customFormat="1">
      <c r="A58" t="str">
        <f t="shared" ca="1" si="1"/>
        <v>13.12</v>
      </c>
      <c r="B58" s="9">
        <f t="shared" ca="1" si="2"/>
        <v>44178</v>
      </c>
      <c r="C58" s="10">
        <f t="shared" ca="1" si="0"/>
        <v>31388</v>
      </c>
      <c r="D58" s="10">
        <f t="shared" ca="1" si="20"/>
        <v>273</v>
      </c>
      <c r="E58" s="10">
        <f t="shared" ca="1" si="4"/>
        <v>-1</v>
      </c>
      <c r="F58" s="10">
        <f t="shared" ca="1" si="6"/>
        <v>274</v>
      </c>
      <c r="G58" s="10">
        <f ca="1">SUM(D58:D64)</f>
        <v>2047</v>
      </c>
      <c r="H58" s="10" t="str">
        <f ca="1">TEXT(G58/G51-1,"0 %")</f>
        <v>-30 %</v>
      </c>
      <c r="K58" s="14"/>
      <c r="L58"/>
      <c r="M58" s="17">
        <v>44178</v>
      </c>
      <c r="N58" s="10">
        <v>31391</v>
      </c>
      <c r="O58" s="10">
        <v>274</v>
      </c>
      <c r="P58" s="17">
        <v>44178</v>
      </c>
      <c r="Q58" s="10">
        <v>31391</v>
      </c>
      <c r="R58" s="10">
        <v>274</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v>44153</v>
      </c>
      <c r="EY58" s="10">
        <v>20844</v>
      </c>
      <c r="EZ58" s="10">
        <v>369</v>
      </c>
      <c r="FA58" s="17">
        <v>44154</v>
      </c>
      <c r="FB58" s="10">
        <v>21329</v>
      </c>
      <c r="FC58" s="10">
        <v>479</v>
      </c>
      <c r="FD58" s="17">
        <v>44155</v>
      </c>
      <c r="FE58" s="10">
        <v>21685</v>
      </c>
      <c r="FF58" s="10">
        <v>422</v>
      </c>
      <c r="FG58" s="17">
        <v>44156</v>
      </c>
      <c r="FH58" s="10">
        <v>22030</v>
      </c>
      <c r="FI58" s="10">
        <v>269</v>
      </c>
      <c r="FJ58" s="17">
        <v>44157</v>
      </c>
      <c r="FK58" s="10">
        <v>22317</v>
      </c>
      <c r="FL58" s="10">
        <v>265</v>
      </c>
      <c r="FM58" s="17">
        <v>44158</v>
      </c>
      <c r="FN58" s="10">
        <v>22803</v>
      </c>
      <c r="FO58" s="10">
        <v>483</v>
      </c>
      <c r="FP58" s="17">
        <v>44159</v>
      </c>
      <c r="FQ58" s="10">
        <v>23235</v>
      </c>
      <c r="FR58" s="10">
        <v>437</v>
      </c>
      <c r="FS58" s="17">
        <v>44160</v>
      </c>
      <c r="FT58" s="10">
        <v>23884</v>
      </c>
      <c r="FU58" s="10">
        <v>599</v>
      </c>
      <c r="FV58" s="17">
        <v>44161</v>
      </c>
      <c r="FW58" s="10">
        <v>24393</v>
      </c>
      <c r="FX58" s="10">
        <v>503</v>
      </c>
      <c r="FY58" s="17">
        <v>44162</v>
      </c>
      <c r="FZ58" s="10">
        <v>24863</v>
      </c>
      <c r="GA58" s="10">
        <v>462</v>
      </c>
      <c r="GB58" s="17">
        <v>44163</v>
      </c>
      <c r="GC58" s="10">
        <v>25146</v>
      </c>
      <c r="GD58" s="10">
        <v>288</v>
      </c>
      <c r="GE58" s="17">
        <v>44164</v>
      </c>
      <c r="GF58" s="10">
        <v>25432</v>
      </c>
      <c r="GG58" s="10">
        <v>280</v>
      </c>
      <c r="GH58" s="17">
        <v>44165</v>
      </c>
      <c r="GI58" s="10">
        <v>25977</v>
      </c>
      <c r="GJ58" s="10">
        <v>543</v>
      </c>
      <c r="GK58" s="17">
        <v>44166</v>
      </c>
      <c r="GL58" s="10">
        <v>26370</v>
      </c>
      <c r="GM58" s="10">
        <v>388</v>
      </c>
      <c r="GN58" s="17">
        <v>44167</v>
      </c>
      <c r="GO58" s="10">
        <v>26859</v>
      </c>
      <c r="GP58" s="10">
        <v>475</v>
      </c>
      <c r="GQ58" s="17">
        <v>44168</v>
      </c>
      <c r="GR58" s="10">
        <v>27276</v>
      </c>
      <c r="GS58" s="10">
        <v>402</v>
      </c>
      <c r="GT58" s="17">
        <v>44169</v>
      </c>
      <c r="GU58" s="10">
        <v>27950</v>
      </c>
      <c r="GV58" s="10">
        <v>471</v>
      </c>
      <c r="GW58" s="17">
        <v>44170</v>
      </c>
      <c r="GX58" s="10">
        <v>28212</v>
      </c>
      <c r="GY58" s="10">
        <v>250</v>
      </c>
      <c r="GZ58" s="17">
        <v>44171</v>
      </c>
      <c r="HA58" s="10">
        <v>28501</v>
      </c>
      <c r="HB58" s="10">
        <v>282</v>
      </c>
      <c r="HC58" s="17">
        <v>44172</v>
      </c>
      <c r="HD58" s="10">
        <v>29093</v>
      </c>
      <c r="HE58" s="10">
        <v>589</v>
      </c>
      <c r="HF58" s="17">
        <v>44173</v>
      </c>
      <c r="HG58" s="10">
        <v>29541</v>
      </c>
      <c r="HH58" s="10">
        <v>465</v>
      </c>
      <c r="HI58" s="17">
        <v>44174</v>
      </c>
      <c r="HJ58" s="10">
        <v>29998</v>
      </c>
      <c r="HK58" s="10">
        <v>459</v>
      </c>
      <c r="HL58" s="17">
        <v>44175</v>
      </c>
      <c r="HM58" s="10">
        <v>30417</v>
      </c>
      <c r="HN58" s="10">
        <v>409</v>
      </c>
      <c r="HO58" s="17">
        <v>44176</v>
      </c>
      <c r="HP58" s="10">
        <v>30870</v>
      </c>
      <c r="HQ58" s="10">
        <v>446</v>
      </c>
      <c r="HR58" s="17">
        <v>44177</v>
      </c>
      <c r="HS58" s="10">
        <v>31113</v>
      </c>
      <c r="HT58" s="10">
        <v>249</v>
      </c>
      <c r="HU58" s="17">
        <v>44178</v>
      </c>
      <c r="HV58" s="10">
        <v>31391</v>
      </c>
      <c r="HW58" s="10">
        <v>274</v>
      </c>
      <c r="HX58" s="17"/>
      <c r="IA58" s="17"/>
      <c r="ID58" s="17"/>
      <c r="IG58" s="17"/>
      <c r="IJ58" s="17"/>
      <c r="IM58" s="17"/>
    </row>
    <row r="59" spans="1:247">
      <c r="A59" t="str">
        <f t="shared" ca="1" si="1"/>
        <v>Ma 14</v>
      </c>
      <c r="B59" s="4">
        <f t="shared" ca="1" si="2"/>
        <v>44179</v>
      </c>
      <c r="C59" s="11">
        <f t="shared" ca="1" si="0"/>
        <v>31848</v>
      </c>
      <c r="D59">
        <f t="shared" ca="1" si="20"/>
        <v>460</v>
      </c>
      <c r="E59" s="11">
        <f t="shared" ca="1" si="4"/>
        <v>0</v>
      </c>
      <c r="F59" s="11">
        <f t="shared" ca="1" si="6"/>
        <v>460</v>
      </c>
      <c r="H59" s="10"/>
      <c r="J59" s="13"/>
      <c r="K59" s="3"/>
      <c r="M59" s="16">
        <v>44179</v>
      </c>
      <c r="N59">
        <v>31851</v>
      </c>
      <c r="O59">
        <v>460</v>
      </c>
      <c r="P59" s="16">
        <v>44179</v>
      </c>
      <c r="Q59">
        <v>31851</v>
      </c>
      <c r="R59">
        <v>460</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v>44154</v>
      </c>
      <c r="EY59">
        <v>21322</v>
      </c>
      <c r="EZ59">
        <v>478</v>
      </c>
      <c r="FA59" s="16">
        <v>44155</v>
      </c>
      <c r="FB59">
        <v>21755</v>
      </c>
      <c r="FC59">
        <v>426</v>
      </c>
      <c r="FD59" s="16">
        <v>44156</v>
      </c>
      <c r="FE59">
        <v>21944</v>
      </c>
      <c r="FF59">
        <v>259</v>
      </c>
      <c r="FG59" s="16">
        <v>44157</v>
      </c>
      <c r="FH59">
        <v>22293</v>
      </c>
      <c r="FI59">
        <v>263</v>
      </c>
      <c r="FJ59" s="16">
        <v>44158</v>
      </c>
      <c r="FK59">
        <v>22798</v>
      </c>
      <c r="FL59">
        <v>481</v>
      </c>
      <c r="FM59" s="16">
        <v>44159</v>
      </c>
      <c r="FN59">
        <v>23244</v>
      </c>
      <c r="FO59">
        <v>441</v>
      </c>
      <c r="FP59" s="16">
        <v>44160</v>
      </c>
      <c r="FQ59">
        <v>23810</v>
      </c>
      <c r="FR59">
        <v>575</v>
      </c>
      <c r="FS59" s="16">
        <v>44161</v>
      </c>
      <c r="FT59">
        <v>24382</v>
      </c>
      <c r="FU59">
        <v>498</v>
      </c>
      <c r="FV59" s="16">
        <v>44162</v>
      </c>
      <c r="FW59">
        <v>24856</v>
      </c>
      <c r="FX59">
        <v>463</v>
      </c>
      <c r="FY59" s="16">
        <v>44163</v>
      </c>
      <c r="FZ59">
        <v>25146</v>
      </c>
      <c r="GA59">
        <v>283</v>
      </c>
      <c r="GB59" s="16">
        <v>44164</v>
      </c>
      <c r="GC59">
        <v>25414</v>
      </c>
      <c r="GD59">
        <v>268</v>
      </c>
      <c r="GE59" s="16">
        <v>44165</v>
      </c>
      <c r="GF59">
        <v>25972</v>
      </c>
      <c r="GG59">
        <v>540</v>
      </c>
      <c r="GH59" s="16">
        <v>44166</v>
      </c>
      <c r="GI59">
        <v>26362</v>
      </c>
      <c r="GJ59">
        <v>385</v>
      </c>
      <c r="GK59" s="16">
        <v>44167</v>
      </c>
      <c r="GL59">
        <v>26838</v>
      </c>
      <c r="GM59">
        <v>468</v>
      </c>
      <c r="GN59" s="16">
        <v>44168</v>
      </c>
      <c r="GO59">
        <v>27257</v>
      </c>
      <c r="GP59">
        <v>398</v>
      </c>
      <c r="GQ59" s="16">
        <v>44169</v>
      </c>
      <c r="GR59">
        <v>27670</v>
      </c>
      <c r="GS59">
        <v>394</v>
      </c>
      <c r="GT59" s="16">
        <v>44170</v>
      </c>
      <c r="GU59">
        <v>28200</v>
      </c>
      <c r="GV59">
        <v>250</v>
      </c>
      <c r="GW59" s="16">
        <v>44171</v>
      </c>
      <c r="GX59">
        <v>28493</v>
      </c>
      <c r="GY59">
        <v>281</v>
      </c>
      <c r="GZ59" s="16">
        <v>44172</v>
      </c>
      <c r="HA59">
        <v>29089</v>
      </c>
      <c r="HB59">
        <v>588</v>
      </c>
      <c r="HC59" s="16">
        <v>44173</v>
      </c>
      <c r="HD59">
        <v>29553</v>
      </c>
      <c r="HE59">
        <v>460</v>
      </c>
      <c r="HF59" s="16">
        <v>44174</v>
      </c>
      <c r="HG59">
        <v>29994</v>
      </c>
      <c r="HH59">
        <v>453</v>
      </c>
      <c r="HI59" s="16">
        <v>44175</v>
      </c>
      <c r="HJ59">
        <v>30399</v>
      </c>
      <c r="HK59">
        <v>401</v>
      </c>
      <c r="HL59" s="16">
        <v>44176</v>
      </c>
      <c r="HM59">
        <v>30860</v>
      </c>
      <c r="HN59">
        <v>443</v>
      </c>
      <c r="HO59" s="16">
        <v>44177</v>
      </c>
      <c r="HP59">
        <v>31118</v>
      </c>
      <c r="HQ59">
        <v>248</v>
      </c>
      <c r="HR59" s="16">
        <v>44178</v>
      </c>
      <c r="HS59">
        <v>31386</v>
      </c>
      <c r="HT59">
        <v>273</v>
      </c>
      <c r="HU59" s="16">
        <v>44179</v>
      </c>
      <c r="HV59">
        <v>31851</v>
      </c>
      <c r="HW59">
        <v>460</v>
      </c>
      <c r="HX59" s="16"/>
      <c r="IA59" s="16"/>
      <c r="ID59" s="16"/>
      <c r="IG59" s="16"/>
      <c r="IJ59" s="16"/>
      <c r="IM59" s="16"/>
    </row>
    <row r="60" spans="1:247">
      <c r="A60" t="str">
        <f t="shared" ca="1" si="1"/>
        <v>15.12</v>
      </c>
      <c r="B60" s="4">
        <f t="shared" ca="1" si="2"/>
        <v>44180</v>
      </c>
      <c r="C60" s="11">
        <f t="shared" ca="1" si="0"/>
        <v>32200</v>
      </c>
      <c r="D60">
        <f t="shared" ca="1" si="20"/>
        <v>352</v>
      </c>
      <c r="E60" s="11">
        <f t="shared" ca="1" si="4"/>
        <v>1</v>
      </c>
      <c r="F60" s="11">
        <f t="shared" ca="1" si="6"/>
        <v>351</v>
      </c>
      <c r="J60" s="4"/>
      <c r="K60" s="3"/>
      <c r="M60" s="16">
        <v>44180</v>
      </c>
      <c r="N60">
        <v>32202</v>
      </c>
      <c r="O60">
        <v>351</v>
      </c>
      <c r="P60" s="16">
        <v>44180</v>
      </c>
      <c r="Q60">
        <v>32202</v>
      </c>
      <c r="R60">
        <v>351</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v>44155</v>
      </c>
      <c r="EY60">
        <v>21746</v>
      </c>
      <c r="EZ60">
        <v>424</v>
      </c>
      <c r="FA60" s="16">
        <v>44156</v>
      </c>
      <c r="FB60">
        <v>22003</v>
      </c>
      <c r="FC60">
        <v>248</v>
      </c>
      <c r="FD60" s="16">
        <v>44157</v>
      </c>
      <c r="FE60">
        <v>22196</v>
      </c>
      <c r="FF60">
        <v>252</v>
      </c>
      <c r="FG60" s="16">
        <v>44158</v>
      </c>
      <c r="FH60">
        <v>22767</v>
      </c>
      <c r="FI60">
        <v>474</v>
      </c>
      <c r="FJ60" s="16">
        <v>44159</v>
      </c>
      <c r="FK60">
        <v>23234</v>
      </c>
      <c r="FL60">
        <v>436</v>
      </c>
      <c r="FM60" s="16">
        <v>44160</v>
      </c>
      <c r="FN60">
        <v>23812</v>
      </c>
      <c r="FO60">
        <v>568</v>
      </c>
      <c r="FP60" s="16">
        <v>44161</v>
      </c>
      <c r="FQ60">
        <v>24238</v>
      </c>
      <c r="FR60">
        <v>428</v>
      </c>
      <c r="FS60" s="16">
        <v>44162</v>
      </c>
      <c r="FT60">
        <v>24826</v>
      </c>
      <c r="FU60">
        <v>444</v>
      </c>
      <c r="FV60" s="16">
        <v>44163</v>
      </c>
      <c r="FW60">
        <v>25121</v>
      </c>
      <c r="FX60">
        <v>265</v>
      </c>
      <c r="FY60" s="16">
        <v>44164</v>
      </c>
      <c r="FZ60">
        <v>25412</v>
      </c>
      <c r="GA60">
        <v>266</v>
      </c>
      <c r="GB60" s="16">
        <v>44165</v>
      </c>
      <c r="GC60">
        <v>25928</v>
      </c>
      <c r="GD60">
        <v>514</v>
      </c>
      <c r="GE60" s="16">
        <v>44166</v>
      </c>
      <c r="GF60">
        <v>26355</v>
      </c>
      <c r="GG60">
        <v>383</v>
      </c>
      <c r="GH60" s="16">
        <v>44167</v>
      </c>
      <c r="GI60">
        <v>26824</v>
      </c>
      <c r="GJ60">
        <v>462</v>
      </c>
      <c r="GK60" s="16">
        <v>44168</v>
      </c>
      <c r="GL60">
        <v>27231</v>
      </c>
      <c r="GM60">
        <v>393</v>
      </c>
      <c r="GN60" s="16">
        <v>44169</v>
      </c>
      <c r="GO60">
        <v>27644</v>
      </c>
      <c r="GP60">
        <v>387</v>
      </c>
      <c r="GQ60" s="16">
        <v>44170</v>
      </c>
      <c r="GR60">
        <v>27890</v>
      </c>
      <c r="GS60">
        <v>220</v>
      </c>
      <c r="GT60" s="16">
        <v>44171</v>
      </c>
      <c r="GU60">
        <v>28478</v>
      </c>
      <c r="GV60">
        <v>278</v>
      </c>
      <c r="GW60" s="16">
        <v>44172</v>
      </c>
      <c r="GX60">
        <v>29076</v>
      </c>
      <c r="GY60">
        <v>583</v>
      </c>
      <c r="GZ60" s="16">
        <v>44173</v>
      </c>
      <c r="HA60">
        <v>29546</v>
      </c>
      <c r="HB60">
        <v>457</v>
      </c>
      <c r="HC60" s="16">
        <v>44174</v>
      </c>
      <c r="HD60">
        <v>29985</v>
      </c>
      <c r="HE60">
        <v>432</v>
      </c>
      <c r="HF60" s="16">
        <v>44175</v>
      </c>
      <c r="HG60">
        <v>30393</v>
      </c>
      <c r="HH60">
        <v>399</v>
      </c>
      <c r="HI60" s="16">
        <v>44176</v>
      </c>
      <c r="HJ60">
        <v>30833</v>
      </c>
      <c r="HK60">
        <v>434</v>
      </c>
      <c r="HL60" s="16">
        <v>44177</v>
      </c>
      <c r="HM60">
        <v>31106</v>
      </c>
      <c r="HN60">
        <v>246</v>
      </c>
      <c r="HO60" s="16">
        <v>44178</v>
      </c>
      <c r="HP60">
        <v>31391</v>
      </c>
      <c r="HQ60">
        <v>273</v>
      </c>
      <c r="HR60" s="16">
        <v>44179</v>
      </c>
      <c r="HS60">
        <v>31845</v>
      </c>
      <c r="HT60">
        <v>459</v>
      </c>
      <c r="HU60" s="16">
        <v>44180</v>
      </c>
      <c r="HV60">
        <v>32202</v>
      </c>
      <c r="HW60">
        <v>351</v>
      </c>
      <c r="HX60" s="16"/>
      <c r="IA60" s="16"/>
      <c r="ID60" s="16"/>
      <c r="IG60" s="16"/>
      <c r="IJ60" s="16"/>
      <c r="IM60" s="16"/>
    </row>
    <row r="61" spans="1:247">
      <c r="A61" t="str">
        <f t="shared" ca="1" si="1"/>
        <v>16.12</v>
      </c>
      <c r="B61" s="4">
        <f t="shared" ca="1" si="2"/>
        <v>44181</v>
      </c>
      <c r="C61" s="11">
        <f t="shared" ca="1" si="0"/>
        <v>32538</v>
      </c>
      <c r="D61">
        <f t="shared" ca="1" si="20"/>
        <v>338</v>
      </c>
      <c r="E61" s="11">
        <f t="shared" ca="1" si="4"/>
        <v>39</v>
      </c>
      <c r="F61" s="11">
        <f t="shared" ca="1" si="6"/>
        <v>299</v>
      </c>
      <c r="J61" s="4"/>
      <c r="K61" s="3"/>
      <c r="M61" s="16">
        <v>44181</v>
      </c>
      <c r="N61">
        <v>32501</v>
      </c>
      <c r="O61">
        <v>299</v>
      </c>
      <c r="P61" s="16">
        <v>44181</v>
      </c>
      <c r="Q61">
        <v>32501</v>
      </c>
      <c r="R61">
        <v>299</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v>44156</v>
      </c>
      <c r="EY61">
        <v>21984</v>
      </c>
      <c r="EZ61">
        <v>238</v>
      </c>
      <c r="FA61" s="16">
        <v>44157</v>
      </c>
      <c r="FB61">
        <v>22230</v>
      </c>
      <c r="FC61">
        <v>227</v>
      </c>
      <c r="FD61" s="16">
        <v>44158</v>
      </c>
      <c r="FE61">
        <v>22647</v>
      </c>
      <c r="FF61">
        <v>451</v>
      </c>
      <c r="FG61" s="16">
        <v>44159</v>
      </c>
      <c r="FH61">
        <v>23176</v>
      </c>
      <c r="FI61">
        <v>409</v>
      </c>
      <c r="FJ61" s="16">
        <v>44160</v>
      </c>
      <c r="FK61">
        <v>23787</v>
      </c>
      <c r="FL61">
        <v>553</v>
      </c>
      <c r="FM61" s="16">
        <v>44161</v>
      </c>
      <c r="FN61">
        <v>24215</v>
      </c>
      <c r="FO61">
        <v>403</v>
      </c>
      <c r="FP61" s="16">
        <v>44162</v>
      </c>
      <c r="FQ61">
        <v>24588</v>
      </c>
      <c r="FR61">
        <v>350</v>
      </c>
      <c r="FS61" s="16">
        <v>44163</v>
      </c>
      <c r="FT61">
        <v>25063</v>
      </c>
      <c r="FU61">
        <v>237</v>
      </c>
      <c r="FV61" s="16">
        <v>44164</v>
      </c>
      <c r="FW61">
        <v>25360</v>
      </c>
      <c r="FX61">
        <v>239</v>
      </c>
      <c r="FY61" s="16">
        <v>44165</v>
      </c>
      <c r="FZ61">
        <v>25915</v>
      </c>
      <c r="GA61">
        <v>503</v>
      </c>
      <c r="GB61" s="16">
        <v>44166</v>
      </c>
      <c r="GC61">
        <v>26266</v>
      </c>
      <c r="GD61">
        <v>338</v>
      </c>
      <c r="GE61" s="16">
        <v>44167</v>
      </c>
      <c r="GF61">
        <v>26770</v>
      </c>
      <c r="GG61">
        <v>415</v>
      </c>
      <c r="GH61" s="16">
        <v>44168</v>
      </c>
      <c r="GI61">
        <v>27208</v>
      </c>
      <c r="GJ61">
        <v>384</v>
      </c>
      <c r="GK61" s="16">
        <v>44169</v>
      </c>
      <c r="GL61">
        <v>27587</v>
      </c>
      <c r="GM61">
        <v>356</v>
      </c>
      <c r="GN61" s="16">
        <v>44170</v>
      </c>
      <c r="GO61">
        <v>27853</v>
      </c>
      <c r="GP61">
        <v>209</v>
      </c>
      <c r="GQ61" s="16">
        <v>44171</v>
      </c>
      <c r="GR61">
        <v>28142</v>
      </c>
      <c r="GS61">
        <v>252</v>
      </c>
      <c r="GT61" s="16">
        <v>44172</v>
      </c>
      <c r="GU61">
        <v>29007</v>
      </c>
      <c r="GV61">
        <v>529</v>
      </c>
      <c r="GW61" s="16">
        <v>44173</v>
      </c>
      <c r="GX61">
        <v>29495</v>
      </c>
      <c r="GY61">
        <v>419</v>
      </c>
      <c r="GZ61" s="16">
        <v>44174</v>
      </c>
      <c r="HA61">
        <v>29969</v>
      </c>
      <c r="HB61">
        <v>423</v>
      </c>
      <c r="HC61" s="16">
        <v>44175</v>
      </c>
      <c r="HD61">
        <v>30371</v>
      </c>
      <c r="HE61">
        <v>386</v>
      </c>
      <c r="HF61" s="16">
        <v>44176</v>
      </c>
      <c r="HG61">
        <v>30785</v>
      </c>
      <c r="HH61">
        <v>392</v>
      </c>
      <c r="HI61" s="16">
        <v>44177</v>
      </c>
      <c r="HJ61">
        <v>31071</v>
      </c>
      <c r="HK61">
        <v>238</v>
      </c>
      <c r="HL61" s="16">
        <v>44178</v>
      </c>
      <c r="HM61">
        <v>31372</v>
      </c>
      <c r="HN61">
        <v>266</v>
      </c>
      <c r="HO61" s="16">
        <v>44179</v>
      </c>
      <c r="HP61">
        <v>31837</v>
      </c>
      <c r="HQ61">
        <v>446</v>
      </c>
      <c r="HR61" s="16">
        <v>44180</v>
      </c>
      <c r="HS61">
        <v>32173</v>
      </c>
      <c r="HT61">
        <v>328</v>
      </c>
      <c r="HU61" s="16">
        <v>44181</v>
      </c>
      <c r="HV61">
        <v>32501</v>
      </c>
      <c r="HW61">
        <v>299</v>
      </c>
      <c r="HX61" s="16"/>
      <c r="IA61" s="16"/>
      <c r="ID61" s="16"/>
      <c r="IG61" s="16"/>
      <c r="IJ61" s="16"/>
      <c r="IM61" s="16"/>
    </row>
    <row r="62" spans="1:247">
      <c r="A62" t="str">
        <f t="shared" ca="1" si="1"/>
        <v>17.12</v>
      </c>
      <c r="B62" s="4">
        <f t="shared" ca="1" si="2"/>
        <v>44182</v>
      </c>
      <c r="C62" s="11">
        <f t="shared" ca="1" si="0"/>
        <v>32815</v>
      </c>
      <c r="D62">
        <f t="shared" ca="1" si="20"/>
        <v>277</v>
      </c>
      <c r="E62" s="11">
        <f t="shared" ca="1" si="4"/>
        <v>36</v>
      </c>
      <c r="F62" s="11">
        <f t="shared" ca="1" si="6"/>
        <v>241</v>
      </c>
      <c r="J62" s="4"/>
      <c r="K62" s="3"/>
      <c r="M62" s="16">
        <v>44182</v>
      </c>
      <c r="N62">
        <v>32742</v>
      </c>
      <c r="O62">
        <v>241</v>
      </c>
      <c r="P62" s="16">
        <v>44182</v>
      </c>
      <c r="Q62">
        <v>32742</v>
      </c>
      <c r="R62">
        <v>241</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v>44157</v>
      </c>
      <c r="EY62">
        <v>22182</v>
      </c>
      <c r="EZ62">
        <v>198</v>
      </c>
      <c r="FA62" s="16">
        <v>44158</v>
      </c>
      <c r="FB62">
        <v>22567</v>
      </c>
      <c r="FC62">
        <v>337</v>
      </c>
      <c r="FD62" s="16">
        <v>44159</v>
      </c>
      <c r="FE62">
        <v>22980</v>
      </c>
      <c r="FF62">
        <v>333</v>
      </c>
      <c r="FG62" s="16">
        <v>44160</v>
      </c>
      <c r="FH62">
        <v>23606</v>
      </c>
      <c r="FI62">
        <v>430</v>
      </c>
      <c r="FJ62" s="16">
        <v>44161</v>
      </c>
      <c r="FK62">
        <v>24149</v>
      </c>
      <c r="FL62">
        <v>362</v>
      </c>
      <c r="FM62" s="16">
        <v>44162</v>
      </c>
      <c r="FN62">
        <v>24513</v>
      </c>
      <c r="FO62">
        <v>298</v>
      </c>
      <c r="FP62" s="16">
        <v>44163</v>
      </c>
      <c r="FQ62">
        <v>24786</v>
      </c>
      <c r="FR62">
        <v>198</v>
      </c>
      <c r="FS62" s="16">
        <v>44164</v>
      </c>
      <c r="FT62">
        <v>25282</v>
      </c>
      <c r="FU62">
        <v>219</v>
      </c>
      <c r="FV62" s="16">
        <v>44165</v>
      </c>
      <c r="FW62">
        <v>25762</v>
      </c>
      <c r="FX62">
        <v>402</v>
      </c>
      <c r="FY62" s="16">
        <v>44166</v>
      </c>
      <c r="FZ62">
        <v>26214</v>
      </c>
      <c r="GA62">
        <v>299</v>
      </c>
      <c r="GB62" s="16">
        <v>44167</v>
      </c>
      <c r="GC62">
        <v>26623</v>
      </c>
      <c r="GD62">
        <v>357</v>
      </c>
      <c r="GE62" s="16">
        <v>44168</v>
      </c>
      <c r="GF62">
        <v>27109</v>
      </c>
      <c r="GG62">
        <v>339</v>
      </c>
      <c r="GH62" s="16">
        <v>44169</v>
      </c>
      <c r="GI62">
        <v>27517</v>
      </c>
      <c r="GJ62">
        <v>309</v>
      </c>
      <c r="GK62" s="16">
        <v>44170</v>
      </c>
      <c r="GL62">
        <v>27753</v>
      </c>
      <c r="GM62">
        <v>166</v>
      </c>
      <c r="GN62" s="16">
        <v>44171</v>
      </c>
      <c r="GO62">
        <v>28082</v>
      </c>
      <c r="GP62">
        <v>229</v>
      </c>
      <c r="GQ62" s="16">
        <v>44172</v>
      </c>
      <c r="GR62">
        <v>28570</v>
      </c>
      <c r="GS62">
        <v>428</v>
      </c>
      <c r="GT62" s="16">
        <v>44173</v>
      </c>
      <c r="GU62">
        <v>29382</v>
      </c>
      <c r="GV62">
        <v>375</v>
      </c>
      <c r="GW62" s="16">
        <v>44174</v>
      </c>
      <c r="GX62">
        <v>29875</v>
      </c>
      <c r="GY62">
        <v>380</v>
      </c>
      <c r="GZ62" s="16">
        <v>44175</v>
      </c>
      <c r="HA62">
        <v>30272</v>
      </c>
      <c r="HB62">
        <v>303</v>
      </c>
      <c r="HC62" s="16">
        <v>44176</v>
      </c>
      <c r="HD62">
        <v>30699</v>
      </c>
      <c r="HE62">
        <v>328</v>
      </c>
      <c r="HF62" s="16">
        <v>44177</v>
      </c>
      <c r="HG62">
        <v>30981</v>
      </c>
      <c r="HH62">
        <v>196</v>
      </c>
      <c r="HI62" s="16">
        <v>44178</v>
      </c>
      <c r="HJ62">
        <v>31305</v>
      </c>
      <c r="HK62">
        <v>234</v>
      </c>
      <c r="HL62" s="16">
        <v>44179</v>
      </c>
      <c r="HM62">
        <v>31759</v>
      </c>
      <c r="HN62">
        <v>387</v>
      </c>
      <c r="HO62" s="16">
        <v>44180</v>
      </c>
      <c r="HP62">
        <v>32119</v>
      </c>
      <c r="HQ62">
        <v>282</v>
      </c>
      <c r="HR62" s="16">
        <v>44181</v>
      </c>
      <c r="HS62">
        <v>32457</v>
      </c>
      <c r="HT62">
        <v>284</v>
      </c>
      <c r="HU62" s="16">
        <v>44182</v>
      </c>
      <c r="HV62">
        <v>32742</v>
      </c>
      <c r="HW62">
        <v>241</v>
      </c>
      <c r="HX62" s="16"/>
      <c r="IA62" s="16"/>
      <c r="ID62" s="16"/>
      <c r="IG62" s="16"/>
      <c r="IJ62" s="16"/>
      <c r="IM62" s="16"/>
    </row>
    <row r="63" spans="1:247">
      <c r="A63" t="str">
        <f t="shared" ca="1" si="1"/>
        <v>18.12</v>
      </c>
      <c r="B63" s="4">
        <f ca="1">B64-1</f>
        <v>44183</v>
      </c>
      <c r="C63" s="11">
        <f t="shared" ca="1" si="0"/>
        <v>33099</v>
      </c>
      <c r="D63">
        <f t="shared" ca="1" si="20"/>
        <v>284</v>
      </c>
      <c r="E63" s="11">
        <f t="shared" ca="1" si="4"/>
        <v>173</v>
      </c>
      <c r="F63" s="11">
        <f t="shared" ca="1" si="6"/>
        <v>111</v>
      </c>
      <c r="J63" s="4"/>
      <c r="K63" s="3"/>
      <c r="M63" s="16">
        <v>44183</v>
      </c>
      <c r="N63">
        <v>32853</v>
      </c>
      <c r="O63">
        <v>111</v>
      </c>
      <c r="P63" s="16">
        <v>44183</v>
      </c>
      <c r="Q63">
        <v>32853</v>
      </c>
      <c r="R63">
        <v>111</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v>44158</v>
      </c>
      <c r="EY63">
        <v>22289</v>
      </c>
      <c r="EZ63">
        <v>107</v>
      </c>
      <c r="FA63" s="16">
        <v>44159</v>
      </c>
      <c r="FB63">
        <v>22652</v>
      </c>
      <c r="FC63">
        <v>85</v>
      </c>
      <c r="FD63" s="16">
        <v>44160</v>
      </c>
      <c r="FE63">
        <v>23147</v>
      </c>
      <c r="FF63">
        <v>167</v>
      </c>
      <c r="FG63" s="16">
        <v>44161</v>
      </c>
      <c r="FH63">
        <v>23766</v>
      </c>
      <c r="FI63">
        <v>160</v>
      </c>
      <c r="FJ63" s="16">
        <v>44162</v>
      </c>
      <c r="FK63">
        <v>24307</v>
      </c>
      <c r="FL63">
        <v>158</v>
      </c>
      <c r="FM63" s="16">
        <v>44163</v>
      </c>
      <c r="FN63">
        <v>24629</v>
      </c>
      <c r="FO63">
        <v>116</v>
      </c>
      <c r="FP63" s="16">
        <v>44164</v>
      </c>
      <c r="FQ63">
        <v>24912</v>
      </c>
      <c r="FR63">
        <v>126</v>
      </c>
      <c r="FS63" s="16">
        <v>44165</v>
      </c>
      <c r="FT63">
        <v>25462</v>
      </c>
      <c r="FU63">
        <v>180</v>
      </c>
      <c r="FV63" s="16">
        <v>44166</v>
      </c>
      <c r="FW63">
        <v>25882</v>
      </c>
      <c r="FX63">
        <v>120</v>
      </c>
      <c r="FY63" s="16">
        <v>44167</v>
      </c>
      <c r="FZ63">
        <v>26422</v>
      </c>
      <c r="GA63">
        <v>208</v>
      </c>
      <c r="GB63" s="16">
        <v>44168</v>
      </c>
      <c r="GC63">
        <v>26758</v>
      </c>
      <c r="GD63">
        <v>135</v>
      </c>
      <c r="GE63" s="16">
        <v>44169</v>
      </c>
      <c r="GF63">
        <v>27217</v>
      </c>
      <c r="GG63">
        <v>108</v>
      </c>
      <c r="GH63" s="16">
        <v>44170</v>
      </c>
      <c r="GI63">
        <v>27631</v>
      </c>
      <c r="GJ63">
        <v>114</v>
      </c>
      <c r="GK63" s="16">
        <v>44171</v>
      </c>
      <c r="GL63">
        <v>27879</v>
      </c>
      <c r="GM63">
        <v>126</v>
      </c>
      <c r="GN63" s="16">
        <v>44172</v>
      </c>
      <c r="GO63">
        <v>28242</v>
      </c>
      <c r="GP63">
        <v>160</v>
      </c>
      <c r="GQ63" s="16">
        <v>44173</v>
      </c>
      <c r="GR63">
        <v>28732</v>
      </c>
      <c r="GS63">
        <v>162</v>
      </c>
      <c r="GT63" s="16">
        <v>44174</v>
      </c>
      <c r="GU63">
        <v>29572</v>
      </c>
      <c r="GV63">
        <v>190</v>
      </c>
      <c r="GW63" s="16">
        <v>44175</v>
      </c>
      <c r="GX63">
        <v>30072</v>
      </c>
      <c r="GY63">
        <v>197</v>
      </c>
      <c r="GZ63" s="16">
        <v>44176</v>
      </c>
      <c r="HA63">
        <v>30450</v>
      </c>
      <c r="HB63">
        <v>178</v>
      </c>
      <c r="HC63" s="16">
        <v>44177</v>
      </c>
      <c r="HD63">
        <v>30810</v>
      </c>
      <c r="HE63">
        <v>111</v>
      </c>
      <c r="HF63" s="16">
        <v>44178</v>
      </c>
      <c r="HG63">
        <v>31110</v>
      </c>
      <c r="HH63">
        <v>129</v>
      </c>
      <c r="HI63" s="16">
        <v>44179</v>
      </c>
      <c r="HJ63">
        <v>31459</v>
      </c>
      <c r="HK63">
        <v>154</v>
      </c>
      <c r="HL63" s="16">
        <v>44180</v>
      </c>
      <c r="HM63">
        <v>31870</v>
      </c>
      <c r="HN63">
        <v>111</v>
      </c>
      <c r="HO63" s="16">
        <v>44181</v>
      </c>
      <c r="HP63">
        <v>32228</v>
      </c>
      <c r="HQ63">
        <v>109</v>
      </c>
      <c r="HR63" s="16">
        <v>44182</v>
      </c>
      <c r="HS63">
        <v>32582</v>
      </c>
      <c r="HT63">
        <v>125</v>
      </c>
      <c r="HU63" s="16">
        <v>44183</v>
      </c>
      <c r="HV63">
        <v>32853</v>
      </c>
      <c r="HW63">
        <v>111</v>
      </c>
      <c r="HX63" s="16"/>
      <c r="IA63" s="16"/>
      <c r="ID63" s="16"/>
      <c r="IG63" s="16"/>
      <c r="IJ63" s="16"/>
      <c r="IM63" s="16"/>
    </row>
    <row r="64" spans="1:247" s="10" customFormat="1">
      <c r="A64" t="str">
        <f t="shared" ca="1" si="1"/>
        <v>19.12</v>
      </c>
      <c r="B64" s="9">
        <f ca="1">B65-1</f>
        <v>44184</v>
      </c>
      <c r="C64" s="10">
        <f t="shared" ca="1" si="0"/>
        <v>33162</v>
      </c>
      <c r="D64" s="10">
        <f ca="1">C64-C63</f>
        <v>63</v>
      </c>
      <c r="E64" s="10">
        <f t="shared" ca="1" si="4"/>
        <v>63</v>
      </c>
      <c r="F64" s="10">
        <f t="shared" ca="1" si="6"/>
        <v>0</v>
      </c>
      <c r="J64" s="9"/>
      <c r="K64" s="14"/>
      <c r="M64" s="17">
        <v>44184</v>
      </c>
      <c r="N64" s="10">
        <v>32853</v>
      </c>
      <c r="O64" s="10">
        <v>0</v>
      </c>
      <c r="P64" s="17">
        <v>44184</v>
      </c>
      <c r="Q64" s="10">
        <v>32853</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v>44159</v>
      </c>
      <c r="EY64" s="10">
        <v>22289</v>
      </c>
      <c r="EZ64" s="10">
        <v>0</v>
      </c>
      <c r="FA64" s="17">
        <v>44160</v>
      </c>
      <c r="FB64" s="10">
        <v>22652</v>
      </c>
      <c r="FC64" s="10">
        <v>0</v>
      </c>
      <c r="FD64" s="17">
        <v>44161</v>
      </c>
      <c r="FE64" s="10">
        <v>23148</v>
      </c>
      <c r="FF64" s="10">
        <v>1</v>
      </c>
      <c r="FG64" s="17">
        <v>44162</v>
      </c>
      <c r="FH64" s="10">
        <v>23766</v>
      </c>
      <c r="FI64" s="10">
        <v>0</v>
      </c>
      <c r="FJ64" s="17">
        <v>44163</v>
      </c>
      <c r="FK64" s="10">
        <v>24307</v>
      </c>
      <c r="FL64" s="10">
        <v>0</v>
      </c>
      <c r="FM64" s="17">
        <v>44164</v>
      </c>
      <c r="FN64" s="10">
        <v>24629</v>
      </c>
      <c r="FO64" s="10">
        <v>0</v>
      </c>
      <c r="FP64" s="17">
        <v>44165</v>
      </c>
      <c r="FQ64" s="10">
        <v>24912</v>
      </c>
      <c r="FR64" s="10">
        <v>0</v>
      </c>
      <c r="FS64" s="17">
        <v>44166</v>
      </c>
      <c r="FT64" s="10">
        <v>25462</v>
      </c>
      <c r="FU64" s="10">
        <v>0</v>
      </c>
      <c r="FV64" s="17">
        <v>44167</v>
      </c>
      <c r="FW64" s="10">
        <v>25882</v>
      </c>
      <c r="FX64" s="10">
        <v>0</v>
      </c>
      <c r="FY64" s="17">
        <v>44168</v>
      </c>
      <c r="FZ64" s="10">
        <v>26422</v>
      </c>
      <c r="GA64" s="10">
        <v>0</v>
      </c>
      <c r="GB64" s="17">
        <v>44169</v>
      </c>
      <c r="GC64" s="10">
        <v>26758</v>
      </c>
      <c r="GD64" s="10">
        <v>0</v>
      </c>
      <c r="GE64" s="17">
        <v>44170</v>
      </c>
      <c r="GF64" s="10">
        <v>27218</v>
      </c>
      <c r="GG64" s="10">
        <v>1</v>
      </c>
      <c r="GH64" s="17">
        <v>44171</v>
      </c>
      <c r="GI64" s="10">
        <v>27631</v>
      </c>
      <c r="GJ64" s="10">
        <v>0</v>
      </c>
      <c r="GK64" s="17">
        <v>44172</v>
      </c>
      <c r="GL64" s="10">
        <v>27881</v>
      </c>
      <c r="GM64" s="10">
        <v>2</v>
      </c>
      <c r="GN64" s="17">
        <v>44173</v>
      </c>
      <c r="GO64" s="10">
        <v>28242</v>
      </c>
      <c r="GP64" s="10">
        <v>0</v>
      </c>
      <c r="GQ64" s="17">
        <v>44174</v>
      </c>
      <c r="GR64" s="10">
        <v>28732</v>
      </c>
      <c r="GS64" s="10">
        <v>0</v>
      </c>
      <c r="GT64" s="17">
        <v>44175</v>
      </c>
      <c r="GU64" s="10">
        <v>29572</v>
      </c>
      <c r="GV64" s="10">
        <v>0</v>
      </c>
      <c r="GW64" s="17">
        <v>44176</v>
      </c>
      <c r="GX64" s="10">
        <v>30073</v>
      </c>
      <c r="GY64" s="10">
        <v>1</v>
      </c>
      <c r="GZ64" s="17">
        <v>44177</v>
      </c>
      <c r="HA64" s="10">
        <v>30450</v>
      </c>
      <c r="HB64" s="10">
        <v>0</v>
      </c>
      <c r="HC64" s="17">
        <v>44178</v>
      </c>
      <c r="HD64" s="10">
        <v>30810</v>
      </c>
      <c r="HE64" s="10">
        <v>0</v>
      </c>
      <c r="HF64" s="17">
        <v>44179</v>
      </c>
      <c r="HG64" s="10">
        <v>31110</v>
      </c>
      <c r="HH64" s="10">
        <v>0</v>
      </c>
      <c r="HI64" s="17">
        <v>44180</v>
      </c>
      <c r="HJ64" s="10">
        <v>31459</v>
      </c>
      <c r="HK64" s="10">
        <v>0</v>
      </c>
      <c r="HL64" s="17">
        <v>44181</v>
      </c>
      <c r="HM64" s="10">
        <v>31870</v>
      </c>
      <c r="HN64" s="10">
        <v>0</v>
      </c>
      <c r="HO64" s="17">
        <v>44182</v>
      </c>
      <c r="HP64" s="10">
        <v>32228</v>
      </c>
      <c r="HQ64" s="10">
        <v>0</v>
      </c>
      <c r="HR64" s="17">
        <v>44183</v>
      </c>
      <c r="HS64" s="10">
        <v>32582</v>
      </c>
      <c r="HT64" s="10">
        <v>0</v>
      </c>
      <c r="HU64" s="17">
        <v>44184</v>
      </c>
      <c r="HV64" s="10">
        <v>32853</v>
      </c>
      <c r="HW64" s="10">
        <v>0</v>
      </c>
      <c r="HX64" s="17"/>
      <c r="IA64" s="17"/>
      <c r="ID64" s="17"/>
      <c r="IG64" s="17"/>
      <c r="IJ64" s="17"/>
      <c r="IM64" s="17"/>
    </row>
    <row r="65" spans="1:247">
      <c r="A65" t="str">
        <f t="shared" ca="1" si="1"/>
        <v>20.12</v>
      </c>
      <c r="B65" s="12">
        <f ca="1">FLOOR(NOW(),1)</f>
        <v>44185</v>
      </c>
      <c r="C65" s="11">
        <f t="shared" ca="1" si="0"/>
        <v>33162</v>
      </c>
      <c r="D65" s="11">
        <f ca="1">C65-C64</f>
        <v>0</v>
      </c>
      <c r="E65" s="11">
        <f ca="1">_xlfn.IFNA(D65-F65,"")</f>
        <v>0</v>
      </c>
      <c r="F65" s="11">
        <f t="shared" ca="1" si="6"/>
        <v>0</v>
      </c>
      <c r="M65" s="16">
        <v>44185</v>
      </c>
      <c r="N65">
        <v>32853</v>
      </c>
      <c r="O65">
        <v>0</v>
      </c>
      <c r="P65" s="16">
        <v>44185</v>
      </c>
      <c r="Q65">
        <v>32853</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v>44160</v>
      </c>
      <c r="EY65">
        <v>22289</v>
      </c>
      <c r="EZ65">
        <v>0</v>
      </c>
      <c r="FA65" s="16">
        <v>44161</v>
      </c>
      <c r="FB65">
        <v>22652</v>
      </c>
      <c r="FC65">
        <v>0</v>
      </c>
      <c r="FD65" s="16">
        <v>44162</v>
      </c>
      <c r="FE65">
        <v>23148</v>
      </c>
      <c r="FF65">
        <v>0</v>
      </c>
      <c r="FG65" s="16">
        <v>44163</v>
      </c>
      <c r="FH65">
        <v>23766</v>
      </c>
      <c r="FI65">
        <v>0</v>
      </c>
      <c r="FJ65" s="16">
        <v>44164</v>
      </c>
      <c r="FK65">
        <v>24307</v>
      </c>
      <c r="FL65">
        <v>0</v>
      </c>
      <c r="FM65" s="16">
        <v>44165</v>
      </c>
      <c r="FN65">
        <v>24629</v>
      </c>
      <c r="FO65">
        <v>0</v>
      </c>
      <c r="FP65" s="16">
        <v>44166</v>
      </c>
      <c r="FQ65">
        <v>24912</v>
      </c>
      <c r="FR65">
        <v>0</v>
      </c>
      <c r="FS65" s="16">
        <v>44167</v>
      </c>
      <c r="FT65">
        <v>25462</v>
      </c>
      <c r="FU65">
        <v>0</v>
      </c>
      <c r="FV65" s="16">
        <v>44168</v>
      </c>
      <c r="FW65">
        <v>25882</v>
      </c>
      <c r="FX65">
        <v>0</v>
      </c>
      <c r="FY65" s="16">
        <v>44169</v>
      </c>
      <c r="FZ65">
        <v>26422</v>
      </c>
      <c r="GA65">
        <v>0</v>
      </c>
      <c r="GB65" s="16">
        <v>44170</v>
      </c>
      <c r="GC65">
        <v>26758</v>
      </c>
      <c r="GD65">
        <v>0</v>
      </c>
      <c r="GE65" s="16">
        <v>44171</v>
      </c>
      <c r="GF65">
        <v>27218</v>
      </c>
      <c r="GG65">
        <v>0</v>
      </c>
      <c r="GH65" s="16">
        <v>44172</v>
      </c>
      <c r="GI65">
        <v>27631</v>
      </c>
      <c r="GJ65">
        <v>0</v>
      </c>
      <c r="GK65" s="16">
        <v>44173</v>
      </c>
      <c r="GL65">
        <v>27881</v>
      </c>
      <c r="GM65">
        <v>0</v>
      </c>
      <c r="GN65" s="16">
        <v>44174</v>
      </c>
      <c r="GO65">
        <v>28242</v>
      </c>
      <c r="GP65">
        <v>0</v>
      </c>
      <c r="GQ65" s="16">
        <v>44175</v>
      </c>
      <c r="GR65">
        <v>28732</v>
      </c>
      <c r="GS65">
        <v>0</v>
      </c>
      <c r="GT65" s="16">
        <v>44176</v>
      </c>
      <c r="GU65">
        <v>29572</v>
      </c>
      <c r="GV65">
        <v>0</v>
      </c>
      <c r="GW65" s="16">
        <v>44177</v>
      </c>
      <c r="GX65">
        <v>30073</v>
      </c>
      <c r="GY65">
        <v>0</v>
      </c>
      <c r="GZ65" s="16">
        <v>44178</v>
      </c>
      <c r="HA65">
        <v>30450</v>
      </c>
      <c r="HB65">
        <v>0</v>
      </c>
      <c r="HC65" s="16">
        <v>44179</v>
      </c>
      <c r="HD65">
        <v>30810</v>
      </c>
      <c r="HE65">
        <v>0</v>
      </c>
      <c r="HF65" s="16">
        <v>44180</v>
      </c>
      <c r="HG65">
        <v>31110</v>
      </c>
      <c r="HH65">
        <v>0</v>
      </c>
      <c r="HI65" s="16">
        <v>44181</v>
      </c>
      <c r="HJ65">
        <v>31459</v>
      </c>
      <c r="HK65">
        <v>0</v>
      </c>
      <c r="HL65" s="16">
        <v>44182</v>
      </c>
      <c r="HM65">
        <v>31870</v>
      </c>
      <c r="HN65">
        <v>0</v>
      </c>
      <c r="HO65" s="16">
        <v>44183</v>
      </c>
      <c r="HP65">
        <v>32228</v>
      </c>
      <c r="HQ65">
        <v>0</v>
      </c>
      <c r="HR65" s="16">
        <v>44184</v>
      </c>
      <c r="HS65">
        <v>32582</v>
      </c>
      <c r="HT65">
        <v>0</v>
      </c>
      <c r="HU65" s="16">
        <v>44185</v>
      </c>
      <c r="HV65">
        <v>32853</v>
      </c>
      <c r="HW65">
        <v>0</v>
      </c>
      <c r="HX65" s="16"/>
      <c r="IA65" s="16"/>
      <c r="ID65" s="16"/>
      <c r="IG65" s="16"/>
      <c r="IJ65" s="16"/>
      <c r="IM65" s="16"/>
    </row>
    <row r="66" spans="1:247" s="24" customFormat="1">
      <c r="P66" s="24">
        <f>P65</f>
        <v>44185</v>
      </c>
      <c r="S66" s="24">
        <f>S65</f>
        <v>44113</v>
      </c>
      <c r="V66" s="24">
        <f>V65</f>
        <v>44114</v>
      </c>
      <c r="Y66" s="24">
        <f>Y65</f>
        <v>44115</v>
      </c>
      <c r="AB66" s="24">
        <f>AB65</f>
        <v>44116</v>
      </c>
      <c r="AE66" s="24">
        <f>AE65</f>
        <v>44117</v>
      </c>
      <c r="AH66" s="24">
        <f>AH65</f>
        <v>44118</v>
      </c>
      <c r="AK66" s="24">
        <f>AK65</f>
        <v>44119</v>
      </c>
      <c r="AN66" s="24">
        <f>AN65</f>
        <v>44120</v>
      </c>
      <c r="AQ66" s="24">
        <f>AQ65</f>
        <v>44121</v>
      </c>
      <c r="AT66" s="24">
        <f>AT65</f>
        <v>44122</v>
      </c>
      <c r="AW66" s="24">
        <f>AW65</f>
        <v>44123</v>
      </c>
      <c r="AZ66" s="24">
        <f>AZ65</f>
        <v>44124</v>
      </c>
      <c r="BC66" s="24">
        <f>BC65</f>
        <v>44125</v>
      </c>
      <c r="BF66" s="24">
        <f>BF65</f>
        <v>44126</v>
      </c>
      <c r="BI66" s="24">
        <f>BI65</f>
        <v>44127</v>
      </c>
      <c r="BL66" s="24">
        <f>BL65</f>
        <v>44128</v>
      </c>
      <c r="BO66" s="24">
        <f>BO65</f>
        <v>44129</v>
      </c>
      <c r="BR66" s="24">
        <f>BR65</f>
        <v>44130</v>
      </c>
      <c r="BU66" s="24">
        <f>BU65</f>
        <v>44132</v>
      </c>
      <c r="BX66" s="24">
        <f>BX65</f>
        <v>44133</v>
      </c>
      <c r="CA66" s="24">
        <f>CA65</f>
        <v>44134</v>
      </c>
      <c r="CD66" s="24">
        <f>CD65</f>
        <v>44135</v>
      </c>
      <c r="CG66" s="24">
        <f>CG65</f>
        <v>44136</v>
      </c>
      <c r="CJ66" s="24">
        <f>CJ65</f>
        <v>44137</v>
      </c>
      <c r="CM66" s="24">
        <f>CM65</f>
        <v>44138</v>
      </c>
      <c r="CP66" s="24">
        <f>CP65</f>
        <v>44139</v>
      </c>
      <c r="CS66" s="24">
        <f>CS65</f>
        <v>44140</v>
      </c>
      <c r="CV66" s="24">
        <f>CV65</f>
        <v>44141</v>
      </c>
      <c r="CY66" s="24">
        <f>CY65</f>
        <v>44143</v>
      </c>
      <c r="DB66" s="24">
        <f>DB65</f>
        <v>44144</v>
      </c>
      <c r="DE66" s="24">
        <f>DE65</f>
        <v>44145</v>
      </c>
      <c r="DH66" s="24">
        <f>DH65</f>
        <v>44146</v>
      </c>
      <c r="DK66" s="24">
        <f>DK65</f>
        <v>44147</v>
      </c>
      <c r="DN66" s="24">
        <f>DN65</f>
        <v>44148</v>
      </c>
      <c r="DQ66" s="24">
        <f>DQ65</f>
        <v>44149</v>
      </c>
      <c r="DT66" s="24">
        <f>DT65</f>
        <v>44150</v>
      </c>
      <c r="DW66" s="24">
        <f>DW65</f>
        <v>44151</v>
      </c>
      <c r="DZ66" s="24">
        <f>DZ65</f>
        <v>44152</v>
      </c>
      <c r="EC66" s="24">
        <f>EC65</f>
        <v>44153</v>
      </c>
      <c r="EF66" s="24">
        <f>EF65</f>
        <v>44154</v>
      </c>
      <c r="EI66" s="24">
        <f>EI65</f>
        <v>44155</v>
      </c>
      <c r="EL66" s="24">
        <f>EL65</f>
        <v>44156</v>
      </c>
      <c r="EO66" s="24">
        <f>EO65</f>
        <v>44157</v>
      </c>
      <c r="ER66" s="24">
        <f>ER65</f>
        <v>44158</v>
      </c>
      <c r="EU66" s="24">
        <f>EU65</f>
        <v>44159</v>
      </c>
      <c r="EX66" s="24">
        <f>EX65</f>
        <v>44160</v>
      </c>
      <c r="FA66" s="24">
        <f>FA65</f>
        <v>44161</v>
      </c>
      <c r="FD66" s="24">
        <f>FD65</f>
        <v>44162</v>
      </c>
      <c r="FG66" s="24">
        <f>FG65</f>
        <v>44163</v>
      </c>
      <c r="FJ66" s="24">
        <f>FJ65</f>
        <v>44164</v>
      </c>
      <c r="FM66" s="24">
        <f>FM65</f>
        <v>44165</v>
      </c>
      <c r="FP66" s="24">
        <f>FP65</f>
        <v>44166</v>
      </c>
      <c r="FS66" s="24">
        <f>FS65</f>
        <v>44167</v>
      </c>
      <c r="FV66" s="24">
        <f>FV65</f>
        <v>44168</v>
      </c>
      <c r="FY66" s="24">
        <f>FY65</f>
        <v>44169</v>
      </c>
      <c r="GB66" s="24">
        <f>GB65</f>
        <v>44170</v>
      </c>
      <c r="GE66" s="24">
        <f>GE65</f>
        <v>44171</v>
      </c>
      <c r="GH66" s="24">
        <f>GH65</f>
        <v>44172</v>
      </c>
      <c r="GK66" s="24">
        <f>GK65</f>
        <v>44173</v>
      </c>
      <c r="GN66" s="24">
        <f>GN65</f>
        <v>44174</v>
      </c>
      <c r="GQ66" s="24">
        <f>GQ65</f>
        <v>44175</v>
      </c>
      <c r="GT66" s="24">
        <f>GT65</f>
        <v>44176</v>
      </c>
      <c r="GW66" s="24">
        <f>GW65</f>
        <v>44177</v>
      </c>
      <c r="GZ66" s="24">
        <f>GZ65</f>
        <v>44178</v>
      </c>
      <c r="HC66" s="24">
        <f>HC65</f>
        <v>44179</v>
      </c>
      <c r="HF66" s="24">
        <f>HF65</f>
        <v>44180</v>
      </c>
      <c r="HI66" s="24">
        <f>HI65</f>
        <v>44181</v>
      </c>
      <c r="HL66" s="24">
        <f>HL65</f>
        <v>44182</v>
      </c>
      <c r="HO66" s="24">
        <f>HO65</f>
        <v>44183</v>
      </c>
      <c r="HR66" s="24">
        <f>HR65</f>
        <v>44184</v>
      </c>
      <c r="HU66" s="24">
        <f>HU65</f>
        <v>44185</v>
      </c>
      <c r="HX66" s="24">
        <f>HX65</f>
        <v>0</v>
      </c>
      <c r="IA66" s="24">
        <f>IA65</f>
        <v>0</v>
      </c>
      <c r="ID66" s="24">
        <f>ID65</f>
        <v>0</v>
      </c>
    </row>
    <row r="67" spans="1:247" s="25" customFormat="1">
      <c r="A67" s="25">
        <v>1</v>
      </c>
      <c r="B67" s="25">
        <v>2</v>
      </c>
      <c r="C67" s="25">
        <v>3</v>
      </c>
      <c r="D67" s="25">
        <v>4</v>
      </c>
      <c r="E67" s="25">
        <v>5</v>
      </c>
      <c r="F67" s="25">
        <v>6</v>
      </c>
      <c r="G67" s="25">
        <v>7</v>
      </c>
      <c r="H67" s="25">
        <v>8</v>
      </c>
      <c r="I67" s="25">
        <v>9</v>
      </c>
      <c r="J67" s="25">
        <v>10</v>
      </c>
      <c r="K67" s="25">
        <v>11</v>
      </c>
      <c r="L67" s="25">
        <v>12</v>
      </c>
      <c r="N67" s="25" t="s">
        <v>361</v>
      </c>
      <c r="P67" s="25">
        <f ca="1">C65-N65</f>
        <v>309</v>
      </c>
      <c r="R67" s="25" t="s">
        <v>362</v>
      </c>
      <c r="S67" s="25">
        <f>W65-T65</f>
        <v>235</v>
      </c>
      <c r="U67" s="24"/>
      <c r="V67" s="25">
        <f>Z65-W65</f>
        <v>269</v>
      </c>
      <c r="X67" s="24"/>
      <c r="Y67" s="25">
        <f>AC65-Z65</f>
        <v>149</v>
      </c>
      <c r="AA67" s="24"/>
      <c r="AB67" s="26">
        <f>AF65-AC65</f>
        <v>214</v>
      </c>
      <c r="AD67" s="24"/>
      <c r="AE67" s="25">
        <f>AI65-AF65</f>
        <v>287</v>
      </c>
      <c r="AG67" s="24"/>
      <c r="AH67" s="25">
        <f>AL65-AI65</f>
        <v>204</v>
      </c>
      <c r="AJ67" s="24"/>
      <c r="AK67" s="25">
        <f>AO65-AL65</f>
        <v>241</v>
      </c>
      <c r="AM67" s="24"/>
      <c r="AN67" s="25">
        <f>AR65-AO65</f>
        <v>189</v>
      </c>
      <c r="AP67" s="24"/>
      <c r="AQ67" s="25">
        <f>AU65-AR65</f>
        <v>160</v>
      </c>
      <c r="AS67" s="24"/>
      <c r="AT67" s="25">
        <f>AX65-AU65</f>
        <v>131</v>
      </c>
      <c r="AV67" s="24"/>
      <c r="AW67" s="26">
        <f>BA65-AX65</f>
        <v>131</v>
      </c>
      <c r="AY67" s="24"/>
      <c r="AZ67" s="25">
        <f>BD65-BA65</f>
        <v>294</v>
      </c>
      <c r="BB67" s="24"/>
      <c r="BC67" s="25">
        <f>BG65-BD65</f>
        <v>222</v>
      </c>
      <c r="BF67" s="25">
        <f>BJ65-BG65</f>
        <v>184</v>
      </c>
      <c r="BH67" s="24"/>
      <c r="BI67" s="25">
        <f>BM65-BJ65</f>
        <v>219</v>
      </c>
      <c r="BK67" s="24"/>
      <c r="BL67" s="25">
        <f>BP65-BM65</f>
        <v>178</v>
      </c>
      <c r="BO67" s="25">
        <f>BS65-BP65</f>
        <v>196</v>
      </c>
      <c r="BR67" s="25">
        <f>BV65-BS65</f>
        <v>122</v>
      </c>
      <c r="BU67" s="25">
        <f>BY65-BV65</f>
        <v>408</v>
      </c>
      <c r="BX67" s="25">
        <f>CB65-BY65</f>
        <v>188</v>
      </c>
      <c r="CA67" s="25">
        <f>CE65-CB65</f>
        <v>344</v>
      </c>
      <c r="CD67" s="25">
        <f>CH65-CE65</f>
        <v>203</v>
      </c>
      <c r="CG67" s="25">
        <f>CK65-CH65</f>
        <v>178</v>
      </c>
      <c r="CJ67" s="25">
        <f>CN65-CK65</f>
        <v>109</v>
      </c>
      <c r="CL67" s="24"/>
      <c r="CM67" s="25">
        <f>CQ65-CN65</f>
        <v>237</v>
      </c>
      <c r="CO67" s="24"/>
      <c r="CP67" s="25">
        <f>CT65-CQ65</f>
        <v>293</v>
      </c>
      <c r="CR67" s="24"/>
      <c r="CS67" s="26">
        <f>CW65-CT65</f>
        <v>189</v>
      </c>
      <c r="CU67" s="24"/>
      <c r="CV67" s="25">
        <f>CZ65-CW65</f>
        <v>266</v>
      </c>
      <c r="CX67" s="24"/>
      <c r="CY67" s="25">
        <f>DC65-CZ65</f>
        <v>412</v>
      </c>
      <c r="DA67" s="24"/>
      <c r="DB67" s="25">
        <f>DF65-DC65</f>
        <v>90</v>
      </c>
      <c r="DD67" s="24"/>
      <c r="DE67" s="25">
        <f>DI65-DF65</f>
        <v>220</v>
      </c>
      <c r="DG67" s="24"/>
      <c r="DH67" s="25">
        <f>DL65-DI65</f>
        <v>238</v>
      </c>
      <c r="DJ67" s="24"/>
      <c r="DK67" s="25">
        <f>DO65-DL65</f>
        <v>197</v>
      </c>
      <c r="DM67" s="24"/>
      <c r="DN67" s="26">
        <f>DR65-DO65</f>
        <v>316</v>
      </c>
      <c r="DP67" s="24"/>
      <c r="DQ67" s="25">
        <f>DU65-DR65</f>
        <v>244</v>
      </c>
      <c r="DS67" s="24"/>
      <c r="DT67" s="25">
        <f>DX65-DU65</f>
        <v>213</v>
      </c>
      <c r="DW67" s="25">
        <f>EA65-DX65</f>
        <v>104</v>
      </c>
      <c r="DY67" s="24"/>
      <c r="DZ67" s="25">
        <f>ED65-EA65</f>
        <v>228</v>
      </c>
      <c r="EB67" s="24"/>
      <c r="EC67" s="25">
        <f>EG65-ED65</f>
        <v>288</v>
      </c>
      <c r="EF67" s="25">
        <f>EJ65-EG65</f>
        <v>351</v>
      </c>
      <c r="EI67" s="25">
        <f>EM65-EJ65</f>
        <v>461</v>
      </c>
      <c r="EL67" s="25">
        <f>EP65-EM65</f>
        <v>469</v>
      </c>
      <c r="EO67" s="25">
        <f>ES65-EP65</f>
        <v>423</v>
      </c>
      <c r="ER67" s="25">
        <f>EV65-ES65</f>
        <v>297</v>
      </c>
      <c r="EU67" s="25">
        <f>EY65-EV65</f>
        <v>353</v>
      </c>
      <c r="EX67" s="25">
        <f>FB65-EY65</f>
        <v>363</v>
      </c>
      <c r="FA67" s="25">
        <f>FE65-FB65</f>
        <v>496</v>
      </c>
      <c r="FD67" s="25">
        <f>FH65-FE65</f>
        <v>618</v>
      </c>
      <c r="FG67" s="25">
        <f>FK65-FH65</f>
        <v>541</v>
      </c>
      <c r="FJ67" s="25">
        <f>FN65-FK65</f>
        <v>322</v>
      </c>
      <c r="FM67" s="25">
        <f>FQ65-FN65</f>
        <v>283</v>
      </c>
      <c r="FP67" s="25">
        <f>FT65-FQ65</f>
        <v>550</v>
      </c>
      <c r="FS67" s="25">
        <f>FW65-FT65</f>
        <v>420</v>
      </c>
      <c r="FV67" s="25">
        <f>FZ65-FW65</f>
        <v>540</v>
      </c>
      <c r="FY67" s="25">
        <f>GC65-FZ65</f>
        <v>336</v>
      </c>
      <c r="GB67" s="25">
        <f>GF65-GC65</f>
        <v>460</v>
      </c>
      <c r="GE67" s="25">
        <f>GI65-GF65</f>
        <v>413</v>
      </c>
      <c r="GH67" s="25">
        <f>GL65-GI65</f>
        <v>250</v>
      </c>
      <c r="GK67" s="25">
        <f>GO65-GL65</f>
        <v>361</v>
      </c>
      <c r="GN67" s="25">
        <f>GR65-GO65</f>
        <v>490</v>
      </c>
      <c r="GQ67" s="25">
        <f>GU65-GR65</f>
        <v>840</v>
      </c>
      <c r="GT67" s="25">
        <f>GX65-GU65</f>
        <v>501</v>
      </c>
      <c r="GW67" s="25">
        <f>HA65-GX65</f>
        <v>377</v>
      </c>
      <c r="GZ67" s="25">
        <f>HD65-HA65</f>
        <v>360</v>
      </c>
      <c r="HC67" s="25">
        <f>HG65-HD65</f>
        <v>300</v>
      </c>
      <c r="HF67" s="25">
        <f>HJ65-HG65</f>
        <v>349</v>
      </c>
      <c r="HI67" s="25">
        <f>HM65-HJ65</f>
        <v>411</v>
      </c>
      <c r="HL67" s="25">
        <f>HP65-HM65</f>
        <v>358</v>
      </c>
      <c r="HO67" s="25">
        <f>HS65-HP65</f>
        <v>354</v>
      </c>
      <c r="HR67" s="25">
        <f>HV65-HS65</f>
        <v>271</v>
      </c>
      <c r="HU67" s="25">
        <f>HY65-HV65</f>
        <v>-32853</v>
      </c>
      <c r="HX67" s="25">
        <f>IB65-HY65</f>
        <v>0</v>
      </c>
      <c r="IA67" s="25">
        <f>IE65-IB65</f>
        <v>0</v>
      </c>
      <c r="ID67" s="25">
        <f>IH65-IE65</f>
        <v>0</v>
      </c>
    </row>
    <row r="68" spans="1:247">
      <c r="N68" t="s">
        <v>368</v>
      </c>
      <c r="P68">
        <f ca="1">MAX(67:67)</f>
        <v>840</v>
      </c>
      <c r="S68" s="16" t="str">
        <f>IF(WEEKDAY(S66,2)=1,"Mo","")</f>
        <v/>
      </c>
      <c r="V68" s="16" t="str">
        <f>IF(WEEKDAY(V66,2)=1,"Ma","")</f>
        <v/>
      </c>
      <c r="Y68" s="16" t="str">
        <f>IF(WEEKDAY(Y66,2)=1,"Ma","")</f>
        <v/>
      </c>
      <c r="AB68" s="16" t="str">
        <f>IF(WEEKDAY(AB66,2)=1,"Ma","")</f>
        <v>Ma</v>
      </c>
      <c r="DW68" s="16" t="str">
        <f>IF(WEEKDAY(DW66,2)=1,"Ma","")</f>
        <v>Ma</v>
      </c>
      <c r="DZ68" s="16" t="str">
        <f>IF(WEEKDAY(DZ66,2)=1,"Ma","")</f>
        <v/>
      </c>
      <c r="EC68" s="16" t="str">
        <f>IF(WEEKDAY(EC66,2)=1,"Ma","")</f>
        <v/>
      </c>
      <c r="EF68" s="16" t="str">
        <f>IF(WEEKDAY(EF66,2)=1,"Ma","")</f>
        <v/>
      </c>
      <c r="EI68" s="16" t="str">
        <f>IF(WEEKDAY(EI66,2)=1,"Ma","")</f>
        <v/>
      </c>
      <c r="EL68" s="16" t="str">
        <f>IF(WEEKDAY(EL66,2)=1,"Ma","")</f>
        <v/>
      </c>
      <c r="EO68" s="16" t="str">
        <f>IF(WEEKDAY(EO66,2)=1,"Ma","")</f>
        <v/>
      </c>
      <c r="ER68" s="27" t="str">
        <f>IF(WEEKDAY(ER66,2)=1,"Ma","")</f>
        <v>Ma</v>
      </c>
      <c r="EU68" s="16" t="str">
        <f>IF(WEEKDAY(EU66,2)=1,"Ma","")</f>
        <v/>
      </c>
      <c r="EX68" s="16" t="str">
        <f>IF(WEEKDAY(EX66,2)=1,"Ma","")</f>
        <v/>
      </c>
      <c r="FA68" s="16" t="str">
        <f>IF(WEEKDAY(FA66,2)=1,"Ma","")</f>
        <v/>
      </c>
      <c r="FD68" s="16" t="str">
        <f>IF(WEEKDAY(FD66,2)=1,"Ma","")</f>
        <v/>
      </c>
      <c r="FG68" s="16" t="str">
        <f>IF(WEEKDAY(FG66,2)=1,"Ma","")</f>
        <v/>
      </c>
      <c r="FJ68" s="16" t="str">
        <f>IF(WEEKDAY(FJ66,2)=1,"Ma","")</f>
        <v/>
      </c>
      <c r="FM68" s="16" t="str">
        <f>IF(WEEKDAY(FM66,2)=1,"Ma","")</f>
        <v>Ma</v>
      </c>
      <c r="FP68" s="16" t="str">
        <f>IF(WEEKDAY(FP66,2)=1,"Ma","")</f>
        <v/>
      </c>
      <c r="FS68" s="16" t="str">
        <f>IF(WEEKDAY(FS66,2)=1,"Ma","")</f>
        <v/>
      </c>
      <c r="FV68" s="16" t="str">
        <f>IF(WEEKDAY(FV66,2)=1,"Ma","")</f>
        <v/>
      </c>
      <c r="FY68" s="16" t="str">
        <f>IF(WEEKDAY(FY66,2)=1,"Ma","")</f>
        <v/>
      </c>
      <c r="GB68" s="27" t="str">
        <f>IF(WEEKDAY(GB66,2)=1,"Ma","")</f>
        <v/>
      </c>
      <c r="GE68" s="16" t="str">
        <f>IF(WEEKDAY(GE66,2)=1,"Ma","")</f>
        <v/>
      </c>
      <c r="GH68" s="16" t="str">
        <f>IF(WEEKDAY(GH66,2)=1,"Ma","")</f>
        <v>Ma</v>
      </c>
      <c r="GK68" s="16" t="str">
        <f>IF(WEEKDAY(GK66,2)=1,"Ma","")</f>
        <v/>
      </c>
      <c r="GN68" s="16" t="str">
        <f>IF(WEEKDAY(GN66,2)=1,"Ma","")</f>
        <v/>
      </c>
      <c r="GQ68" s="16" t="str">
        <f>IF(WEEKDAY(GQ66,2)=1,"Ma","")</f>
        <v/>
      </c>
      <c r="GT68" s="16" t="str">
        <f>IF(WEEKDAY(GT66,2)=1,"Ma","")</f>
        <v/>
      </c>
      <c r="GW68" s="16" t="str">
        <f>IF(WEEKDAY(GW66,2)=1,"Ma","")</f>
        <v/>
      </c>
      <c r="GZ68" s="16" t="str">
        <f>IF(WEEKDAY(GZ66,2)=1,"Ma","")</f>
        <v/>
      </c>
      <c r="HC68" s="16" t="str">
        <f>IF(WEEKDAY(HC66,2)=1,"Ma","")</f>
        <v>Ma</v>
      </c>
      <c r="HF68" s="16" t="str">
        <f>IF(WEEKDAY(HF66,2)=1,"Ma","")</f>
        <v/>
      </c>
      <c r="HI68" s="16" t="str">
        <f>IF(WEEKDAY(HI66,2)=1,"Ma","")</f>
        <v/>
      </c>
      <c r="HL68" s="16" t="str">
        <f>IF(WEEKDAY(HL66,2)=1,"Ma","")</f>
        <v/>
      </c>
      <c r="HO68" s="16" t="str">
        <f>IF(WEEKDAY(HO66,2)=1,"Ma","")</f>
        <v/>
      </c>
      <c r="HR68" s="27" t="str">
        <f>IF(WEEKDAY(HR66,2)=1,"Ma","")</f>
        <v/>
      </c>
      <c r="HU68" s="16" t="str">
        <f>IF(WEEKDAY(HU66,2)=1,"Ma","")</f>
        <v/>
      </c>
      <c r="HX68" s="16" t="str">
        <f>IF(WEEKDAY(HX66,2)=1,"Ma","")</f>
        <v/>
      </c>
      <c r="IA68" s="16" t="str">
        <f>IF(WEEKDAY(IA66,2)=1,"Ma","")</f>
        <v/>
      </c>
      <c r="ID68" s="16" t="str">
        <f>IF(WEEKDAY(ID66,2)=1,"Ma","")</f>
        <v/>
      </c>
    </row>
    <row r="69" spans="1:247">
      <c r="P69" s="20"/>
      <c r="S69" s="20"/>
    </row>
    <row r="70" spans="1:247">
      <c r="N70" s="21">
        <f>P66</f>
        <v>44185</v>
      </c>
      <c r="O70">
        <f ca="1">HLOOKUP(N70,$66:$67,2,FALSE)</f>
        <v>309</v>
      </c>
    </row>
    <row r="71" spans="1:247">
      <c r="N71" s="21">
        <f>N70-7</f>
        <v>44178</v>
      </c>
      <c r="O71">
        <f t="shared" ref="O71:O77" si="21">HLOOKUP(N71,$66:$67,2,FALSE)</f>
        <v>360</v>
      </c>
    </row>
    <row r="72" spans="1:247">
      <c r="N72" s="21">
        <f t="shared" ref="N72:N77" si="22">N71-7</f>
        <v>44171</v>
      </c>
      <c r="O72">
        <f t="shared" si="21"/>
        <v>413</v>
      </c>
    </row>
    <row r="73" spans="1:247">
      <c r="N73" s="21">
        <f t="shared" si="22"/>
        <v>44164</v>
      </c>
      <c r="O73">
        <f t="shared" si="21"/>
        <v>322</v>
      </c>
    </row>
    <row r="74" spans="1:247">
      <c r="N74" s="21">
        <f t="shared" si="22"/>
        <v>44157</v>
      </c>
      <c r="O74">
        <f t="shared" si="21"/>
        <v>423</v>
      </c>
    </row>
    <row r="75" spans="1:247">
      <c r="N75" s="21">
        <f t="shared" si="22"/>
        <v>44150</v>
      </c>
      <c r="O75">
        <f t="shared" si="21"/>
        <v>213</v>
      </c>
    </row>
    <row r="76" spans="1:247">
      <c r="N76" s="21">
        <f t="shared" si="22"/>
        <v>44143</v>
      </c>
      <c r="O76">
        <f t="shared" si="21"/>
        <v>412</v>
      </c>
    </row>
    <row r="77" spans="1:247">
      <c r="N77" s="21">
        <f t="shared" si="22"/>
        <v>44136</v>
      </c>
      <c r="O77">
        <f t="shared" si="21"/>
        <v>178</v>
      </c>
    </row>
    <row r="78" spans="1:247">
      <c r="N78" s="16"/>
    </row>
    <row r="79" spans="1:247">
      <c r="N79" t="s">
        <v>7</v>
      </c>
      <c r="R79" t="s">
        <v>7</v>
      </c>
      <c r="S79"/>
      <c r="T79" s="16"/>
      <c r="V79" t="s">
        <v>7</v>
      </c>
      <c r="X79" s="16"/>
      <c r="Y79"/>
      <c r="Z79" t="s">
        <v>7</v>
      </c>
      <c r="AD79" t="s">
        <v>7</v>
      </c>
      <c r="AE79"/>
      <c r="AF79" s="16"/>
      <c r="AH79" t="s">
        <v>7</v>
      </c>
      <c r="AJ79" s="16"/>
      <c r="AK79"/>
      <c r="AL79" t="s">
        <v>7</v>
      </c>
      <c r="AP79" t="s">
        <v>7</v>
      </c>
      <c r="AQ79"/>
      <c r="AR79" s="16"/>
    </row>
    <row r="80" spans="1:247">
      <c r="N80" s="22">
        <f>(N70-4)+15/24</f>
        <v>44181.625</v>
      </c>
      <c r="O80">
        <f>DMAX(_xlnm.database,"n",N79:N80)</f>
        <v>338</v>
      </c>
      <c r="P80" s="21">
        <f>N80</f>
        <v>44181.625</v>
      </c>
      <c r="Q80">
        <f>O80</f>
        <v>338</v>
      </c>
      <c r="R80" s="22">
        <f>N80-1</f>
        <v>44180.625</v>
      </c>
      <c r="S80">
        <f>DMAX(_xlnm.database,"n",R79:R80)</f>
        <v>352</v>
      </c>
      <c r="T80" s="21">
        <f>R80</f>
        <v>44180.625</v>
      </c>
      <c r="U80">
        <f>S80</f>
        <v>352</v>
      </c>
      <c r="V80" s="22">
        <f>R80-1</f>
        <v>44179.625</v>
      </c>
      <c r="W80">
        <f>DMAX(_xlnm.database,"n",V79:V80)</f>
        <v>460</v>
      </c>
      <c r="X80" s="21">
        <f>V80</f>
        <v>44179.625</v>
      </c>
      <c r="Y80">
        <f>W80</f>
        <v>460</v>
      </c>
      <c r="Z80" s="22">
        <f>V80-1</f>
        <v>44178.625</v>
      </c>
      <c r="AA80">
        <f>DMAX(_xlnm.database,"n",Z79:Z80)</f>
        <v>273</v>
      </c>
      <c r="AB80" s="21">
        <f>Z80</f>
        <v>44178.625</v>
      </c>
      <c r="AC80">
        <f>AA80</f>
        <v>273</v>
      </c>
      <c r="AD80" s="22">
        <f>Z80-1</f>
        <v>44177.625</v>
      </c>
      <c r="AE80">
        <f>DMAX(_xlnm.database,"n",AD79:AD80)</f>
        <v>250</v>
      </c>
      <c r="AF80" s="21">
        <f>AD80</f>
        <v>44177.625</v>
      </c>
      <c r="AG80">
        <f>AE80</f>
        <v>250</v>
      </c>
      <c r="AH80" s="22">
        <f>AD80-1</f>
        <v>44176.625</v>
      </c>
      <c r="AI80">
        <f>DMAX(_xlnm.database,"n",AH79:AH80)</f>
        <v>445</v>
      </c>
      <c r="AJ80" s="21">
        <f>AH80</f>
        <v>44176.625</v>
      </c>
      <c r="AK80">
        <f>AI80</f>
        <v>445</v>
      </c>
      <c r="AL80" s="22">
        <f>AH80-1</f>
        <v>44175.625</v>
      </c>
      <c r="AM80">
        <f>DMAX(_xlnm.database,"n",AL79:AL80)</f>
        <v>408</v>
      </c>
      <c r="AN80" s="21">
        <f>AL80</f>
        <v>44175.625</v>
      </c>
      <c r="AO80">
        <f>AM80</f>
        <v>408</v>
      </c>
      <c r="AP80" s="22">
        <f>AL80-1</f>
        <v>44174.625</v>
      </c>
      <c r="AQ80">
        <f>DMAX(_xlnm.database,"n",AP79:AP80)</f>
        <v>462</v>
      </c>
      <c r="AR80" s="21">
        <f>AP80</f>
        <v>44174.625</v>
      </c>
      <c r="AS80">
        <f>AQ80</f>
        <v>462</v>
      </c>
    </row>
    <row r="81" spans="14:45">
      <c r="N81" t="s">
        <v>7</v>
      </c>
      <c r="P81" s="16">
        <f>P80-7</f>
        <v>44174.625</v>
      </c>
      <c r="Q81">
        <f>O82</f>
        <v>462</v>
      </c>
      <c r="R81" t="s">
        <v>7</v>
      </c>
      <c r="S81"/>
      <c r="T81" s="16">
        <f>T80-7</f>
        <v>44173.625</v>
      </c>
      <c r="U81">
        <f>S82</f>
        <v>477</v>
      </c>
      <c r="V81" t="s">
        <v>7</v>
      </c>
      <c r="X81" s="16">
        <f>X80-7</f>
        <v>44172.625</v>
      </c>
      <c r="Y81">
        <f>W82</f>
        <v>587</v>
      </c>
      <c r="Z81" t="s">
        <v>7</v>
      </c>
      <c r="AB81" s="16">
        <f>AB80-7</f>
        <v>44171.625</v>
      </c>
      <c r="AC81">
        <f>AA82</f>
        <v>281</v>
      </c>
      <c r="AD81" t="s">
        <v>7</v>
      </c>
      <c r="AE81"/>
      <c r="AF81" s="16">
        <f>AF80-7</f>
        <v>44170.625</v>
      </c>
      <c r="AG81">
        <f>AE82</f>
        <v>249</v>
      </c>
      <c r="AH81" t="s">
        <v>7</v>
      </c>
      <c r="AJ81" s="16">
        <f>AJ80-7</f>
        <v>44169.625</v>
      </c>
      <c r="AK81">
        <f>AI82</f>
        <v>472</v>
      </c>
      <c r="AL81" t="s">
        <v>7</v>
      </c>
      <c r="AN81" s="16">
        <f>AN80-7</f>
        <v>44168.625</v>
      </c>
      <c r="AO81">
        <f>AM82</f>
        <v>477</v>
      </c>
      <c r="AP81" t="s">
        <v>7</v>
      </c>
      <c r="AQ81"/>
      <c r="AR81" s="16">
        <f>AR80-7</f>
        <v>44167.625</v>
      </c>
      <c r="AS81">
        <f>AQ82</f>
        <v>494</v>
      </c>
    </row>
    <row r="82" spans="14:45">
      <c r="N82" s="22">
        <f>N80-7</f>
        <v>44174.625</v>
      </c>
      <c r="O82">
        <f>DMAX(_xlnm.database,"n",N81:N82)</f>
        <v>462</v>
      </c>
      <c r="P82" s="16">
        <f t="shared" ref="P82:P89" si="23">P81-7</f>
        <v>44167.625</v>
      </c>
      <c r="Q82">
        <f>O84</f>
        <v>494</v>
      </c>
      <c r="R82" s="22">
        <f>R80-7</f>
        <v>44173.625</v>
      </c>
      <c r="S82">
        <f>DMAX(_xlnm.database,"n",R81:R82)</f>
        <v>477</v>
      </c>
      <c r="T82" s="16">
        <f t="shared" ref="T82:T89" si="24">T81-7</f>
        <v>44166.625</v>
      </c>
      <c r="U82">
        <f>S84</f>
        <v>440</v>
      </c>
      <c r="V82" s="22">
        <f>V80-7</f>
        <v>44172.625</v>
      </c>
      <c r="W82">
        <f>DMAX(_xlnm.database,"n",V81:V82)</f>
        <v>587</v>
      </c>
      <c r="X82" s="16">
        <f t="shared" ref="X82:X89" si="25">X81-7</f>
        <v>44165.625</v>
      </c>
      <c r="Y82">
        <f>W84</f>
        <v>596</v>
      </c>
      <c r="Z82" s="22">
        <f>Z80-7</f>
        <v>44171.625</v>
      </c>
      <c r="AA82">
        <f>DMAX(_xlnm.database,"n",Z81:Z82)</f>
        <v>281</v>
      </c>
      <c r="AB82" s="16">
        <f t="shared" ref="AB82:AB89" si="26">AB81-7</f>
        <v>44164.625</v>
      </c>
      <c r="AC82">
        <f>AA84</f>
        <v>292</v>
      </c>
      <c r="AD82" s="22">
        <f>AD80-7</f>
        <v>44170.625</v>
      </c>
      <c r="AE82">
        <f>DMAX(_xlnm.database,"n",AD81:AD82)</f>
        <v>249</v>
      </c>
      <c r="AF82" s="16">
        <f t="shared" ref="AF82:AF89" si="27">AF81-7</f>
        <v>44163.625</v>
      </c>
      <c r="AG82">
        <f>AE84</f>
        <v>285</v>
      </c>
      <c r="AH82" s="22">
        <f>AH80-7</f>
        <v>44169.625</v>
      </c>
      <c r="AI82">
        <f>DMAX(_xlnm.database,"n",AH81:AH82)</f>
        <v>472</v>
      </c>
      <c r="AJ82" s="16">
        <f t="shared" ref="AJ82:AJ89" si="28">AJ81-7</f>
        <v>44162.625</v>
      </c>
      <c r="AK82">
        <f>AI84</f>
        <v>455</v>
      </c>
      <c r="AL82" s="22">
        <f>AL80-7</f>
        <v>44168.625</v>
      </c>
      <c r="AM82">
        <f>DMAX(_xlnm.database,"n",AL81:AL82)</f>
        <v>477</v>
      </c>
      <c r="AN82" s="16">
        <f t="shared" ref="AN82:AN89" si="29">AN81-7</f>
        <v>44161.625</v>
      </c>
      <c r="AO82">
        <f>AM84</f>
        <v>510</v>
      </c>
      <c r="AP82" s="22">
        <f>AP80-7</f>
        <v>44167.625</v>
      </c>
      <c r="AQ82">
        <f>DMAX(_xlnm.database,"n",AP81:AP82)</f>
        <v>494</v>
      </c>
      <c r="AR82" s="16">
        <f t="shared" ref="AR82:AR89" si="30">AR81-7</f>
        <v>44160.625</v>
      </c>
      <c r="AS82">
        <f>AQ84</f>
        <v>613</v>
      </c>
    </row>
    <row r="83" spans="14:45">
      <c r="N83" t="s">
        <v>7</v>
      </c>
      <c r="P83" s="16">
        <f t="shared" si="23"/>
        <v>44160.625</v>
      </c>
      <c r="Q83">
        <f>O86</f>
        <v>613</v>
      </c>
      <c r="R83" t="s">
        <v>7</v>
      </c>
      <c r="S83"/>
      <c r="T83" s="16">
        <f t="shared" si="24"/>
        <v>44159.625</v>
      </c>
      <c r="U83">
        <f>S86</f>
        <v>468</v>
      </c>
      <c r="V83" t="s">
        <v>7</v>
      </c>
      <c r="X83" s="16">
        <f t="shared" si="25"/>
        <v>44158.625</v>
      </c>
      <c r="Y83">
        <f>W86</f>
        <v>504</v>
      </c>
      <c r="Z83" t="s">
        <v>7</v>
      </c>
      <c r="AB83" s="16">
        <f t="shared" si="26"/>
        <v>44157.625</v>
      </c>
      <c r="AC83">
        <f>AA86</f>
        <v>267</v>
      </c>
      <c r="AD83" t="s">
        <v>7</v>
      </c>
      <c r="AE83"/>
      <c r="AF83" s="16">
        <f t="shared" si="27"/>
        <v>44156.625</v>
      </c>
      <c r="AG83">
        <f>AE86</f>
        <v>268</v>
      </c>
      <c r="AH83" t="s">
        <v>7</v>
      </c>
      <c r="AJ83" s="16">
        <f t="shared" si="28"/>
        <v>44155.625</v>
      </c>
      <c r="AK83">
        <f>AI86</f>
        <v>428</v>
      </c>
      <c r="AL83" t="s">
        <v>7</v>
      </c>
      <c r="AN83" s="16">
        <f t="shared" si="29"/>
        <v>44154.625</v>
      </c>
      <c r="AO83">
        <f>AM86</f>
        <v>478</v>
      </c>
      <c r="AP83" t="s">
        <v>7</v>
      </c>
      <c r="AQ83"/>
      <c r="AR83" s="16">
        <f t="shared" si="30"/>
        <v>44153.625</v>
      </c>
      <c r="AS83">
        <f>AQ86</f>
        <v>371</v>
      </c>
    </row>
    <row r="84" spans="14:45">
      <c r="N84" s="22">
        <f>N82-7</f>
        <v>44167.625</v>
      </c>
      <c r="O84">
        <f>DMAX(_xlnm.database,"n",N83:N84)</f>
        <v>494</v>
      </c>
      <c r="P84" s="16">
        <f t="shared" si="23"/>
        <v>44153.625</v>
      </c>
      <c r="Q84">
        <f>O88</f>
        <v>371</v>
      </c>
      <c r="R84" s="22">
        <f>R82-7</f>
        <v>44166.625</v>
      </c>
      <c r="S84">
        <f>DMAX(_xlnm.database,"n",R83:R84)</f>
        <v>440</v>
      </c>
      <c r="T84" s="16">
        <f t="shared" si="24"/>
        <v>44152.625</v>
      </c>
      <c r="U84">
        <f>S88</f>
        <v>391</v>
      </c>
      <c r="V84" s="22">
        <f>V82-7</f>
        <v>44165.625</v>
      </c>
      <c r="W84">
        <f>DMAX(_xlnm.database,"n",V83:V84)</f>
        <v>596</v>
      </c>
      <c r="X84" s="16">
        <f t="shared" si="25"/>
        <v>44151.625</v>
      </c>
      <c r="Y84">
        <f>W88</f>
        <v>392</v>
      </c>
      <c r="Z84" s="22">
        <f>Z82-7</f>
        <v>44164.625</v>
      </c>
      <c r="AA84">
        <f>DMAX(_xlnm.database,"n",Z83:Z84)</f>
        <v>292</v>
      </c>
      <c r="AB84" s="16">
        <f t="shared" si="26"/>
        <v>44150.625</v>
      </c>
      <c r="AC84">
        <f>AA88</f>
        <v>182</v>
      </c>
      <c r="AD84" s="22">
        <f>AD82-7</f>
        <v>44163.625</v>
      </c>
      <c r="AE84">
        <f>DMAX(_xlnm.database,"n",AD83:AD84)</f>
        <v>285</v>
      </c>
      <c r="AF84" s="16">
        <f t="shared" si="27"/>
        <v>44149.625</v>
      </c>
      <c r="AG84">
        <f>AE88</f>
        <v>145</v>
      </c>
      <c r="AH84" s="22">
        <f>AH82-7</f>
        <v>44162.625</v>
      </c>
      <c r="AI84">
        <f>DMAX(_xlnm.database,"n",AH83:AH84)</f>
        <v>455</v>
      </c>
      <c r="AJ84" s="16">
        <f t="shared" si="28"/>
        <v>44148.625</v>
      </c>
      <c r="AK84">
        <f>AI88</f>
        <v>266</v>
      </c>
      <c r="AL84" s="22">
        <f>AL82-7</f>
        <v>44161.625</v>
      </c>
      <c r="AM84">
        <f>DMAX(_xlnm.database,"n",AL83:AL84)</f>
        <v>510</v>
      </c>
      <c r="AN84" s="16">
        <f t="shared" si="29"/>
        <v>44147.625</v>
      </c>
      <c r="AO84">
        <f>AM88</f>
        <v>282</v>
      </c>
      <c r="AP84" s="22">
        <f>AP82-7</f>
        <v>44160.625</v>
      </c>
      <c r="AQ84">
        <f>DMAX(_xlnm.database,"n",AP83:AP84)</f>
        <v>613</v>
      </c>
      <c r="AR84" s="16">
        <f t="shared" si="30"/>
        <v>44146.625</v>
      </c>
      <c r="AS84">
        <f>AQ88</f>
        <v>293</v>
      </c>
    </row>
    <row r="85" spans="14:45">
      <c r="N85" t="s">
        <v>7</v>
      </c>
      <c r="P85" s="16">
        <f t="shared" si="23"/>
        <v>44146.625</v>
      </c>
      <c r="Q85">
        <f>O90</f>
        <v>293</v>
      </c>
      <c r="R85" t="s">
        <v>7</v>
      </c>
      <c r="S85"/>
      <c r="T85" s="16">
        <f t="shared" si="24"/>
        <v>44145.625</v>
      </c>
      <c r="U85">
        <f>S90</f>
        <v>205</v>
      </c>
      <c r="V85" t="s">
        <v>7</v>
      </c>
      <c r="X85" s="16">
        <f t="shared" si="25"/>
        <v>44144.625</v>
      </c>
      <c r="Y85">
        <f>W90</f>
        <v>273</v>
      </c>
      <c r="Z85" t="s">
        <v>7</v>
      </c>
      <c r="AB85" s="16">
        <f t="shared" si="26"/>
        <v>44143.625</v>
      </c>
      <c r="AC85">
        <f>AA90</f>
        <v>133</v>
      </c>
      <c r="AD85" t="s">
        <v>7</v>
      </c>
      <c r="AE85"/>
      <c r="AF85" s="16">
        <f t="shared" si="27"/>
        <v>44142.625</v>
      </c>
      <c r="AG85">
        <f>AE90</f>
        <v>128</v>
      </c>
      <c r="AH85" t="s">
        <v>7</v>
      </c>
      <c r="AJ85" s="16">
        <f t="shared" si="28"/>
        <v>44141.625</v>
      </c>
      <c r="AK85">
        <f>AI90</f>
        <v>196</v>
      </c>
      <c r="AL85" t="s">
        <v>7</v>
      </c>
      <c r="AN85" s="16">
        <f t="shared" si="29"/>
        <v>44140.625</v>
      </c>
      <c r="AO85">
        <f>AM90</f>
        <v>221</v>
      </c>
      <c r="AP85" t="s">
        <v>7</v>
      </c>
      <c r="AQ85"/>
      <c r="AR85" s="16">
        <f t="shared" si="30"/>
        <v>44139.625</v>
      </c>
      <c r="AS85">
        <f>AQ90</f>
        <v>213</v>
      </c>
    </row>
    <row r="86" spans="14:45">
      <c r="N86" s="22">
        <f>N84-7</f>
        <v>44160.625</v>
      </c>
      <c r="O86">
        <f>DMAX(_xlnm.database,"n",N85:N86)</f>
        <v>613</v>
      </c>
      <c r="P86" s="16">
        <f t="shared" si="23"/>
        <v>44139.625</v>
      </c>
      <c r="Q86">
        <f>O92</f>
        <v>213</v>
      </c>
      <c r="R86" s="22">
        <f>R84-7</f>
        <v>44159.625</v>
      </c>
      <c r="S86">
        <f>DMAX(_xlnm.database,"n",R85:R86)</f>
        <v>468</v>
      </c>
      <c r="T86" s="16">
        <f t="shared" si="24"/>
        <v>44138.625</v>
      </c>
      <c r="U86">
        <f>S92</f>
        <v>241</v>
      </c>
      <c r="V86" s="22">
        <f>V84-7</f>
        <v>44158.625</v>
      </c>
      <c r="W86">
        <f>DMAX(_xlnm.database,"n",V85:V86)</f>
        <v>504</v>
      </c>
      <c r="X86" s="16">
        <f t="shared" si="25"/>
        <v>44137.625</v>
      </c>
      <c r="Y86">
        <f>W92</f>
        <v>289</v>
      </c>
      <c r="Z86" s="22">
        <f>Z84-7</f>
        <v>44157.625</v>
      </c>
      <c r="AA86">
        <f>DMAX(_xlnm.database,"n",Z85:Z86)</f>
        <v>267</v>
      </c>
      <c r="AB86" s="16">
        <f t="shared" si="26"/>
        <v>44136.625</v>
      </c>
      <c r="AC86">
        <f>AA92</f>
        <v>150</v>
      </c>
      <c r="AD86" s="22">
        <f>AD84-7</f>
        <v>44156.625</v>
      </c>
      <c r="AE86">
        <f>DMAX(_xlnm.database,"n",AD85:AD86)</f>
        <v>268</v>
      </c>
      <c r="AF86" s="16">
        <f t="shared" si="27"/>
        <v>44135.625</v>
      </c>
      <c r="AG86">
        <f>AE92</f>
        <v>121</v>
      </c>
      <c r="AH86" s="22">
        <f>AH84-7</f>
        <v>44155.625</v>
      </c>
      <c r="AI86">
        <f>DMAX(_xlnm.database,"n",AH85:AH86)</f>
        <v>428</v>
      </c>
      <c r="AJ86" s="16">
        <f t="shared" si="28"/>
        <v>44134.625</v>
      </c>
      <c r="AK86">
        <f>AI92</f>
        <v>219</v>
      </c>
      <c r="AL86" s="22">
        <f>AL84-7</f>
        <v>44154.625</v>
      </c>
      <c r="AM86">
        <f>DMAX(_xlnm.database,"n",AL85:AL86)</f>
        <v>478</v>
      </c>
      <c r="AN86" s="16">
        <f t="shared" si="29"/>
        <v>44133.625</v>
      </c>
      <c r="AO86">
        <f>AM92</f>
        <v>237</v>
      </c>
      <c r="AP86" s="22">
        <f>AP84-7</f>
        <v>44153.625</v>
      </c>
      <c r="AQ86">
        <f>DMAX(_xlnm.database,"n",AP85:AP86)</f>
        <v>371</v>
      </c>
      <c r="AR86" s="16">
        <f t="shared" si="30"/>
        <v>44132.625</v>
      </c>
      <c r="AS86">
        <f>AQ92</f>
        <v>239</v>
      </c>
    </row>
    <row r="87" spans="14:45">
      <c r="N87" t="s">
        <v>7</v>
      </c>
      <c r="P87" s="16">
        <f t="shared" si="23"/>
        <v>44132.625</v>
      </c>
      <c r="Q87">
        <f>O94</f>
        <v>239</v>
      </c>
      <c r="R87" t="s">
        <v>7</v>
      </c>
      <c r="S87"/>
      <c r="T87" s="16">
        <f t="shared" si="24"/>
        <v>44131.625</v>
      </c>
      <c r="U87">
        <f>S94</f>
        <v>231</v>
      </c>
      <c r="V87" t="s">
        <v>7</v>
      </c>
      <c r="X87" s="16">
        <f t="shared" si="25"/>
        <v>44130.625</v>
      </c>
      <c r="Y87">
        <f>W94</f>
        <v>256</v>
      </c>
      <c r="Z87" t="s">
        <v>7</v>
      </c>
      <c r="AB87" s="16">
        <f t="shared" si="26"/>
        <v>44129.625</v>
      </c>
      <c r="AC87">
        <f>AA94</f>
        <v>124</v>
      </c>
      <c r="AD87" t="s">
        <v>7</v>
      </c>
      <c r="AE87"/>
      <c r="AF87" s="16">
        <f t="shared" si="27"/>
        <v>44128.625</v>
      </c>
      <c r="AG87">
        <f>AE94</f>
        <v>107</v>
      </c>
      <c r="AH87" t="s">
        <v>7</v>
      </c>
      <c r="AJ87" s="16">
        <f t="shared" si="28"/>
        <v>44127.625</v>
      </c>
      <c r="AK87">
        <f>AI94</f>
        <v>192</v>
      </c>
      <c r="AL87" t="s">
        <v>7</v>
      </c>
      <c r="AN87" s="16">
        <f t="shared" si="29"/>
        <v>44126.625</v>
      </c>
      <c r="AO87">
        <f>AM94</f>
        <v>220</v>
      </c>
      <c r="AP87" t="s">
        <v>7</v>
      </c>
      <c r="AQ87"/>
      <c r="AR87" s="16">
        <f t="shared" si="30"/>
        <v>44125.625</v>
      </c>
      <c r="AS87">
        <f>AQ94</f>
        <v>188</v>
      </c>
    </row>
    <row r="88" spans="14:45">
      <c r="N88" s="22">
        <f>N86-7</f>
        <v>44153.625</v>
      </c>
      <c r="O88">
        <f>DMAX(_xlnm.database,"n",N87:N88)</f>
        <v>371</v>
      </c>
      <c r="P88" s="16">
        <f>P87-7</f>
        <v>44125.625</v>
      </c>
      <c r="Q88">
        <f>O96</f>
        <v>188</v>
      </c>
      <c r="R88" s="22">
        <f>R86-7</f>
        <v>44152.625</v>
      </c>
      <c r="S88">
        <f>DMAX(_xlnm.database,"n",R87:R88)</f>
        <v>391</v>
      </c>
      <c r="T88" s="16">
        <f>T87-7</f>
        <v>44124.625</v>
      </c>
      <c r="U88">
        <f>S96</f>
        <v>166</v>
      </c>
      <c r="V88" s="22">
        <f>V86-7</f>
        <v>44151.625</v>
      </c>
      <c r="W88">
        <f>DMAX(_xlnm.database,"n",V87:V88)</f>
        <v>392</v>
      </c>
      <c r="X88" s="16">
        <f>X87-7</f>
        <v>44123.625</v>
      </c>
      <c r="Y88">
        <f>W96</f>
        <v>244</v>
      </c>
      <c r="Z88" s="22">
        <f>Z86-7</f>
        <v>44150.625</v>
      </c>
      <c r="AA88">
        <f>DMAX(_xlnm.database,"n",Z87:Z88)</f>
        <v>182</v>
      </c>
      <c r="AB88" s="16">
        <f>AB87-7</f>
        <v>44122.625</v>
      </c>
      <c r="AC88">
        <f>AA96</f>
        <v>129</v>
      </c>
      <c r="AD88" s="22">
        <f>AD86-7</f>
        <v>44149.625</v>
      </c>
      <c r="AE88">
        <f>DMAX(_xlnm.database,"n",AD87:AD88)</f>
        <v>145</v>
      </c>
      <c r="AF88" s="16">
        <f>AF87-7</f>
        <v>44121.625</v>
      </c>
      <c r="AG88">
        <f>AE96</f>
        <v>104</v>
      </c>
      <c r="AH88" s="22">
        <f>AH86-7</f>
        <v>44148.625</v>
      </c>
      <c r="AI88">
        <f>DMAX(_xlnm.database,"n",AH87:AH88)</f>
        <v>266</v>
      </c>
      <c r="AJ88" s="16">
        <f>AJ87-7</f>
        <v>44120.625</v>
      </c>
      <c r="AK88">
        <f>AI96</f>
        <v>195</v>
      </c>
      <c r="AL88" s="22">
        <f>AL86-7</f>
        <v>44147.625</v>
      </c>
      <c r="AM88">
        <f>DMAX(_xlnm.database,"n",AL87:AL88)</f>
        <v>282</v>
      </c>
      <c r="AN88" s="16">
        <f>AN87-7</f>
        <v>44119.625</v>
      </c>
      <c r="AO88">
        <f>AM96</f>
        <v>190</v>
      </c>
      <c r="AP88" s="22">
        <f>AP86-7</f>
        <v>44146.625</v>
      </c>
      <c r="AQ88">
        <f>DMAX(_xlnm.database,"n",AP87:AP88)</f>
        <v>293</v>
      </c>
      <c r="AR88" s="16">
        <f>AR87-7</f>
        <v>44118.625</v>
      </c>
      <c r="AS88">
        <f>AQ96</f>
        <v>201</v>
      </c>
    </row>
    <row r="89" spans="14:45">
      <c r="N89" t="s">
        <v>7</v>
      </c>
      <c r="P89" s="16">
        <f t="shared" si="23"/>
        <v>44118.625</v>
      </c>
      <c r="Q89">
        <f>O98</f>
        <v>201</v>
      </c>
      <c r="R89" t="s">
        <v>7</v>
      </c>
      <c r="S89"/>
      <c r="T89" s="16">
        <f t="shared" si="24"/>
        <v>44117.625</v>
      </c>
      <c r="U89">
        <f>S98</f>
        <v>199</v>
      </c>
      <c r="V89" t="s">
        <v>7</v>
      </c>
      <c r="X89" s="16">
        <f t="shared" si="25"/>
        <v>44116.625</v>
      </c>
      <c r="Y89">
        <f>W98</f>
        <v>255</v>
      </c>
      <c r="Z89" t="s">
        <v>7</v>
      </c>
      <c r="AB89" s="16">
        <f t="shared" si="26"/>
        <v>44115.625</v>
      </c>
      <c r="AC89">
        <f>AA98</f>
        <v>130</v>
      </c>
      <c r="AD89" t="s">
        <v>7</v>
      </c>
      <c r="AE89"/>
      <c r="AF89" s="16">
        <f t="shared" si="27"/>
        <v>44114.625</v>
      </c>
      <c r="AG89">
        <f>AE98</f>
        <v>109</v>
      </c>
      <c r="AH89" t="s">
        <v>7</v>
      </c>
      <c r="AJ89" s="16">
        <f t="shared" si="28"/>
        <v>44113.625</v>
      </c>
      <c r="AK89">
        <f>AI98</f>
        <v>227</v>
      </c>
      <c r="AL89" t="s">
        <v>7</v>
      </c>
      <c r="AN89" s="16">
        <f t="shared" si="29"/>
        <v>44112.625</v>
      </c>
      <c r="AO89">
        <f>AM98</f>
        <v>258</v>
      </c>
      <c r="AP89" t="s">
        <v>7</v>
      </c>
      <c r="AQ89"/>
      <c r="AR89" s="16">
        <f t="shared" si="30"/>
        <v>44111.625</v>
      </c>
      <c r="AS89">
        <f>AQ98</f>
        <v>306</v>
      </c>
    </row>
    <row r="90" spans="14:45">
      <c r="N90" s="22">
        <f>N88-7</f>
        <v>44146.625</v>
      </c>
      <c r="O90">
        <f>DMAX(_xlnm.database,"n",N89:N90)</f>
        <v>293</v>
      </c>
      <c r="R90" s="22">
        <f>R88-7</f>
        <v>44145.625</v>
      </c>
      <c r="S90">
        <f>DMAX(_xlnm.database,"n",R89:R90)</f>
        <v>205</v>
      </c>
      <c r="T90" s="16"/>
      <c r="V90" s="22">
        <f>V88-7</f>
        <v>44144.625</v>
      </c>
      <c r="W90">
        <f>DMAX(_xlnm.database,"n",V89:V90)</f>
        <v>273</v>
      </c>
      <c r="X90" s="16"/>
      <c r="Y90"/>
      <c r="Z90" s="22">
        <f>Z88-7</f>
        <v>44143.625</v>
      </c>
      <c r="AA90">
        <f>DMAX(_xlnm.database,"n",Z89:Z90)</f>
        <v>133</v>
      </c>
      <c r="AD90" s="22">
        <f>AD88-7</f>
        <v>44142.625</v>
      </c>
      <c r="AE90">
        <f>DMAX(_xlnm.database,"n",AD89:AD90)</f>
        <v>128</v>
      </c>
      <c r="AF90" s="16"/>
      <c r="AH90" s="22">
        <f>AH88-7</f>
        <v>44141.625</v>
      </c>
      <c r="AI90">
        <f>DMAX(_xlnm.database,"n",AH89:AH90)</f>
        <v>196</v>
      </c>
      <c r="AJ90" s="16"/>
      <c r="AK90"/>
      <c r="AL90" s="22">
        <f>AL88-7</f>
        <v>44140.625</v>
      </c>
      <c r="AM90">
        <f>DMAX(_xlnm.database,"n",AL89:AL90)</f>
        <v>221</v>
      </c>
      <c r="AP90" s="22">
        <f>AP88-7</f>
        <v>44139.625</v>
      </c>
      <c r="AQ90">
        <f>DMAX(_xlnm.database,"n",AP89:AP90)</f>
        <v>213</v>
      </c>
      <c r="AR90" s="16"/>
    </row>
    <row r="91" spans="14:45">
      <c r="N91" t="s">
        <v>7</v>
      </c>
      <c r="R91" t="s">
        <v>7</v>
      </c>
      <c r="S91"/>
      <c r="T91" s="16"/>
      <c r="V91" t="s">
        <v>7</v>
      </c>
      <c r="X91" s="16"/>
      <c r="Y91"/>
      <c r="Z91" t="s">
        <v>7</v>
      </c>
      <c r="AD91" t="s">
        <v>7</v>
      </c>
      <c r="AE91"/>
      <c r="AF91" s="16"/>
      <c r="AH91" t="s">
        <v>7</v>
      </c>
      <c r="AJ91" s="16"/>
      <c r="AK91"/>
      <c r="AL91" t="s">
        <v>7</v>
      </c>
      <c r="AP91" t="s">
        <v>7</v>
      </c>
      <c r="AQ91"/>
      <c r="AR91" s="16"/>
    </row>
    <row r="92" spans="14:45">
      <c r="N92" s="22">
        <f>N90-7</f>
        <v>44139.625</v>
      </c>
      <c r="O92">
        <f>DMAX(_xlnm.database,"n",N91:N92)</f>
        <v>213</v>
      </c>
      <c r="R92" s="22">
        <f>R90-7</f>
        <v>44138.625</v>
      </c>
      <c r="S92">
        <f>DMAX(_xlnm.database,"n",R91:R92)</f>
        <v>241</v>
      </c>
      <c r="T92" s="16"/>
      <c r="V92" s="22">
        <f>V90-7</f>
        <v>44137.625</v>
      </c>
      <c r="W92">
        <f>DMAX(_xlnm.database,"n",V91:V92)</f>
        <v>289</v>
      </c>
      <c r="X92" s="16"/>
      <c r="Y92"/>
      <c r="Z92" s="22">
        <f>Z90-7</f>
        <v>44136.625</v>
      </c>
      <c r="AA92">
        <f>DMAX(_xlnm.database,"n",Z91:Z92)</f>
        <v>150</v>
      </c>
      <c r="AD92" s="22">
        <f>AD90-7</f>
        <v>44135.625</v>
      </c>
      <c r="AE92">
        <f>DMAX(_xlnm.database,"n",AD91:AD92)</f>
        <v>121</v>
      </c>
      <c r="AF92" s="16"/>
      <c r="AH92" s="22">
        <f>AH90-7</f>
        <v>44134.625</v>
      </c>
      <c r="AI92">
        <f>DMAX(_xlnm.database,"n",AH91:AH92)</f>
        <v>219</v>
      </c>
      <c r="AJ92" s="16"/>
      <c r="AK92"/>
      <c r="AL92" s="22">
        <f>AL90-7</f>
        <v>44133.625</v>
      </c>
      <c r="AM92">
        <f>DMAX(_xlnm.database,"n",AL91:AL92)</f>
        <v>237</v>
      </c>
      <c r="AP92" s="22">
        <f>AP90-7</f>
        <v>44132.625</v>
      </c>
      <c r="AQ92">
        <f>DMAX(_xlnm.database,"n",AP91:AP92)</f>
        <v>239</v>
      </c>
      <c r="AR92" s="16"/>
    </row>
    <row r="93" spans="14:45">
      <c r="N93" t="s">
        <v>7</v>
      </c>
      <c r="R93" t="s">
        <v>7</v>
      </c>
      <c r="S93"/>
      <c r="T93" s="16"/>
      <c r="V93" t="s">
        <v>7</v>
      </c>
      <c r="X93" s="16"/>
      <c r="Y93"/>
      <c r="Z93" t="s">
        <v>7</v>
      </c>
      <c r="AD93" t="s">
        <v>7</v>
      </c>
      <c r="AE93"/>
      <c r="AF93" s="16"/>
      <c r="AH93" t="s">
        <v>7</v>
      </c>
      <c r="AJ93" s="16"/>
      <c r="AK93"/>
      <c r="AL93" t="s">
        <v>7</v>
      </c>
      <c r="AP93" t="s">
        <v>7</v>
      </c>
      <c r="AQ93"/>
      <c r="AR93" s="16"/>
    </row>
    <row r="94" spans="14:45">
      <c r="N94" s="22">
        <f>N92-7</f>
        <v>44132.625</v>
      </c>
      <c r="O94">
        <f>DMAX(_xlnm.database,"n",N93:N94)</f>
        <v>239</v>
      </c>
      <c r="R94" s="22">
        <f>R92-7</f>
        <v>44131.625</v>
      </c>
      <c r="S94">
        <f>DMAX(_xlnm.database,"n",R93:R94)</f>
        <v>231</v>
      </c>
      <c r="T94" s="16"/>
      <c r="V94" s="22">
        <f>V92-7</f>
        <v>44130.625</v>
      </c>
      <c r="W94">
        <f>DMAX(_xlnm.database,"n",V93:V94)</f>
        <v>256</v>
      </c>
      <c r="X94" s="16"/>
      <c r="Y94"/>
      <c r="Z94" s="22">
        <f>Z92-7</f>
        <v>44129.625</v>
      </c>
      <c r="AA94">
        <f>DMAX(_xlnm.database,"n",Z93:Z94)</f>
        <v>124</v>
      </c>
      <c r="AD94" s="22">
        <f>AD92-7</f>
        <v>44128.625</v>
      </c>
      <c r="AE94">
        <f>DMAX(_xlnm.database,"n",AD93:AD94)</f>
        <v>107</v>
      </c>
      <c r="AF94" s="16"/>
      <c r="AH94" s="22">
        <f>AH92-7</f>
        <v>44127.625</v>
      </c>
      <c r="AI94">
        <f>DMAX(_xlnm.database,"n",AH93:AH94)</f>
        <v>192</v>
      </c>
      <c r="AJ94" s="16"/>
      <c r="AK94"/>
      <c r="AL94" s="22">
        <f>AL92-7</f>
        <v>44126.625</v>
      </c>
      <c r="AM94">
        <f>DMAX(_xlnm.database,"n",AL93:AL94)</f>
        <v>220</v>
      </c>
      <c r="AP94" s="22">
        <f>AP92-7</f>
        <v>44125.625</v>
      </c>
      <c r="AQ94">
        <f>DMAX(_xlnm.database,"n",AP93:AP94)</f>
        <v>188</v>
      </c>
      <c r="AR94" s="16"/>
    </row>
    <row r="95" spans="14:45">
      <c r="N95" t="s">
        <v>7</v>
      </c>
      <c r="R95" t="s">
        <v>7</v>
      </c>
      <c r="S95"/>
      <c r="T95" s="16"/>
      <c r="V95" t="s">
        <v>7</v>
      </c>
      <c r="X95" s="16"/>
      <c r="Y95"/>
      <c r="Z95" t="s">
        <v>7</v>
      </c>
      <c r="AD95" t="s">
        <v>7</v>
      </c>
      <c r="AE95"/>
      <c r="AF95" s="16"/>
      <c r="AH95" t="s">
        <v>7</v>
      </c>
      <c r="AJ95" s="16"/>
      <c r="AK95"/>
      <c r="AL95" t="s">
        <v>7</v>
      </c>
      <c r="AP95" t="s">
        <v>7</v>
      </c>
      <c r="AQ95"/>
      <c r="AR95" s="16"/>
    </row>
    <row r="96" spans="14:45">
      <c r="N96" s="22">
        <f>N94-7</f>
        <v>44125.625</v>
      </c>
      <c r="O96">
        <f>DMAX(_xlnm.database,"n",N95:N96)</f>
        <v>188</v>
      </c>
      <c r="R96" s="22">
        <f>R94-7</f>
        <v>44124.625</v>
      </c>
      <c r="S96">
        <f>DMAX(_xlnm.database,"n",R95:R96)</f>
        <v>166</v>
      </c>
      <c r="T96" s="16"/>
      <c r="V96" s="22">
        <f>V94-7</f>
        <v>44123.625</v>
      </c>
      <c r="W96">
        <f>DMAX(_xlnm.database,"n",V95:V96)</f>
        <v>244</v>
      </c>
      <c r="X96" s="16"/>
      <c r="Y96"/>
      <c r="Z96" s="22">
        <f>Z94-7</f>
        <v>44122.625</v>
      </c>
      <c r="AA96">
        <f>DMAX(_xlnm.database,"n",Z95:Z96)</f>
        <v>129</v>
      </c>
      <c r="AD96" s="22">
        <f>AD94-7</f>
        <v>44121.625</v>
      </c>
      <c r="AE96">
        <f>DMAX(_xlnm.database,"n",AD95:AD96)</f>
        <v>104</v>
      </c>
      <c r="AF96" s="16"/>
      <c r="AH96" s="22">
        <f>AH94-7</f>
        <v>44120.625</v>
      </c>
      <c r="AI96">
        <f>DMAX(_xlnm.database,"n",AH95:AH96)</f>
        <v>195</v>
      </c>
      <c r="AJ96" s="16"/>
      <c r="AK96"/>
      <c r="AL96" s="22">
        <f>AL94-7</f>
        <v>44119.625</v>
      </c>
      <c r="AM96">
        <f>DMAX(_xlnm.database,"n",AL95:AL96)</f>
        <v>190</v>
      </c>
      <c r="AP96" s="22">
        <f>AP94-7</f>
        <v>44118.625</v>
      </c>
      <c r="AQ96">
        <f>DMAX(_xlnm.database,"n",AP95:AP96)</f>
        <v>201</v>
      </c>
      <c r="AR96" s="16"/>
    </row>
    <row r="97" spans="14:44">
      <c r="N97" t="s">
        <v>7</v>
      </c>
      <c r="R97" t="s">
        <v>7</v>
      </c>
      <c r="S97"/>
      <c r="T97" s="16"/>
      <c r="V97" t="s">
        <v>7</v>
      </c>
      <c r="X97" s="16"/>
      <c r="Y97"/>
      <c r="Z97" t="s">
        <v>7</v>
      </c>
      <c r="AD97" t="s">
        <v>7</v>
      </c>
      <c r="AE97"/>
      <c r="AF97" s="16"/>
      <c r="AH97" t="s">
        <v>7</v>
      </c>
      <c r="AJ97" s="16"/>
      <c r="AK97"/>
      <c r="AL97" t="s">
        <v>7</v>
      </c>
      <c r="AP97" t="s">
        <v>7</v>
      </c>
      <c r="AQ97"/>
      <c r="AR97" s="16"/>
    </row>
    <row r="98" spans="14:44">
      <c r="N98" s="22">
        <f>N96-7</f>
        <v>44118.625</v>
      </c>
      <c r="O98">
        <f>DMAX(_xlnm.database,"n",N97:N98)</f>
        <v>201</v>
      </c>
      <c r="R98" s="22">
        <f>R96-7</f>
        <v>44117.625</v>
      </c>
      <c r="S98">
        <f>DMAX(_xlnm.database,"n",R97:R98)</f>
        <v>199</v>
      </c>
      <c r="T98" s="16"/>
      <c r="V98" s="22">
        <f>V96-7</f>
        <v>44116.625</v>
      </c>
      <c r="W98">
        <f>DMAX(_xlnm.database,"n",V97:V98)</f>
        <v>255</v>
      </c>
      <c r="X98" s="16"/>
      <c r="Y98"/>
      <c r="Z98" s="22">
        <f>Z96-7</f>
        <v>44115.625</v>
      </c>
      <c r="AA98">
        <f>DMAX(_xlnm.database,"n",Z97:Z98)</f>
        <v>130</v>
      </c>
      <c r="AD98" s="22">
        <f>AD96-7</f>
        <v>44114.625</v>
      </c>
      <c r="AE98">
        <f>DMAX(_xlnm.database,"n",AD97:AD98)</f>
        <v>109</v>
      </c>
      <c r="AF98" s="16"/>
      <c r="AH98" s="22">
        <f>AH96-7</f>
        <v>44113.625</v>
      </c>
      <c r="AI98">
        <f>DMAX(_xlnm.database,"n",AH97:AH98)</f>
        <v>227</v>
      </c>
      <c r="AJ98" s="16"/>
      <c r="AK98"/>
      <c r="AL98" s="22">
        <f>AL96-7</f>
        <v>44112.625</v>
      </c>
      <c r="AM98">
        <f>DMAX(_xlnm.database,"n",AL97:AL98)</f>
        <v>258</v>
      </c>
      <c r="AP98" s="22">
        <f>AP96-7</f>
        <v>44111.625</v>
      </c>
      <c r="AQ98">
        <f>DMAX(_xlnm.database,"n",AP97:AP98)</f>
        <v>306</v>
      </c>
      <c r="AR98" s="16"/>
    </row>
    <row r="101" spans="14:44" ht="18.45">
      <c r="N101" s="23" t="str">
        <f>" COVID-19 tapauksia 7 päivän välein "&amp;TEXT(R104,"p.k")&amp;" saakka (- uusin ... vanhin)"</f>
        <v xml:space="preserve"> COVID-19 tapauksia 7 päivän välein 16.12 saakka (- uusin ... vanhin)</v>
      </c>
    </row>
    <row r="103" spans="14:44">
      <c r="R103" t="s">
        <v>7</v>
      </c>
      <c r="S103"/>
      <c r="T103" s="16"/>
    </row>
    <row r="104" spans="14:44">
      <c r="R104" s="22">
        <f>N80</f>
        <v>44181.625</v>
      </c>
      <c r="S104">
        <f>DMAX(_xlnm.database,"n",R103:R104)</f>
        <v>338</v>
      </c>
      <c r="T104" s="21">
        <f>R104</f>
        <v>44181.625</v>
      </c>
      <c r="U104">
        <f>S104</f>
        <v>338</v>
      </c>
    </row>
    <row r="105" spans="14:44">
      <c r="R105" t="s">
        <v>7</v>
      </c>
      <c r="S105"/>
      <c r="T105" s="16">
        <f>T104-1</f>
        <v>44180.625</v>
      </c>
      <c r="U105">
        <f>S106</f>
        <v>352</v>
      </c>
    </row>
    <row r="106" spans="14:44">
      <c r="R106" s="22">
        <f>R104-1</f>
        <v>44180.625</v>
      </c>
      <c r="S106">
        <f>DMAX(_xlnm.database,"n",R105:R106)</f>
        <v>352</v>
      </c>
      <c r="T106" s="16">
        <f t="shared" ref="T106:T140" si="31">T105-1</f>
        <v>44179.625</v>
      </c>
      <c r="U106">
        <f>S108</f>
        <v>460</v>
      </c>
    </row>
    <row r="107" spans="14:44">
      <c r="R107" t="s">
        <v>7</v>
      </c>
      <c r="S107"/>
      <c r="T107" s="16">
        <f t="shared" si="31"/>
        <v>44178.625</v>
      </c>
      <c r="U107">
        <f>S110</f>
        <v>273</v>
      </c>
    </row>
    <row r="108" spans="14:44">
      <c r="R108" s="22">
        <f>R106-1</f>
        <v>44179.625</v>
      </c>
      <c r="S108">
        <f>DMAX(_xlnm.database,"n",R107:R108)</f>
        <v>460</v>
      </c>
      <c r="T108" s="16">
        <f t="shared" si="31"/>
        <v>44177.625</v>
      </c>
      <c r="U108">
        <f>S112</f>
        <v>250</v>
      </c>
    </row>
    <row r="109" spans="14:44">
      <c r="R109" t="s">
        <v>7</v>
      </c>
      <c r="S109"/>
      <c r="T109" s="16">
        <f t="shared" si="31"/>
        <v>44176.625</v>
      </c>
      <c r="U109">
        <f>S114</f>
        <v>445</v>
      </c>
    </row>
    <row r="110" spans="14:44">
      <c r="R110" s="22">
        <f>R108-1</f>
        <v>44178.625</v>
      </c>
      <c r="S110">
        <f>DMAX(_xlnm.database,"n",R109:R110)</f>
        <v>273</v>
      </c>
      <c r="T110" s="16">
        <f t="shared" si="31"/>
        <v>44175.625</v>
      </c>
      <c r="U110">
        <f>S116</f>
        <v>408</v>
      </c>
    </row>
    <row r="111" spans="14:44">
      <c r="R111" t="s">
        <v>7</v>
      </c>
      <c r="S111"/>
      <c r="T111" s="16">
        <f t="shared" si="31"/>
        <v>44174.625</v>
      </c>
      <c r="U111">
        <f>S118</f>
        <v>462</v>
      </c>
    </row>
    <row r="112" spans="14:44">
      <c r="R112" s="22">
        <f>R110-1</f>
        <v>44177.625</v>
      </c>
      <c r="S112">
        <f>DMAX(_xlnm.database,"n",R111:R112)</f>
        <v>250</v>
      </c>
      <c r="T112" s="16">
        <f t="shared" si="31"/>
        <v>44173.625</v>
      </c>
      <c r="U112">
        <f>S120</f>
        <v>477</v>
      </c>
    </row>
    <row r="113" spans="18:21">
      <c r="R113" t="s">
        <v>7</v>
      </c>
      <c r="S113"/>
      <c r="T113" s="16">
        <f t="shared" si="31"/>
        <v>44172.625</v>
      </c>
      <c r="U113">
        <f>S122</f>
        <v>587</v>
      </c>
    </row>
    <row r="114" spans="18:21">
      <c r="R114" s="22">
        <f>R112-1</f>
        <v>44176.625</v>
      </c>
      <c r="S114">
        <f>DMAX(_xlnm.database,"n",R113:R114)</f>
        <v>445</v>
      </c>
      <c r="T114" s="16">
        <f t="shared" si="31"/>
        <v>44171.625</v>
      </c>
      <c r="U114">
        <f>S124</f>
        <v>281</v>
      </c>
    </row>
    <row r="115" spans="18:21">
      <c r="R115" t="s">
        <v>7</v>
      </c>
      <c r="S115"/>
      <c r="T115" s="16">
        <f t="shared" si="31"/>
        <v>44170.625</v>
      </c>
      <c r="U115">
        <f>S126</f>
        <v>249</v>
      </c>
    </row>
    <row r="116" spans="18:21">
      <c r="R116" s="22">
        <f>R114-1</f>
        <v>44175.625</v>
      </c>
      <c r="S116">
        <f>DMAX(_xlnm.database,"n",R115:R116)</f>
        <v>408</v>
      </c>
      <c r="T116" s="16">
        <f t="shared" si="31"/>
        <v>44169.625</v>
      </c>
      <c r="U116">
        <f>S128</f>
        <v>472</v>
      </c>
    </row>
    <row r="117" spans="18:21">
      <c r="R117" t="s">
        <v>7</v>
      </c>
      <c r="S117"/>
      <c r="T117" s="16">
        <f t="shared" si="31"/>
        <v>44168.625</v>
      </c>
      <c r="U117">
        <f>S130</f>
        <v>477</v>
      </c>
    </row>
    <row r="118" spans="18:21">
      <c r="R118" s="22">
        <f>R116-1</f>
        <v>44174.625</v>
      </c>
      <c r="S118">
        <f>DMAX(_xlnm.database,"n",R117:R118)</f>
        <v>462</v>
      </c>
      <c r="T118" s="16">
        <f t="shared" si="31"/>
        <v>44167.625</v>
      </c>
      <c r="U118">
        <f>S132</f>
        <v>494</v>
      </c>
    </row>
    <row r="119" spans="18:21">
      <c r="R119" t="s">
        <v>7</v>
      </c>
      <c r="S119"/>
      <c r="T119" s="16">
        <f t="shared" si="31"/>
        <v>44166.625</v>
      </c>
      <c r="U119">
        <f>S134</f>
        <v>440</v>
      </c>
    </row>
    <row r="120" spans="18:21">
      <c r="R120" s="22">
        <f>R118-1</f>
        <v>44173.625</v>
      </c>
      <c r="S120">
        <f>DMAX(_xlnm.database,"n",R119:R120)</f>
        <v>477</v>
      </c>
      <c r="T120" s="16">
        <f t="shared" si="31"/>
        <v>44165.625</v>
      </c>
      <c r="U120">
        <f>S136</f>
        <v>596</v>
      </c>
    </row>
    <row r="121" spans="18:21">
      <c r="R121" t="s">
        <v>7</v>
      </c>
      <c r="S121"/>
      <c r="T121" s="16">
        <f t="shared" si="31"/>
        <v>44164.625</v>
      </c>
      <c r="U121">
        <f>S138</f>
        <v>292</v>
      </c>
    </row>
    <row r="122" spans="18:21">
      <c r="R122" s="22">
        <f>R120-1</f>
        <v>44172.625</v>
      </c>
      <c r="S122">
        <f>DMAX(_xlnm.database,"n",R121:R122)</f>
        <v>587</v>
      </c>
      <c r="T122" s="16">
        <f t="shared" si="31"/>
        <v>44163.625</v>
      </c>
      <c r="U122">
        <f>S140</f>
        <v>285</v>
      </c>
    </row>
    <row r="123" spans="18:21">
      <c r="R123" t="s">
        <v>7</v>
      </c>
      <c r="S123"/>
      <c r="T123" s="16">
        <f t="shared" si="31"/>
        <v>44162.625</v>
      </c>
      <c r="U123">
        <f>S142</f>
        <v>455</v>
      </c>
    </row>
    <row r="124" spans="18:21">
      <c r="R124" s="22">
        <f>R122-1</f>
        <v>44171.625</v>
      </c>
      <c r="S124">
        <f>DMAX(_xlnm.database,"n",R123:R124)</f>
        <v>281</v>
      </c>
      <c r="T124" s="16">
        <f t="shared" si="31"/>
        <v>44161.625</v>
      </c>
      <c r="U124">
        <f>S144</f>
        <v>510</v>
      </c>
    </row>
    <row r="125" spans="18:21">
      <c r="R125" t="s">
        <v>7</v>
      </c>
      <c r="S125"/>
      <c r="T125" s="16">
        <f t="shared" si="31"/>
        <v>44160.625</v>
      </c>
      <c r="U125">
        <f>S146</f>
        <v>613</v>
      </c>
    </row>
    <row r="126" spans="18:21">
      <c r="R126" s="22">
        <f>R124-1</f>
        <v>44170.625</v>
      </c>
      <c r="S126">
        <f>DMAX(_xlnm.database,"n",R125:R126)</f>
        <v>249</v>
      </c>
      <c r="T126" s="16">
        <f t="shared" si="31"/>
        <v>44159.625</v>
      </c>
      <c r="U126">
        <f>S148</f>
        <v>468</v>
      </c>
    </row>
    <row r="127" spans="18:21">
      <c r="R127" t="s">
        <v>7</v>
      </c>
      <c r="S127"/>
      <c r="T127" s="16">
        <f t="shared" si="31"/>
        <v>44158.625</v>
      </c>
      <c r="U127">
        <f>S150</f>
        <v>504</v>
      </c>
    </row>
    <row r="128" spans="18:21">
      <c r="R128" s="22">
        <f>R126-1</f>
        <v>44169.625</v>
      </c>
      <c r="S128">
        <f>DMAX(_xlnm.database,"n",R127:R128)</f>
        <v>472</v>
      </c>
      <c r="T128" s="16">
        <f t="shared" si="31"/>
        <v>44157.625</v>
      </c>
      <c r="U128">
        <f>S152</f>
        <v>267</v>
      </c>
    </row>
    <row r="129" spans="18:21">
      <c r="R129" t="s">
        <v>7</v>
      </c>
      <c r="S129"/>
      <c r="T129" s="16">
        <f t="shared" si="31"/>
        <v>44156.625</v>
      </c>
      <c r="U129">
        <f>S154</f>
        <v>268</v>
      </c>
    </row>
    <row r="130" spans="18:21">
      <c r="R130" s="22">
        <f>R128-1</f>
        <v>44168.625</v>
      </c>
      <c r="S130">
        <f>DMAX(_xlnm.database,"n",R129:R130)</f>
        <v>477</v>
      </c>
      <c r="T130" s="16">
        <f t="shared" si="31"/>
        <v>44155.625</v>
      </c>
      <c r="U130">
        <f>S156</f>
        <v>428</v>
      </c>
    </row>
    <row r="131" spans="18:21">
      <c r="R131" t="s">
        <v>7</v>
      </c>
      <c r="S131"/>
      <c r="T131" s="16">
        <f t="shared" si="31"/>
        <v>44154.625</v>
      </c>
      <c r="U131">
        <f>S158</f>
        <v>478</v>
      </c>
    </row>
    <row r="132" spans="18:21">
      <c r="R132" s="22">
        <f>R130-1</f>
        <v>44167.625</v>
      </c>
      <c r="S132">
        <f>DMAX(_xlnm.database,"n",R131:R132)</f>
        <v>494</v>
      </c>
      <c r="T132" s="16">
        <f t="shared" si="31"/>
        <v>44153.625</v>
      </c>
      <c r="U132">
        <f>S160</f>
        <v>371</v>
      </c>
    </row>
    <row r="133" spans="18:21">
      <c r="R133" t="s">
        <v>7</v>
      </c>
      <c r="S133"/>
      <c r="T133" s="16">
        <f t="shared" si="31"/>
        <v>44152.625</v>
      </c>
      <c r="U133">
        <f>S162</f>
        <v>391</v>
      </c>
    </row>
    <row r="134" spans="18:21">
      <c r="R134" s="22">
        <f>R132-1</f>
        <v>44166.625</v>
      </c>
      <c r="S134">
        <f>DMAX(_xlnm.database,"n",R133:R134)</f>
        <v>440</v>
      </c>
      <c r="T134" s="16">
        <f t="shared" si="31"/>
        <v>44151.625</v>
      </c>
      <c r="U134">
        <f>S164</f>
        <v>392</v>
      </c>
    </row>
    <row r="135" spans="18:21">
      <c r="R135" t="s">
        <v>7</v>
      </c>
      <c r="S135"/>
      <c r="T135" s="16">
        <f t="shared" si="31"/>
        <v>44150.625</v>
      </c>
      <c r="U135">
        <f>S166</f>
        <v>182</v>
      </c>
    </row>
    <row r="136" spans="18:21">
      <c r="R136" s="22">
        <f>R134-1</f>
        <v>44165.625</v>
      </c>
      <c r="S136">
        <f>DMAX(_xlnm.database,"n",R135:R136)</f>
        <v>596</v>
      </c>
      <c r="T136" s="16">
        <f t="shared" si="31"/>
        <v>44149.625</v>
      </c>
      <c r="U136">
        <f>S168</f>
        <v>145</v>
      </c>
    </row>
    <row r="137" spans="18:21">
      <c r="R137" t="s">
        <v>7</v>
      </c>
      <c r="S137"/>
      <c r="T137" s="16">
        <f t="shared" si="31"/>
        <v>44148.625</v>
      </c>
      <c r="U137">
        <f>S170</f>
        <v>266</v>
      </c>
    </row>
    <row r="138" spans="18:21">
      <c r="R138" s="22">
        <f>R136-1</f>
        <v>44164.625</v>
      </c>
      <c r="S138">
        <f>DMAX(_xlnm.database,"n",R137:R138)</f>
        <v>292</v>
      </c>
      <c r="T138" s="16">
        <f t="shared" si="31"/>
        <v>44147.625</v>
      </c>
      <c r="U138">
        <f>S172</f>
        <v>282</v>
      </c>
    </row>
    <row r="139" spans="18:21">
      <c r="R139" t="s">
        <v>7</v>
      </c>
      <c r="S139"/>
      <c r="T139" s="16">
        <f t="shared" si="31"/>
        <v>44146.625</v>
      </c>
      <c r="U139">
        <f>S174</f>
        <v>293</v>
      </c>
    </row>
    <row r="140" spans="18:21">
      <c r="R140" s="22">
        <f>R138-1</f>
        <v>44163.625</v>
      </c>
      <c r="S140">
        <f>DMAX(_xlnm.database,"n",R139:R140)</f>
        <v>285</v>
      </c>
      <c r="T140" s="16">
        <f t="shared" si="31"/>
        <v>44145.625</v>
      </c>
      <c r="U140">
        <f>S176</f>
        <v>205</v>
      </c>
    </row>
    <row r="141" spans="18:21">
      <c r="R141" t="s">
        <v>7</v>
      </c>
      <c r="S141"/>
    </row>
    <row r="142" spans="18:21">
      <c r="R142" s="22">
        <f>R140-1</f>
        <v>44162.625</v>
      </c>
      <c r="S142">
        <f>DMAX(_xlnm.database,"n",R141:R142)</f>
        <v>455</v>
      </c>
    </row>
    <row r="143" spans="18:21">
      <c r="R143" t="s">
        <v>7</v>
      </c>
      <c r="S143"/>
    </row>
    <row r="144" spans="18:21">
      <c r="R144" s="22">
        <f>R142-1</f>
        <v>44161.625</v>
      </c>
      <c r="S144">
        <f>DMAX(_xlnm.database,"n",R143:R144)</f>
        <v>510</v>
      </c>
    </row>
    <row r="145" spans="18:19">
      <c r="R145" t="s">
        <v>7</v>
      </c>
      <c r="S145"/>
    </row>
    <row r="146" spans="18:19">
      <c r="R146" s="22">
        <f>R144-1</f>
        <v>44160.625</v>
      </c>
      <c r="S146">
        <f>DMAX(_xlnm.database,"n",R145:R146)</f>
        <v>613</v>
      </c>
    </row>
    <row r="147" spans="18:19">
      <c r="R147" t="s">
        <v>7</v>
      </c>
      <c r="S147"/>
    </row>
    <row r="148" spans="18:19">
      <c r="R148" s="22">
        <f>R146-1</f>
        <v>44159.625</v>
      </c>
      <c r="S148">
        <f>DMAX(_xlnm.database,"n",R147:R148)</f>
        <v>468</v>
      </c>
    </row>
    <row r="149" spans="18:19">
      <c r="R149" t="s">
        <v>7</v>
      </c>
      <c r="S149"/>
    </row>
    <row r="150" spans="18:19">
      <c r="R150" s="22">
        <f>R148-1</f>
        <v>44158.625</v>
      </c>
      <c r="S150">
        <f>DMAX(_xlnm.database,"n",R149:R150)</f>
        <v>504</v>
      </c>
    </row>
    <row r="151" spans="18:19">
      <c r="R151" t="s">
        <v>7</v>
      </c>
      <c r="S151"/>
    </row>
    <row r="152" spans="18:19">
      <c r="R152" s="22">
        <f>R150-1</f>
        <v>44157.625</v>
      </c>
      <c r="S152">
        <f>DMAX(_xlnm.database,"n",R151:R152)</f>
        <v>267</v>
      </c>
    </row>
    <row r="153" spans="18:19">
      <c r="R153" t="s">
        <v>7</v>
      </c>
      <c r="S153"/>
    </row>
    <row r="154" spans="18:19">
      <c r="R154" s="22">
        <f>R152-1</f>
        <v>44156.625</v>
      </c>
      <c r="S154">
        <f>DMAX(_xlnm.database,"n",R153:R154)</f>
        <v>268</v>
      </c>
    </row>
    <row r="155" spans="18:19">
      <c r="R155" t="s">
        <v>7</v>
      </c>
      <c r="S155"/>
    </row>
    <row r="156" spans="18:19">
      <c r="R156" s="22">
        <f>R154-1</f>
        <v>44155.625</v>
      </c>
      <c r="S156">
        <f>DMAX(_xlnm.database,"n",R155:R156)</f>
        <v>428</v>
      </c>
    </row>
    <row r="157" spans="18:19">
      <c r="R157" t="s">
        <v>7</v>
      </c>
      <c r="S157"/>
    </row>
    <row r="158" spans="18:19">
      <c r="R158" s="22">
        <f>R156-1</f>
        <v>44154.625</v>
      </c>
      <c r="S158">
        <f>DMAX(_xlnm.database,"n",R157:R158)</f>
        <v>478</v>
      </c>
    </row>
    <row r="159" spans="18:19">
      <c r="R159" t="s">
        <v>7</v>
      </c>
      <c r="S159"/>
    </row>
    <row r="160" spans="18:19">
      <c r="R160" s="22">
        <f>R158-1</f>
        <v>44153.625</v>
      </c>
      <c r="S160">
        <f>DMAX(_xlnm.database,"n",R159:R160)</f>
        <v>371</v>
      </c>
    </row>
    <row r="161" spans="18:19">
      <c r="R161" t="s">
        <v>7</v>
      </c>
      <c r="S161"/>
    </row>
    <row r="162" spans="18:19">
      <c r="R162" s="22">
        <f>R160-1</f>
        <v>44152.625</v>
      </c>
      <c r="S162">
        <f>DMAX(_xlnm.database,"n",R161:R162)</f>
        <v>391</v>
      </c>
    </row>
    <row r="163" spans="18:19">
      <c r="R163" t="s">
        <v>7</v>
      </c>
      <c r="S163"/>
    </row>
    <row r="164" spans="18:19">
      <c r="R164" s="22">
        <f>R162-1</f>
        <v>44151.625</v>
      </c>
      <c r="S164">
        <f>DMAX(_xlnm.database,"n",R163:R164)</f>
        <v>392</v>
      </c>
    </row>
    <row r="165" spans="18:19">
      <c r="R165" t="s">
        <v>7</v>
      </c>
      <c r="S165"/>
    </row>
    <row r="166" spans="18:19">
      <c r="R166" s="22">
        <f>R164-1</f>
        <v>44150.625</v>
      </c>
      <c r="S166">
        <f>DMAX(_xlnm.database,"n",R165:R166)</f>
        <v>182</v>
      </c>
    </row>
    <row r="167" spans="18:19">
      <c r="R167" t="s">
        <v>7</v>
      </c>
      <c r="S167"/>
    </row>
    <row r="168" spans="18:19">
      <c r="R168" s="22">
        <f>R166-1</f>
        <v>44149.625</v>
      </c>
      <c r="S168">
        <f>DMAX(_xlnm.database,"n",R167:R168)</f>
        <v>145</v>
      </c>
    </row>
    <row r="169" spans="18:19">
      <c r="R169" t="s">
        <v>7</v>
      </c>
      <c r="S169"/>
    </row>
    <row r="170" spans="18:19">
      <c r="R170" s="22">
        <f>R168-1</f>
        <v>44148.625</v>
      </c>
      <c r="S170">
        <f>DMAX(_xlnm.database,"n",R169:R170)</f>
        <v>266</v>
      </c>
    </row>
    <row r="171" spans="18:19">
      <c r="R171" t="s">
        <v>7</v>
      </c>
      <c r="S171"/>
    </row>
    <row r="172" spans="18:19">
      <c r="R172" s="22">
        <f>R170-1</f>
        <v>44147.625</v>
      </c>
      <c r="S172">
        <f>DMAX(_xlnm.database,"n",R171:R172)</f>
        <v>282</v>
      </c>
    </row>
    <row r="173" spans="18:19">
      <c r="R173" t="s">
        <v>7</v>
      </c>
      <c r="S173"/>
    </row>
    <row r="174" spans="18:19">
      <c r="R174" s="22">
        <f>R172-1</f>
        <v>44146.625</v>
      </c>
      <c r="S174">
        <f>DMAX(_xlnm.database,"n",R173:R174)</f>
        <v>293</v>
      </c>
    </row>
    <row r="175" spans="18:19">
      <c r="R175" t="s">
        <v>7</v>
      </c>
      <c r="S175"/>
    </row>
    <row r="176" spans="18:19">
      <c r="R176" s="22">
        <f>R174-1</f>
        <v>44145.625</v>
      </c>
      <c r="S176">
        <f>DMAX(_xlnm.database,"n",R175:R176)</f>
        <v>205</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2020-12-20T10:20:23Z</dcterms:modified>
</cp:coreProperties>
</file>