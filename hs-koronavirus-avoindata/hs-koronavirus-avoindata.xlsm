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0D8E20DF-2C20-489E-ADF3-A46CC04C56BE}"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<sst xmlns="http://schemas.openxmlformats.org/spreadsheetml/2006/main" count="675" uniqueCount="353">
  <si>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</si>
  <si>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</si>
  <si>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</si>
  <si>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</si>
  <si>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</si>
  <si>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</si>
  <si>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</si>
  <si>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</si>
  <si>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</si>
  <si>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</si>
  <si>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</si>
  <si>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</si>
  <si>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</si>
  <si>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</si>
  <si>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</si>
  <si>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</si>
  <si>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</si>
  <si>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</si>
  <si>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</si>
  <si>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</si>
  <si>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</si>
  <si>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</si>
  <si>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</si>
  <si>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</si>
  <si>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</si>
  <si>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</si>
  <si>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</si>
  <si>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</si>
  <si>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</si>
  <si>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</si>
  <si>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</si>
  <si>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</si>
  <si>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</si>
  <si>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</si>
  <si>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</si>
  <si>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</si>
  <si>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</si>
  <si>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</si>
  <si>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</si>
  <si>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</si>
  <si>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</si>
  <si>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</si>
  <si>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</si>
  <si>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</si>
  <si>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</si>
  <si>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</si>
  <si>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</si>
  <si>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</si>
  <si>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</si>
  <si>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</si>
  <si>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</si>
  <si>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</si>
  <si>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</si>
  <si>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</si>
  <si>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</si>
  <si>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</si>
  <si>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</si>
  <si>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</si>
  <si>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</si>
  <si>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</si>
  <si>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</si>
  <si>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</si>
  <si>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</si>
  <si>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</si>
  <si>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</si>
  <si>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</si>
  <si>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</si>
  <si>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</si>
  <si>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</si>
  <si>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</si>
  <si>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</si>
  <si>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</si>
  <si>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</si>
  <si>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</si>
  <si>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</si>
  <si>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</si>
  <si>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</si>
  <si>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</si>
  <si>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</si>
  <si>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</si>
  <si>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</si>
  <si>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</si>
  <si>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</si>
  <si>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</si>
  <si>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</si>
  <si>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</si>
  <si>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</si>
  <si>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</si>
  <si>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</si>
  <si>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</si>
  <si>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</si>
  <si>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</si>
  <si>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</si>
  <si>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</si>
  <si>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</si>
  <si>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</si>
  <si>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</si>
  <si>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</si>
  <si>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</si>
  <si>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</si>
  <si>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</si>
  <si>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</si>
  <si>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</si>
  <si>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</si>
  <si>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</si>
  <si>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</si>
  <si>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</si>
  <si>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</si>
  <si>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</si>
  <si>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</si>
  <si>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</si>
  <si>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</si>
  <si>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</si>
  <si>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</si>
  <si>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</si>
  <si>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</si>
  <si>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</si>
  <si>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</si>
  <si>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</si>
  <si>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</si>
  <si>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</si>
  <si>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</si>
  <si>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</si>
  <si>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</si>
  <si>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</si>
  <si>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</si>
  <si>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</si>
  <si>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</si>
  <si>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</si>
  <si>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</si>
  <si>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</si>
  <si>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</si>
  <si>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</si>
  <si>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</si>
  <si>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</si>
  <si>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</si>
  <si>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</si>
  <si>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</si>
  <si>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</si>
  <si>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</si>
  <si>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</si>
  <si>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</si>
  <si>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</si>
  <si>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</si>
  <si>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</si>
  <si>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</si>
  <si>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</si>
  <si>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</si>
  <si>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</si>
  <si>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</si>
  <si>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</si>
  <si>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</si>
  <si>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</si>
  <si>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</si>
  <si>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</si>
  <si>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</si>
  <si>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</si>
  <si>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</si>
  <si>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</si>
  <si>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</si>
  <si>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</si>
  <si>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</si>
  <si>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</si>
  <si>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</si>
  <si>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</si>
  <si>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</si>
  <si>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</si>
  <si>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</si>
  <si>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</si>
  <si>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</si>
  <si>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</si>
  <si>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</si>
  <si>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</si>
  <si>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</si>
  <si>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</si>
  <si>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</si>
  <si>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</si>
  <si>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</si>
  <si>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</si>
  <si>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</si>
  <si>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</si>
  <si>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</si>
  <si>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</si>
  <si>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</si>
  <si>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</si>
  <si>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</si>
  <si>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</si>
  <si>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</si>
  <si>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</si>
  <si>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</si>
  <si>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</si>
  <si>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</si>
  <si>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</si>
  <si>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</si>
  <si>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</si>
  <si>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</si>
  <si>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</si>
  <si>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</si>
  <si>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</si>
  <si>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</si>
  <si>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</si>
  <si>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</si>
  <si>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</si>
  <si>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</si>
  <si>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</si>
  <si>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</si>
  <si>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</si>
  <si>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</si>
  <si>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</si>
  <si>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</si>
  <si>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</si>
  <si>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</si>
  <si>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</si>
  <si>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</si>
  <si>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</si>
  <si>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</si>
  <si>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</si>
  <si>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</si>
  <si>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</si>
  <si>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</si>
  <si>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</si>
  <si>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</si>
  <si>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</si>
  <si>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</si>
  <si>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</si>
  <si>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</si>
  <si>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</si>
  <si>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</si>
  <si>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</si>
  <si>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</si>
  <si>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</si>
  <si>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</si>
  <si>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</si>
  <si>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</si>
  <si>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</si>
  <si>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</si>
  <si>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</si>
  <si>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</si>
  <si>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</si>
  <si>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</si>
  <si>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</si>
  <si>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</si>
  <si>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</si>
  <si>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</si>
  <si>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</si>
  <si>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</si>
  <si>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</si>
  <si>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</si>
  <si>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</si>
  <si>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</si>
  <si>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</si>
  <si>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</si>
  <si>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</si>
  <si>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</si>
  <si>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</si>
  <si>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</si>
  <si>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</si>
  <si>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</si>
  <si>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</si>
  <si>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</si>
  <si>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</si>
  <si>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</si>
  <si>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</si>
  <si>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</si>
  <si>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</si>
  <si>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</si>
  <si>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</si>
  <si>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</si>
  <si>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</si>
  <si>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</si>
  <si>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</si>
  <si>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</si>
  <si>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</si>
  <si>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</si>
  <si>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</si>
  <si>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</si>
  <si>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</si>
  <si>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</si>
  <si>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</si>
  <si>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</si>
  <si>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</si>
  <si>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</si>
  <si>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</si>
  <si>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</si>
  <si>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</si>
  <si>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</si>
  <si>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</si>
  <si>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</si>
  <si>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</si>
  <si>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</si>
  <si>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</si>
  <si>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</si>
  <si>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</si>
  <si>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</si>
  <si>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</si>
  <si>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</si>
  <si>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</si>
  <si>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</si>
  <si>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</si>
  <si>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</si>
  <si>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</si>
  <si>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</si>
  <si>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</si>
  <si>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</si>
  <si>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</si>
  <si>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</si>
  <si>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</si>
  <si>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</si>
  <si>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</si>
  <si>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</si>
  <si>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</si>
  <si>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</si>
  <si>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</si>
  <si>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</si>
  <si>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</si>
  <si>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</si>
  <si>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</si>
  <si>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</si>
  <si>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</si>
  <si>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</si>
  <si>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</si>
  <si>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</si>
  <si>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</si>
  <si>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</si>
  <si>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</si>
  <si>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</si>
  <si>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</si>
  <si>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</si>
  <si>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</si>
  <si>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</si>
  <si>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</si>
  <si>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</si>
  <si>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</si>
  <si>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</si>
  <si>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</si>
  <si>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</si>
  <si>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</si>
  <si>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</si>
  <si>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</si>
  <si>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</si>
  <si>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</si>
  <si>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</si>
  <si>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</si>
  <si>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</si>
  <si>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</si>
  <si>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</si>
  <si>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</si>
  <si>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</si>
  <si>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</si>
  <si>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</si>
  <si>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</si>
  <si>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</si>
  <si>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2020-11-17T09:38:18.911Z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</si>
</sst>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13.11 saakka. Suurin arvo 306, joka 7.10. Uusimpien 4 päivien arvot tulevat viiveellä, joten ne jätetty pois 17.11.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3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244</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194</c:v>
                </c:pt>
                <c:pt idx="311">
                  <c:v>130</c:v>
                </c:pt>
                <c:pt idx="312">
                  <c:v>133</c:v>
                </c:pt>
                <c:pt idx="313">
                  <c:v>276</c:v>
                </c:pt>
                <c:pt idx="314">
                  <c:v>211</c:v>
                </c:pt>
                <c:pt idx="315">
                  <c:v>288</c:v>
                </c:pt>
                <c:pt idx="316">
                  <c:v>235</c:v>
                </c:pt>
                <c:pt idx="317">
                  <c:v>218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3479</c:v>
                </c:pt>
                <c:pt idx="1">
                  <c:v>3123</c:v>
                </c:pt>
                <c:pt idx="2">
                  <c:v>3217</c:v>
                </c:pt>
                <c:pt idx="3">
                  <c:v>3125</c:v>
                </c:pt>
                <c:pt idx="4">
                  <c:v>2855</c:v>
                </c:pt>
                <c:pt idx="5">
                  <c:v>1809</c:v>
                </c:pt>
                <c:pt idx="6">
                  <c:v>2039</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numCache>
            </c:numRef>
          </c:cat>
          <c:val>
            <c:numRef>
              <c:f>Kuvaajat!$D$37:$D$64</c:f>
              <c:numCache>
                <c:formatCode>General</c:formatCode>
                <c:ptCount val="28"/>
                <c:pt idx="0">
                  <c:v>163</c:v>
                </c:pt>
                <c:pt idx="1">
                  <c:v>190</c:v>
                </c:pt>
                <c:pt idx="2">
                  <c:v>218</c:v>
                </c:pt>
                <c:pt idx="3">
                  <c:v>192</c:v>
                </c:pt>
                <c:pt idx="4">
                  <c:v>108</c:v>
                </c:pt>
                <c:pt idx="5">
                  <c:v>123</c:v>
                </c:pt>
                <c:pt idx="6">
                  <c:v>256</c:v>
                </c:pt>
                <c:pt idx="7">
                  <c:v>230</c:v>
                </c:pt>
                <c:pt idx="8">
                  <c:v>240</c:v>
                </c:pt>
                <c:pt idx="9">
                  <c:v>237</c:v>
                </c:pt>
                <c:pt idx="10">
                  <c:v>219</c:v>
                </c:pt>
                <c:pt idx="11">
                  <c:v>121</c:v>
                </c:pt>
                <c:pt idx="12">
                  <c:v>150</c:v>
                </c:pt>
                <c:pt idx="13">
                  <c:v>281</c:v>
                </c:pt>
                <c:pt idx="14">
                  <c:v>241</c:v>
                </c:pt>
                <c:pt idx="15">
                  <c:v>210</c:v>
                </c:pt>
                <c:pt idx="16">
                  <c:v>220</c:v>
                </c:pt>
                <c:pt idx="17">
                  <c:v>194</c:v>
                </c:pt>
                <c:pt idx="18">
                  <c:v>130</c:v>
                </c:pt>
                <c:pt idx="19">
                  <c:v>133</c:v>
                </c:pt>
                <c:pt idx="20">
                  <c:v>276</c:v>
                </c:pt>
                <c:pt idx="21">
                  <c:v>211</c:v>
                </c:pt>
                <c:pt idx="22">
                  <c:v>288</c:v>
                </c:pt>
                <c:pt idx="23">
                  <c:v>235</c:v>
                </c:pt>
                <c:pt idx="24">
                  <c:v>218</c:v>
                </c:pt>
                <c:pt idx="25">
                  <c:v>125</c:v>
                </c:pt>
                <c:pt idx="26">
                  <c:v>141</c:v>
                </c:pt>
                <c:pt idx="27">
                  <c:v>98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N=19647. Uusimmat 17.11 lisäykset punaisella n=228.</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numCache>
            </c:numRef>
          </c:cat>
          <c:val>
            <c:numRef>
              <c:f>Kuvaajat!$D$37:$D$64</c:f>
              <c:numCache>
                <c:formatCode>General</c:formatCode>
                <c:ptCount val="28"/>
                <c:pt idx="0">
                  <c:v>163</c:v>
                </c:pt>
                <c:pt idx="1">
                  <c:v>190</c:v>
                </c:pt>
                <c:pt idx="2">
                  <c:v>218</c:v>
                </c:pt>
                <c:pt idx="3">
                  <c:v>192</c:v>
                </c:pt>
                <c:pt idx="4">
                  <c:v>108</c:v>
                </c:pt>
                <c:pt idx="5">
                  <c:v>123</c:v>
                </c:pt>
                <c:pt idx="6">
                  <c:v>256</c:v>
                </c:pt>
                <c:pt idx="7">
                  <c:v>230</c:v>
                </c:pt>
                <c:pt idx="8">
                  <c:v>240</c:v>
                </c:pt>
                <c:pt idx="9">
                  <c:v>237</c:v>
                </c:pt>
                <c:pt idx="10">
                  <c:v>219</c:v>
                </c:pt>
                <c:pt idx="11">
                  <c:v>121</c:v>
                </c:pt>
                <c:pt idx="12">
                  <c:v>150</c:v>
                </c:pt>
                <c:pt idx="13">
                  <c:v>281</c:v>
                </c:pt>
                <c:pt idx="14">
                  <c:v>241</c:v>
                </c:pt>
                <c:pt idx="15">
                  <c:v>210</c:v>
                </c:pt>
                <c:pt idx="16">
                  <c:v>220</c:v>
                </c:pt>
                <c:pt idx="17">
                  <c:v>194</c:v>
                </c:pt>
                <c:pt idx="18">
                  <c:v>130</c:v>
                </c:pt>
                <c:pt idx="19">
                  <c:v>133</c:v>
                </c:pt>
                <c:pt idx="20">
                  <c:v>276</c:v>
                </c:pt>
                <c:pt idx="21">
                  <c:v>211</c:v>
                </c:pt>
                <c:pt idx="22">
                  <c:v>288</c:v>
                </c:pt>
                <c:pt idx="23">
                  <c:v>235</c:v>
                </c:pt>
                <c:pt idx="24">
                  <c:v>218</c:v>
                </c:pt>
                <c:pt idx="25">
                  <c:v>125</c:v>
                </c:pt>
                <c:pt idx="26">
                  <c:v>141</c:v>
                </c:pt>
                <c:pt idx="27">
                  <c:v>98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1</c:v>
                </c:pt>
                <c:pt idx="17">
                  <c:v>0</c:v>
                </c:pt>
                <c:pt idx="18">
                  <c:v>2</c:v>
                </c:pt>
                <c:pt idx="19">
                  <c:v>-1</c:v>
                </c:pt>
                <c:pt idx="20">
                  <c:v>-3</c:v>
                </c:pt>
                <c:pt idx="21">
                  <c:v>3</c:v>
                </c:pt>
                <c:pt idx="22">
                  <c:v>8</c:v>
                </c:pt>
                <c:pt idx="23">
                  <c:v>5</c:v>
                </c:pt>
                <c:pt idx="24">
                  <c:v>11</c:v>
                </c:pt>
                <c:pt idx="25">
                  <c:v>26</c:v>
                </c:pt>
                <c:pt idx="26">
                  <c:v>85</c:v>
                </c:pt>
                <c:pt idx="27">
                  <c:v>98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H2" sqref="H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19647</v>
      </c>
      <c r="I1" s="8">
        <v>44152.486805555556</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13.11 saakka. Suurin arvo 306, joka 7.10. Uusimpien 4 päivien arvot tulevat viiveellä, joten ne jätetty pois 17.11.</v>
      </c>
      <c r="M1" s="7">
        <f>COUNT(Id)-4-1</f>
        <v>317</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3479</v>
      </c>
    </row>
    <row r="31" spans="1:11">
      <c r="A31">
        <v>0</v>
      </c>
      <c r="B31" t="s">
        <v>263</v>
      </c>
      <c r="C31" t="s">
        <v>8</v>
      </c>
      <c r="E31" s="3">
        <f t="shared" si="0"/>
        <v>4</v>
      </c>
      <c r="F31" s="5">
        <v>43860.625</v>
      </c>
      <c r="I31">
        <v>2</v>
      </c>
      <c r="J31" t="s">
        <v>303</v>
      </c>
      <c r="K31">
        <f t="shared" si="1"/>
        <v>3123</v>
      </c>
    </row>
    <row r="32" spans="1:11">
      <c r="A32">
        <v>0</v>
      </c>
      <c r="B32" t="s">
        <v>264</v>
      </c>
      <c r="C32" t="s">
        <v>8</v>
      </c>
      <c r="E32" s="3">
        <f t="shared" si="0"/>
        <v>5</v>
      </c>
      <c r="F32" s="5">
        <v>43861.625</v>
      </c>
      <c r="I32">
        <v>3</v>
      </c>
      <c r="J32" t="s">
        <v>304</v>
      </c>
      <c r="K32">
        <f t="shared" si="1"/>
        <v>3217</v>
      </c>
    </row>
    <row r="33" spans="1:11">
      <c r="A33">
        <v>0</v>
      </c>
      <c r="B33" t="s">
        <v>265</v>
      </c>
      <c r="C33" t="s">
        <v>8</v>
      </c>
      <c r="E33" s="3">
        <f t="shared" si="0"/>
        <v>6</v>
      </c>
      <c r="F33" s="5">
        <v>43862.625</v>
      </c>
      <c r="I33">
        <v>4</v>
      </c>
      <c r="J33" t="s">
        <v>305</v>
      </c>
      <c r="K33">
        <f t="shared" si="1"/>
        <v>3125</v>
      </c>
    </row>
    <row r="34" spans="1:11">
      <c r="A34">
        <v>0</v>
      </c>
      <c r="B34" t="s">
        <v>266</v>
      </c>
      <c r="C34" t="s">
        <v>8</v>
      </c>
      <c r="E34" s="3">
        <f t="shared" si="0"/>
        <v>7</v>
      </c>
      <c r="F34" s="5">
        <v>43863.625</v>
      </c>
      <c r="I34">
        <v>5</v>
      </c>
      <c r="J34" t="s">
        <v>306</v>
      </c>
      <c r="K34">
        <f t="shared" si="1"/>
        <v>2855</v>
      </c>
    </row>
    <row r="35" spans="1:11">
      <c r="A35">
        <v>0</v>
      </c>
      <c r="B35" t="s">
        <v>267</v>
      </c>
      <c r="C35" t="s">
        <v>8</v>
      </c>
      <c r="E35" s="3">
        <f t="shared" si="0"/>
        <v>1</v>
      </c>
      <c r="F35" s="5">
        <v>43864.625</v>
      </c>
      <c r="I35">
        <v>6</v>
      </c>
      <c r="J35" t="s">
        <v>307</v>
      </c>
      <c r="K35">
        <f t="shared" si="1"/>
        <v>1809</v>
      </c>
    </row>
    <row r="36" spans="1:11">
      <c r="A36">
        <v>0</v>
      </c>
      <c r="B36" t="s">
        <v>268</v>
      </c>
      <c r="C36" t="s">
        <v>8</v>
      </c>
      <c r="E36" s="3">
        <f t="shared" si="0"/>
        <v>2</v>
      </c>
      <c r="F36" s="5">
        <v>43865.625</v>
      </c>
      <c r="I36">
        <v>7</v>
      </c>
      <c r="J36" t="s">
        <v>308</v>
      </c>
      <c r="K36">
        <f t="shared" si="1"/>
        <v>2039</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4</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21</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24"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134</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189</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146</v>
      </c>
      <c r="B279" t="s">
        <v>293</v>
      </c>
      <c r="C279" t="s">
        <v>8</v>
      </c>
      <c r="E279" s="3">
        <f t="shared" si="7"/>
        <v>7</v>
      </c>
      <c r="F279" s="5">
        <v>44108.625</v>
      </c>
      <c r="G279" t="str">
        <f t="shared" si="6"/>
        <v/>
      </c>
    </row>
    <row r="280" spans="1:8" s="10" customFormat="1">
      <c r="A280" s="10">
        <v>289</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190</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127</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218</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241</v>
      </c>
      <c r="B309" t="s">
        <v>338</v>
      </c>
      <c r="C309" t="s">
        <v>8</v>
      </c>
      <c r="E309" s="3">
        <f t="shared" si="7"/>
        <v>2</v>
      </c>
      <c r="F309" s="5">
        <v>44138.625</v>
      </c>
      <c r="G309" s="10" t="str">
        <f t="shared" ref="G309:G344" si="8">IF(WEEKDAY(F309,2)=1,"Maanantai","")</f>
        <v/>
      </c>
    </row>
    <row r="310" spans="1:8">
      <c r="A310">
        <v>210</v>
      </c>
      <c r="B310" t="s">
        <v>339</v>
      </c>
      <c r="C310" t="s">
        <v>8</v>
      </c>
      <c r="E310" s="3">
        <f t="shared" si="7"/>
        <v>3</v>
      </c>
      <c r="F310" s="5">
        <v>44139.625</v>
      </c>
      <c r="G310" s="10" t="str">
        <f t="shared" si="8"/>
        <v/>
      </c>
    </row>
    <row r="311" spans="1:8">
      <c r="A311">
        <v>220</v>
      </c>
      <c r="B311" t="s">
        <v>340</v>
      </c>
      <c r="C311" t="s">
        <v>8</v>
      </c>
      <c r="E311" s="3">
        <f t="shared" si="7"/>
        <v>4</v>
      </c>
      <c r="F311" s="5">
        <v>44140.625</v>
      </c>
      <c r="G311" s="10" t="str">
        <f t="shared" si="8"/>
        <v/>
      </c>
    </row>
    <row r="312" spans="1:8">
      <c r="A312">
        <v>194</v>
      </c>
      <c r="B312" t="s">
        <v>341</v>
      </c>
      <c r="C312" t="s">
        <v>8</v>
      </c>
      <c r="E312" s="3">
        <f t="shared" si="7"/>
        <v>5</v>
      </c>
      <c r="F312" s="5">
        <v>44141.625</v>
      </c>
      <c r="G312" s="10" t="str">
        <f t="shared" si="8"/>
        <v/>
      </c>
    </row>
    <row r="313" spans="1:8">
      <c r="A313">
        <v>130</v>
      </c>
      <c r="B313" t="s">
        <v>342</v>
      </c>
      <c r="C313" t="s">
        <v>8</v>
      </c>
      <c r="E313" s="3">
        <f t="shared" si="7"/>
        <v>6</v>
      </c>
      <c r="F313" s="5">
        <v>44142.625</v>
      </c>
      <c r="G313" s="10" t="str">
        <f t="shared" si="8"/>
        <v/>
      </c>
    </row>
    <row r="314" spans="1:8">
      <c r="A314">
        <v>133</v>
      </c>
      <c r="B314" t="s">
        <v>343</v>
      </c>
      <c r="C314" t="s">
        <v>8</v>
      </c>
      <c r="E314" s="3">
        <f t="shared" si="7"/>
        <v>7</v>
      </c>
      <c r="F314" s="5">
        <v>44143.625</v>
      </c>
      <c r="G314" s="10" t="str">
        <f t="shared" si="8"/>
        <v/>
      </c>
    </row>
    <row r="315" spans="1:8">
      <c r="A315">
        <v>276</v>
      </c>
      <c r="B315" t="s">
        <v>344</v>
      </c>
      <c r="C315" t="s">
        <v>8</v>
      </c>
      <c r="E315" s="3">
        <f t="shared" si="7"/>
        <v>1</v>
      </c>
      <c r="F315" s="5">
        <v>44144.625</v>
      </c>
      <c r="G315" s="10" t="str">
        <f t="shared" si="8"/>
        <v>Maanantai</v>
      </c>
    </row>
    <row r="316" spans="1:8">
      <c r="A316">
        <v>211</v>
      </c>
      <c r="B316" t="s">
        <v>345</v>
      </c>
      <c r="C316" t="s">
        <v>8</v>
      </c>
      <c r="E316" s="3">
        <f t="shared" si="7"/>
        <v>2</v>
      </c>
      <c r="F316" s="5">
        <v>44145.625</v>
      </c>
      <c r="G316" s="10" t="str">
        <f t="shared" si="8"/>
        <v/>
      </c>
    </row>
    <row r="317" spans="1:8">
      <c r="A317">
        <v>288</v>
      </c>
      <c r="B317" t="s">
        <v>346</v>
      </c>
      <c r="C317" t="s">
        <v>8</v>
      </c>
      <c r="E317" s="3">
        <f t="shared" si="7"/>
        <v>3</v>
      </c>
      <c r="F317" s="5">
        <v>44146.625</v>
      </c>
      <c r="G317" s="10" t="str">
        <f t="shared" si="8"/>
        <v/>
      </c>
    </row>
    <row r="318" spans="1:8">
      <c r="A318">
        <v>235</v>
      </c>
      <c r="B318" t="s">
        <v>347</v>
      </c>
      <c r="C318" t="s">
        <v>8</v>
      </c>
      <c r="E318" s="3">
        <f t="shared" si="7"/>
        <v>4</v>
      </c>
      <c r="F318" s="5">
        <v>44147.625</v>
      </c>
      <c r="G318" s="10" t="str">
        <f t="shared" si="8"/>
        <v/>
      </c>
    </row>
    <row r="319" spans="1:8">
      <c r="A319">
        <v>218</v>
      </c>
      <c r="B319" t="s">
        <v>348</v>
      </c>
      <c r="C319" t="s">
        <v>8</v>
      </c>
      <c r="E319" s="3">
        <f t="shared" si="7"/>
        <v>5</v>
      </c>
      <c r="F319" s="5">
        <v>44148.625</v>
      </c>
      <c r="G319" s="10" t="str">
        <f t="shared" si="8"/>
        <v/>
      </c>
    </row>
    <row r="320" spans="1:8">
      <c r="A320">
        <v>125</v>
      </c>
      <c r="B320" t="s">
        <v>349</v>
      </c>
      <c r="C320" t="s">
        <v>8</v>
      </c>
      <c r="E320" s="3">
        <f t="shared" si="7"/>
        <v>6</v>
      </c>
      <c r="F320" s="5">
        <v>44149.625</v>
      </c>
      <c r="G320" s="10" t="str">
        <f t="shared" si="8"/>
        <v/>
      </c>
    </row>
    <row r="321" spans="1:7">
      <c r="A321">
        <v>141</v>
      </c>
      <c r="B321" t="s">
        <v>350</v>
      </c>
      <c r="C321" t="s">
        <v>8</v>
      </c>
      <c r="E321" s="3">
        <f t="shared" si="7"/>
        <v>7</v>
      </c>
      <c r="F321" s="5">
        <v>44150.625</v>
      </c>
      <c r="G321" s="10" t="str">
        <f t="shared" si="8"/>
        <v/>
      </c>
    </row>
    <row r="322" spans="1:7">
      <c r="A322">
        <v>98</v>
      </c>
      <c r="B322" t="s">
        <v>351</v>
      </c>
      <c r="C322" t="s">
        <v>8</v>
      </c>
      <c r="E322" s="3">
        <f t="shared" si="7"/>
        <v>1</v>
      </c>
      <c r="F322" s="5">
        <v>44151.625</v>
      </c>
      <c r="G322" s="10" t="str">
        <f t="shared" si="8"/>
        <v>Maanantai</v>
      </c>
    </row>
    <row r="323" spans="1:7">
      <c r="A323">
        <v>0</v>
      </c>
      <c r="B323" t="s">
        <v>352</v>
      </c>
      <c r="C323" t="s">
        <v>8</v>
      </c>
      <c r="E323" s="3">
        <f t="shared" ref="E323" si="9">WEEKDAY(F323,2)</f>
        <v>2</v>
      </c>
      <c r="F323" s="5">
        <v>44152.401597222219</v>
      </c>
      <c r="G323" s="10" t="str">
        <f t="shared" si="8"/>
        <v/>
      </c>
    </row>
    <row r="324" spans="1:7">
      <c r="E324" s="3">
        <f t="shared" si="7"/>
        <v>6</v>
      </c>
      <c r="G324" s="10" t="str">
        <f t="shared" si="8"/>
        <v/>
      </c>
    </row>
    <row r="325" spans="1:7">
      <c r="E325" s="3">
        <f t="shared" ref="E325:E366" si="10">WEEKDAY(F325,2)</f>
        <v>6</v>
      </c>
      <c r="G325" s="10" t="str">
        <f t="shared" si="8"/>
        <v/>
      </c>
    </row>
    <row r="326" spans="1:7">
      <c r="E326" s="3">
        <f t="shared" si="10"/>
        <v>6</v>
      </c>
      <c r="G326" s="10" t="str">
        <f t="shared" si="8"/>
        <v/>
      </c>
    </row>
    <row r="327" spans="1:7">
      <c r="E327" s="3">
        <f t="shared" si="10"/>
        <v>6</v>
      </c>
      <c r="G327" s="10" t="str">
        <f t="shared" si="8"/>
        <v/>
      </c>
    </row>
    <row r="328" spans="1:7">
      <c r="E328" s="3">
        <f t="shared" si="10"/>
        <v>6</v>
      </c>
      <c r="G328" s="10" t="str">
        <f t="shared" si="8"/>
        <v/>
      </c>
    </row>
    <row r="329" spans="1:7">
      <c r="E329" s="3">
        <f t="shared" si="10"/>
        <v>6</v>
      </c>
      <c r="G329" s="10" t="str">
        <f t="shared" si="8"/>
        <v/>
      </c>
    </row>
    <row r="330" spans="1:7">
      <c r="E330" s="3">
        <f t="shared" si="10"/>
        <v>6</v>
      </c>
      <c r="G330" s="10" t="str">
        <f t="shared" si="8"/>
        <v/>
      </c>
    </row>
    <row r="331" spans="1:7">
      <c r="E331" s="3">
        <f t="shared" si="10"/>
        <v>6</v>
      </c>
      <c r="G331" s="10" t="str">
        <f t="shared" si="8"/>
        <v/>
      </c>
    </row>
    <row r="332" spans="1:7">
      <c r="E332" s="3">
        <f t="shared" si="10"/>
        <v>6</v>
      </c>
      <c r="G332" s="10" t="str">
        <f t="shared" si="8"/>
        <v/>
      </c>
    </row>
    <row r="333" spans="1:7">
      <c r="E333" s="3">
        <f t="shared" si="10"/>
        <v>6</v>
      </c>
      <c r="G333" s="10" t="str">
        <f>IF(WEEKDAY(F333,2)=1,"Maanantai","")</f>
        <v/>
      </c>
    </row>
    <row r="334" spans="1:7">
      <c r="E334" s="3">
        <f t="shared" si="10"/>
        <v>6</v>
      </c>
      <c r="G334" s="10" t="str">
        <f t="shared" si="8"/>
        <v/>
      </c>
    </row>
    <row r="335" spans="1:7">
      <c r="E335" s="3">
        <f t="shared" si="10"/>
        <v>6</v>
      </c>
      <c r="G335" s="10" t="str">
        <f t="shared" si="8"/>
        <v/>
      </c>
    </row>
    <row r="336" spans="1:7">
      <c r="E336" s="3">
        <f t="shared" si="10"/>
        <v>6</v>
      </c>
      <c r="G336" s="10" t="str">
        <f t="shared" si="8"/>
        <v/>
      </c>
    </row>
    <row r="337" spans="5:7">
      <c r="E337" s="3">
        <f t="shared" si="10"/>
        <v>6</v>
      </c>
      <c r="G337" s="10" t="str">
        <f t="shared" si="8"/>
        <v/>
      </c>
    </row>
    <row r="338" spans="5:7">
      <c r="E338" s="3">
        <f t="shared" si="10"/>
        <v>6</v>
      </c>
      <c r="G338" s="10" t="str">
        <f t="shared" si="8"/>
        <v/>
      </c>
    </row>
    <row r="339" spans="5:7">
      <c r="E339" s="3">
        <f t="shared" si="10"/>
        <v>6</v>
      </c>
      <c r="G339" s="10" t="str">
        <f t="shared" si="8"/>
        <v/>
      </c>
    </row>
    <row r="340" spans="5:7">
      <c r="E340" s="3">
        <f t="shared" si="10"/>
        <v>6</v>
      </c>
      <c r="G340" s="10" t="str">
        <f t="shared" si="8"/>
        <v/>
      </c>
    </row>
    <row r="341" spans="5:7">
      <c r="E341" s="3">
        <f t="shared" si="10"/>
        <v>6</v>
      </c>
      <c r="G341" s="10" t="str">
        <f t="shared" si="8"/>
        <v/>
      </c>
    </row>
    <row r="342" spans="5:7">
      <c r="E342" s="3">
        <f t="shared" si="10"/>
        <v>6</v>
      </c>
      <c r="G342" s="10" t="str">
        <f t="shared" si="8"/>
        <v/>
      </c>
    </row>
    <row r="343" spans="5:7">
      <c r="E343" s="3">
        <f t="shared" si="10"/>
        <v>6</v>
      </c>
      <c r="G343" s="10" t="str">
        <f t="shared" si="8"/>
        <v/>
      </c>
    </row>
    <row r="344" spans="5:7">
      <c r="E344" s="3">
        <f t="shared" si="10"/>
        <v>6</v>
      </c>
      <c r="G344" s="10" t="str">
        <f t="shared" si="8"/>
        <v/>
      </c>
    </row>
    <row r="345" spans="5:7">
      <c r="E345" s="3">
        <f t="shared" si="10"/>
        <v>6</v>
      </c>
    </row>
    <row r="346" spans="5:7">
      <c r="E346" s="3">
        <f t="shared" si="10"/>
        <v>6</v>
      </c>
    </row>
    <row r="347" spans="5:7">
      <c r="E347" s="3">
        <f t="shared" si="10"/>
        <v>6</v>
      </c>
    </row>
    <row r="348" spans="5:7">
      <c r="E348" s="3">
        <f t="shared" si="10"/>
        <v>6</v>
      </c>
    </row>
    <row r="349" spans="5:7">
      <c r="E349" s="3">
        <f t="shared" si="10"/>
        <v>6</v>
      </c>
    </row>
    <row r="350" spans="5:7">
      <c r="E350" s="3">
        <f t="shared" si="10"/>
        <v>6</v>
      </c>
    </row>
    <row r="351" spans="5:7">
      <c r="E351" s="3">
        <f t="shared" si="10"/>
        <v>6</v>
      </c>
    </row>
    <row r="352" spans="5:7">
      <c r="E352" s="3">
        <f t="shared" si="10"/>
        <v>6</v>
      </c>
    </row>
    <row r="353" spans="5:5">
      <c r="E353" s="3">
        <f t="shared" si="10"/>
        <v>6</v>
      </c>
    </row>
    <row r="354" spans="5:5">
      <c r="E354" s="3">
        <f t="shared" si="10"/>
        <v>6</v>
      </c>
    </row>
    <row r="355" spans="5:5">
      <c r="E355" s="3">
        <f t="shared" si="10"/>
        <v>6</v>
      </c>
    </row>
    <row r="356" spans="5:5">
      <c r="E356" s="3">
        <f t="shared" si="10"/>
        <v>6</v>
      </c>
    </row>
    <row r="357" spans="5:5">
      <c r="E357" s="3">
        <f t="shared" si="10"/>
        <v>6</v>
      </c>
    </row>
    <row r="358" spans="5:5">
      <c r="E358" s="3">
        <f t="shared" si="10"/>
        <v>6</v>
      </c>
    </row>
    <row r="359" spans="5:5">
      <c r="E359" s="3">
        <f t="shared" si="10"/>
        <v>6</v>
      </c>
    </row>
    <row r="360" spans="5:5">
      <c r="E360" s="3">
        <f t="shared" si="10"/>
        <v>6</v>
      </c>
    </row>
    <row r="361" spans="5:5">
      <c r="E361" s="3">
        <f t="shared" si="10"/>
        <v>6</v>
      </c>
    </row>
    <row r="362" spans="5:5">
      <c r="E362" s="3">
        <f t="shared" si="10"/>
        <v>6</v>
      </c>
    </row>
    <row r="363" spans="5:5">
      <c r="E363" s="3">
        <f t="shared" si="10"/>
        <v>6</v>
      </c>
    </row>
    <row r="364" spans="5:5">
      <c r="E364" s="3">
        <f t="shared" si="10"/>
        <v>6</v>
      </c>
    </row>
    <row r="365" spans="5:5">
      <c r="E365" s="3">
        <f t="shared" si="10"/>
        <v>6</v>
      </c>
    </row>
    <row r="366" spans="5:5">
      <c r="E366" s="3">
        <f t="shared" si="10"/>
        <v>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EB67"/>
  <sheetViews>
    <sheetView tabSelected="1" topLeftCell="A4" zoomScale="85" zoomScaleNormal="85" workbookViewId="0">
      <selection activeCell="M11" sqref="M11"/>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-8)</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17.11 n=228 (joista vanhoja yli 28 päivän takaisia kirjauksia -8). Yhteensä N=19647. Edelliset 7 päivää 1316 (päivittyy), 1404 (muutos -5 %), 1478 (18 %) ja 1250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17.11 n=228 (joista vanhoja yli 28 päivän takaisia kirjauksia -8). Yhteensä N=19647. Melko pysyvät 7 päivää 7.11-13.11 yhteensä 1491 (muutos 5 %), aiemmat 7 päivää 1417 (0 %) ja 1413 https://github.com/jussivirkkala/excel/tree/master/hs-koronavirus-avoindata</v>
      </c>
      <c r="B32" s="4"/>
    </row>
    <row r="33" spans="1:132">
      <c r="B33" s="4"/>
    </row>
    <row r="34" spans="1:132">
      <c r="A34" t="str">
        <f ca="1">"Kirjattuja COVID-19 tapauksia N="&amp;C65&amp;"."&amp;CHAR(32)&amp;"Uusimmat "&amp;TEXT(MAX(M:M),"p.kk")&amp;" lisäykset punaisella n="&amp;L65&amp;"."</f>
        <v>Kirjattuja COVID-19 tapauksia N=19647. Uusimmat 17.11 lisäykset punaisella n=228.</v>
      </c>
      <c r="B34" s="4"/>
    </row>
    <row r="35" spans="1:132">
      <c r="B35" s="4" t="s">
        <v>5</v>
      </c>
      <c r="C35" t="s">
        <v>0</v>
      </c>
      <c r="D35" t="s">
        <v>6</v>
      </c>
      <c r="E35">
        <f ca="1">SUM(E37:E65)</f>
        <v>236</v>
      </c>
      <c r="F35" t="s">
        <v>228</v>
      </c>
      <c r="M35" s="16" t="s">
        <v>312</v>
      </c>
      <c r="P35" s="16" t="s">
        <v>313</v>
      </c>
      <c r="S35" s="16" t="s">
        <v>314</v>
      </c>
    </row>
    <row r="36" spans="1:132">
      <c r="A36" t="str">
        <f ca="1">IF(WEEKDAY(B36,2)=1,"Ma","")</f>
        <v>Ma</v>
      </c>
      <c r="B36" s="4">
        <f ca="1">B37-1</f>
        <v>44123</v>
      </c>
      <c r="C36" s="11">
        <f t="shared" ref="C36:C65" ca="1" si="0">SUMIF(aika,"&lt;"&amp;(B36+1),Id)</f>
        <v>14199</v>
      </c>
    </row>
    <row r="37" spans="1:132" s="10" customFormat="1">
      <c r="A37" t="str">
        <f t="shared" ref="A37:A60" ca="1" si="1">IF(WEEKDAY(B37,2)=1,"Ma","")</f>
        <v/>
      </c>
      <c r="B37" s="9">
        <f t="shared" ref="B37:B62" ca="1" si="2">B38-1</f>
        <v>44124</v>
      </c>
      <c r="C37" s="10">
        <f t="shared" ca="1" si="0"/>
        <v>14362</v>
      </c>
      <c r="D37" s="10">
        <f t="shared" ref="D37" ca="1" si="3">C37-C36</f>
        <v>163</v>
      </c>
      <c r="E37" s="10">
        <f t="shared" ref="E37:E64" ca="1" si="4">_xlfn.IFNA(D37-F37,"")</f>
        <v>0</v>
      </c>
      <c r="F37" s="10">
        <f ca="1">VLOOKUP(B37,Previous,3,FALSE)</f>
        <v>163</v>
      </c>
      <c r="G37" s="10">
        <f ca="1">SUM(D37:D43)</f>
        <v>1250</v>
      </c>
      <c r="I37" s="10">
        <f ca="1">SUM(D37:D50)</f>
        <v>2728</v>
      </c>
      <c r="K37" s="14"/>
      <c r="M37" s="17">
        <v>44124</v>
      </c>
      <c r="N37" s="10">
        <v>14370</v>
      </c>
      <c r="O37" s="10">
        <v>163</v>
      </c>
      <c r="P37" s="17">
        <v>44124</v>
      </c>
      <c r="Q37" s="10">
        <v>14370</v>
      </c>
      <c r="R37" s="10">
        <v>163</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c r="DT37" s="10">
        <v>44121</v>
      </c>
      <c r="DU37" s="10">
        <v>13963</v>
      </c>
      <c r="DV37" s="10">
        <v>128</v>
      </c>
      <c r="DW37" s="10">
        <v>44123</v>
      </c>
      <c r="DX37" s="10">
        <v>14207</v>
      </c>
      <c r="DY37" s="10">
        <v>244</v>
      </c>
      <c r="DZ37" s="10">
        <v>44124</v>
      </c>
      <c r="EA37" s="10">
        <v>14370</v>
      </c>
      <c r="EB37" s="10">
        <v>163</v>
      </c>
    </row>
    <row r="38" spans="1:132">
      <c r="A38" t="str">
        <f t="shared" ca="1" si="1"/>
        <v/>
      </c>
      <c r="B38" s="4">
        <f t="shared" ca="1" si="2"/>
        <v>44125</v>
      </c>
      <c r="C38" s="11">
        <f t="shared" ca="1" si="0"/>
        <v>14552</v>
      </c>
      <c r="D38">
        <f t="shared" ref="D38" ca="1" si="5">C38-C37</f>
        <v>190</v>
      </c>
      <c r="E38" s="11">
        <f t="shared" ca="1" si="4"/>
        <v>0</v>
      </c>
      <c r="F38" s="11">
        <f t="shared" ref="F38:F65" ca="1" si="6">VLOOKUP(B38,Previous,3,FALSE)</f>
        <v>190</v>
      </c>
      <c r="K38" s="3"/>
      <c r="M38" s="16">
        <v>44125</v>
      </c>
      <c r="N38">
        <v>14560</v>
      </c>
      <c r="O38">
        <v>190</v>
      </c>
      <c r="P38" s="16">
        <v>44125</v>
      </c>
      <c r="Q38">
        <v>14560</v>
      </c>
      <c r="R38">
        <v>190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c r="DT38">
        <v>44123</v>
      </c>
      <c r="DU38">
        <v>14207</v>
      </c>
      <c r="DV38">
        <v>244</v>
      </c>
      <c r="DW38">
        <v>44124</v>
      </c>
      <c r="DX38">
        <v>14370</v>
      </c>
      <c r="DY38">
        <v>163</v>
      </c>
      <c r="DZ38">
        <v>44125</v>
      </c>
      <c r="EA38">
        <v>14560</v>
      </c>
      <c r="EB38">
        <v>190</v>
      </c>
    </row>
    <row r="39" spans="1:132">
      <c r="A39" t="str">
        <f t="shared" ca="1" si="1"/>
        <v/>
      </c>
      <c r="B39" s="4">
        <f t="shared" ca="1" si="2"/>
        <v>44126</v>
      </c>
      <c r="C39" s="11">
        <f t="shared" ca="1" si="0"/>
        <v>14770</v>
      </c>
      <c r="D39">
        <f t="shared" ref="D39" ca="1" si="7">C39-C38</f>
        <v>218</v>
      </c>
      <c r="E39" s="11">
        <f t="shared" ca="1" si="4"/>
        <v>0</v>
      </c>
      <c r="F39" s="11">
        <f t="shared" ca="1" si="6"/>
        <v>218</v>
      </c>
      <c r="K39" s="3"/>
      <c r="M39" s="16">
        <v>44126</v>
      </c>
      <c r="N39">
        <v>14778</v>
      </c>
      <c r="O39">
        <v>218</v>
      </c>
      <c r="P39" s="16">
        <v>44126</v>
      </c>
      <c r="Q39">
        <v>14778</v>
      </c>
      <c r="R39">
        <v>218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c r="DT39">
        <v>44124</v>
      </c>
      <c r="DU39">
        <v>14370</v>
      </c>
      <c r="DV39">
        <v>163</v>
      </c>
      <c r="DW39">
        <v>44125</v>
      </c>
      <c r="DX39">
        <v>14560</v>
      </c>
      <c r="DY39">
        <v>190</v>
      </c>
      <c r="DZ39">
        <v>44126</v>
      </c>
      <c r="EA39">
        <v>14778</v>
      </c>
      <c r="EB39">
        <v>218</v>
      </c>
    </row>
    <row r="40" spans="1:132">
      <c r="A40" t="str">
        <f t="shared" ca="1" si="1"/>
        <v/>
      </c>
      <c r="B40" s="4">
        <f t="shared" ca="1" si="2"/>
        <v>44127</v>
      </c>
      <c r="C40" s="11">
        <f t="shared" ca="1" si="0"/>
        <v>14962</v>
      </c>
      <c r="D40">
        <f t="shared" ref="D40" ca="1" si="8">C40-C39</f>
        <v>192</v>
      </c>
      <c r="E40" s="11">
        <f t="shared" ca="1" si="4"/>
        <v>0</v>
      </c>
      <c r="F40" s="11">
        <f t="shared" ca="1" si="6"/>
        <v>192</v>
      </c>
      <c r="J40" s="10">
        <f ca="1">SUM(D41:D47)</f>
        <v>1413</v>
      </c>
      <c r="K40" s="3"/>
      <c r="M40" s="16">
        <v>44127</v>
      </c>
      <c r="N40">
        <v>14970</v>
      </c>
      <c r="O40">
        <v>192</v>
      </c>
      <c r="P40" s="16">
        <v>44127</v>
      </c>
      <c r="Q40">
        <v>14970</v>
      </c>
      <c r="R40">
        <v>192</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c r="DT40">
        <v>44125</v>
      </c>
      <c r="DU40">
        <v>14560</v>
      </c>
      <c r="DV40">
        <v>190</v>
      </c>
      <c r="DW40">
        <v>44126</v>
      </c>
      <c r="DX40">
        <v>14778</v>
      </c>
      <c r="DY40">
        <v>218</v>
      </c>
      <c r="DZ40">
        <v>44127</v>
      </c>
      <c r="EA40">
        <v>14970</v>
      </c>
      <c r="EB40">
        <v>192</v>
      </c>
    </row>
    <row r="41" spans="1:132">
      <c r="A41" t="str">
        <f t="shared" ca="1" si="1"/>
        <v/>
      </c>
      <c r="B41" s="4">
        <f t="shared" ca="1" si="2"/>
        <v>44128</v>
      </c>
      <c r="C41" s="11">
        <f t="shared" ca="1" si="0"/>
        <v>15070</v>
      </c>
      <c r="D41">
        <f t="shared" ref="D41" ca="1" si="9">C41-C40</f>
        <v>108</v>
      </c>
      <c r="E41" s="11">
        <f t="shared" ca="1" si="4"/>
        <v>0</v>
      </c>
      <c r="F41" s="11">
        <f t="shared" ca="1" si="6"/>
        <v>108</v>
      </c>
      <c r="K41" s="3"/>
      <c r="M41" s="16">
        <v>44128</v>
      </c>
      <c r="N41">
        <v>15078</v>
      </c>
      <c r="O41">
        <v>108</v>
      </c>
      <c r="P41" s="16">
        <v>44128</v>
      </c>
      <c r="Q41">
        <v>15078</v>
      </c>
      <c r="R41">
        <v>108</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c r="DT41">
        <v>44126</v>
      </c>
      <c r="DU41">
        <v>14778</v>
      </c>
      <c r="DV41">
        <v>218</v>
      </c>
      <c r="DW41">
        <v>44127</v>
      </c>
      <c r="DX41">
        <v>14970</v>
      </c>
      <c r="DY41">
        <v>192</v>
      </c>
      <c r="DZ41">
        <v>44128</v>
      </c>
      <c r="EA41">
        <v>15078</v>
      </c>
      <c r="EB41">
        <v>108</v>
      </c>
    </row>
    <row r="42" spans="1:132">
      <c r="A42" t="str">
        <f t="shared" ca="1" si="1"/>
        <v/>
      </c>
      <c r="B42" s="4">
        <f t="shared" ca="1" si="2"/>
        <v>44129</v>
      </c>
      <c r="C42" s="11">
        <f t="shared" ca="1" si="0"/>
        <v>15193</v>
      </c>
      <c r="D42">
        <f t="shared" ref="D42" ca="1" si="10">C42-C41</f>
        <v>123</v>
      </c>
      <c r="E42" s="11">
        <f t="shared" ca="1" si="4"/>
        <v>0</v>
      </c>
      <c r="F42" s="11">
        <f t="shared" ca="1" si="6"/>
        <v>123</v>
      </c>
      <c r="K42" s="3"/>
      <c r="M42" s="16">
        <v>44129</v>
      </c>
      <c r="N42">
        <v>15201</v>
      </c>
      <c r="O42">
        <v>123</v>
      </c>
      <c r="P42" s="16">
        <v>44129</v>
      </c>
      <c r="Q42">
        <v>15201</v>
      </c>
      <c r="R42">
        <v>123</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c r="DT42">
        <v>44127</v>
      </c>
      <c r="DU42">
        <v>14970</v>
      </c>
      <c r="DV42">
        <v>192</v>
      </c>
      <c r="DW42">
        <v>44128</v>
      </c>
      <c r="DX42">
        <v>15078</v>
      </c>
      <c r="DY42">
        <v>108</v>
      </c>
      <c r="DZ42">
        <v>44129</v>
      </c>
      <c r="EA42">
        <v>15201</v>
      </c>
      <c r="EB42">
        <v>123</v>
      </c>
    </row>
    <row r="43" spans="1:132">
      <c r="A43" t="str">
        <f t="shared" ca="1" si="1"/>
        <v>Ma</v>
      </c>
      <c r="B43" s="4">
        <f t="shared" ca="1" si="2"/>
        <v>44130</v>
      </c>
      <c r="C43" s="11">
        <f t="shared" ca="1" si="0"/>
        <v>15449</v>
      </c>
      <c r="D43">
        <f t="shared" ref="D43" ca="1" si="11">C43-C42</f>
        <v>256</v>
      </c>
      <c r="E43" s="11">
        <f t="shared" ca="1" si="4"/>
        <v>0</v>
      </c>
      <c r="F43" s="11">
        <f t="shared" ca="1" si="6"/>
        <v>256</v>
      </c>
      <c r="G43" s="10"/>
      <c r="K43" s="3"/>
      <c r="M43" s="16">
        <v>44130</v>
      </c>
      <c r="N43">
        <v>15457</v>
      </c>
      <c r="O43">
        <v>256</v>
      </c>
      <c r="P43" s="16">
        <v>44130</v>
      </c>
      <c r="Q43">
        <v>15457</v>
      </c>
      <c r="R43">
        <v>256</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c r="DT43">
        <v>44128</v>
      </c>
      <c r="DU43">
        <v>15078</v>
      </c>
      <c r="DV43">
        <v>108</v>
      </c>
      <c r="DW43">
        <v>44129</v>
      </c>
      <c r="DX43">
        <v>15201</v>
      </c>
      <c r="DY43">
        <v>123</v>
      </c>
      <c r="DZ43">
        <v>44130</v>
      </c>
      <c r="EA43">
        <v>15457</v>
      </c>
      <c r="EB43">
        <v>256</v>
      </c>
    </row>
    <row r="44" spans="1:132" s="10" customFormat="1">
      <c r="A44" t="str">
        <f t="shared" ca="1" si="1"/>
        <v/>
      </c>
      <c r="B44" s="9">
        <f t="shared" ca="1" si="2"/>
        <v>44131</v>
      </c>
      <c r="C44" s="10">
        <f t="shared" ca="1" si="0"/>
        <v>15679</v>
      </c>
      <c r="D44" s="10">
        <f t="shared" ref="D44" ca="1" si="12">C44-C43</f>
        <v>230</v>
      </c>
      <c r="E44" s="10">
        <f t="shared" ca="1" si="4"/>
        <v>0</v>
      </c>
      <c r="F44" s="10">
        <f t="shared" ca="1" si="6"/>
        <v>230</v>
      </c>
      <c r="G44" s="10">
        <f ca="1">SUM(D44:D50)</f>
        <v>1478</v>
      </c>
      <c r="H44" s="10" t="str">
        <f ca="1">TEXT(G44/G37-1,"0 %")</f>
        <v>18 %</v>
      </c>
      <c r="I44" s="10">
        <f ca="1">SUM(D44:D57)</f>
        <v>2882</v>
      </c>
      <c r="K44" s="14"/>
      <c r="L44"/>
      <c r="M44" s="17">
        <v>44131</v>
      </c>
      <c r="N44" s="10">
        <v>15687</v>
      </c>
      <c r="O44" s="10">
        <v>230</v>
      </c>
      <c r="P44" s="17">
        <v>44131</v>
      </c>
      <c r="Q44" s="10">
        <v>15687</v>
      </c>
      <c r="R44" s="10">
        <v>230</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c r="DT44" s="10">
        <v>44129</v>
      </c>
      <c r="DU44" s="10">
        <v>15201</v>
      </c>
      <c r="DV44" s="10">
        <v>123</v>
      </c>
      <c r="DW44" s="10">
        <v>44130</v>
      </c>
      <c r="DX44" s="10">
        <v>15457</v>
      </c>
      <c r="DY44" s="10">
        <v>256</v>
      </c>
      <c r="DZ44" s="10">
        <v>44131</v>
      </c>
      <c r="EA44" s="10">
        <v>15687</v>
      </c>
      <c r="EB44" s="10">
        <v>230</v>
      </c>
    </row>
    <row r="45" spans="1:132">
      <c r="A45" t="str">
        <f t="shared" ca="1" si="1"/>
        <v/>
      </c>
      <c r="B45" s="4">
        <f t="shared" ca="1" si="2"/>
        <v>44132</v>
      </c>
      <c r="C45" s="11">
        <f t="shared" ca="1" si="0"/>
        <v>15919</v>
      </c>
      <c r="D45">
        <f t="shared" ref="D45" ca="1" si="13">C45-C44</f>
        <v>240</v>
      </c>
      <c r="E45" s="11">
        <f t="shared" ca="1" si="4"/>
        <v>0</v>
      </c>
      <c r="F45" s="11">
        <f t="shared" ca="1" si="6"/>
        <v>240</v>
      </c>
      <c r="K45" s="3"/>
      <c r="M45" s="16">
        <v>44132</v>
      </c>
      <c r="N45">
        <v>15927</v>
      </c>
      <c r="O45">
        <v>240</v>
      </c>
      <c r="P45" s="16">
        <v>44132</v>
      </c>
      <c r="Q45">
        <v>15927</v>
      </c>
      <c r="R45">
        <v>240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c r="DT45">
        <v>44130</v>
      </c>
      <c r="DU45">
        <v>15457</v>
      </c>
      <c r="DV45">
        <v>256</v>
      </c>
      <c r="DW45">
        <v>44131</v>
      </c>
      <c r="DX45">
        <v>15687</v>
      </c>
      <c r="DY45">
        <v>230</v>
      </c>
      <c r="DZ45">
        <v>44132</v>
      </c>
      <c r="EA45">
        <v>15927</v>
      </c>
      <c r="EB45">
        <v>240</v>
      </c>
    </row>
    <row r="46" spans="1:132">
      <c r="A46" t="str">
        <f t="shared" ca="1" si="1"/>
        <v/>
      </c>
      <c r="B46" s="4">
        <f t="shared" ca="1" si="2"/>
        <v>44133</v>
      </c>
      <c r="C46" s="11">
        <f t="shared" ca="1" si="0"/>
        <v>16156</v>
      </c>
      <c r="D46">
        <f t="shared" ref="D46" ca="1" si="14">C46-C45</f>
        <v>237</v>
      </c>
      <c r="E46" s="11">
        <f t="shared" ca="1" si="4"/>
        <v>0</v>
      </c>
      <c r="F46" s="11">
        <f t="shared" ca="1" si="6"/>
        <v>237</v>
      </c>
      <c r="K46" s="3"/>
      <c r="M46" s="16">
        <v>44133</v>
      </c>
      <c r="N46">
        <v>16164</v>
      </c>
      <c r="O46">
        <v>237</v>
      </c>
      <c r="P46" s="16">
        <v>44133</v>
      </c>
      <c r="Q46">
        <v>16164</v>
      </c>
      <c r="R46">
        <v>237</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c r="DT46">
        <v>44131</v>
      </c>
      <c r="DU46">
        <v>15687</v>
      </c>
      <c r="DV46">
        <v>230</v>
      </c>
      <c r="DW46">
        <v>44132</v>
      </c>
      <c r="DX46">
        <v>15927</v>
      </c>
      <c r="DY46">
        <v>240</v>
      </c>
      <c r="DZ46">
        <v>44133</v>
      </c>
      <c r="EA46">
        <v>16164</v>
      </c>
      <c r="EB46">
        <v>237</v>
      </c>
    </row>
    <row r="47" spans="1:132">
      <c r="A47" t="str">
        <f t="shared" ca="1" si="1"/>
        <v/>
      </c>
      <c r="B47" s="4">
        <f t="shared" ca="1" si="2"/>
        <v>44134</v>
      </c>
      <c r="C47" s="11">
        <f t="shared" ca="1" si="0"/>
        <v>16375</v>
      </c>
      <c r="D47">
        <f t="shared" ref="D47" ca="1" si="15">C47-C46</f>
        <v>219</v>
      </c>
      <c r="E47" s="11">
        <f t="shared" ca="1" si="4"/>
        <v>0</v>
      </c>
      <c r="F47" s="11">
        <f t="shared" ca="1" si="6"/>
        <v>219</v>
      </c>
      <c r="J47" s="10">
        <f ca="1">SUM(D48:D54)</f>
        <v>1417</v>
      </c>
      <c r="K47" s="10" t="str">
        <f ca="1">TEXT(J47/J40-1,"0 %")</f>
        <v>0 %</v>
      </c>
      <c r="M47" s="16">
        <v>44134</v>
      </c>
      <c r="N47">
        <v>16383</v>
      </c>
      <c r="O47">
        <v>219</v>
      </c>
      <c r="P47" s="16">
        <v>44134</v>
      </c>
      <c r="Q47">
        <v>16383</v>
      </c>
      <c r="R47">
        <v>219</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c r="DT47">
        <v>44132</v>
      </c>
      <c r="DU47">
        <v>15927</v>
      </c>
      <c r="DV47">
        <v>240</v>
      </c>
      <c r="DW47">
        <v>44133</v>
      </c>
      <c r="DX47">
        <v>16164</v>
      </c>
      <c r="DY47">
        <v>237</v>
      </c>
      <c r="DZ47">
        <v>44134</v>
      </c>
      <c r="EA47">
        <v>16383</v>
      </c>
      <c r="EB47">
        <v>219</v>
      </c>
    </row>
    <row r="48" spans="1:132">
      <c r="A48" t="str">
        <f t="shared" ca="1" si="1"/>
        <v/>
      </c>
      <c r="B48" s="4">
        <f t="shared" ca="1" si="2"/>
        <v>44135</v>
      </c>
      <c r="C48" s="11">
        <f t="shared" ca="1" si="0"/>
        <v>16496</v>
      </c>
      <c r="D48">
        <f t="shared" ref="D48" ca="1" si="16">C48-C47</f>
        <v>121</v>
      </c>
      <c r="E48" s="11">
        <f t="shared" ca="1" si="4"/>
        <v>0</v>
      </c>
      <c r="F48" s="11">
        <f t="shared" ca="1" si="6"/>
        <v>121</v>
      </c>
      <c r="K48" s="3"/>
      <c r="M48" s="16">
        <v>44135</v>
      </c>
      <c r="N48">
        <v>16504</v>
      </c>
      <c r="O48">
        <v>121</v>
      </c>
      <c r="P48" s="16">
        <v>44135</v>
      </c>
      <c r="Q48">
        <v>16504</v>
      </c>
      <c r="R48">
        <v>121</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c r="DT48">
        <v>44133</v>
      </c>
      <c r="DU48">
        <v>16164</v>
      </c>
      <c r="DV48">
        <v>237</v>
      </c>
      <c r="DW48">
        <v>44134</v>
      </c>
      <c r="DX48">
        <v>16383</v>
      </c>
      <c r="DY48">
        <v>219</v>
      </c>
      <c r="DZ48">
        <v>44135</v>
      </c>
      <c r="EA48">
        <v>16504</v>
      </c>
      <c r="EB48">
        <v>121</v>
      </c>
    </row>
    <row r="49" spans="1:132">
      <c r="A49" t="str">
        <f t="shared" ca="1" si="1"/>
        <v/>
      </c>
      <c r="B49" s="4">
        <f t="shared" ca="1" si="2"/>
        <v>44136</v>
      </c>
      <c r="C49" s="11">
        <f t="shared" ca="1" si="0"/>
        <v>16646</v>
      </c>
      <c r="D49">
        <f t="shared" ref="D49" ca="1" si="17">C49-C48</f>
        <v>150</v>
      </c>
      <c r="E49" s="11">
        <f t="shared" ca="1" si="4"/>
        <v>0</v>
      </c>
      <c r="F49" s="11">
        <f t="shared" ca="1" si="6"/>
        <v>150</v>
      </c>
      <c r="K49" s="3"/>
      <c r="M49" s="16">
        <v>44136</v>
      </c>
      <c r="N49">
        <v>16654</v>
      </c>
      <c r="O49">
        <v>150</v>
      </c>
      <c r="P49" s="16">
        <v>44136</v>
      </c>
      <c r="Q49">
        <v>16654</v>
      </c>
      <c r="R49">
        <v>150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c r="DT49">
        <v>44134</v>
      </c>
      <c r="DU49">
        <v>16383</v>
      </c>
      <c r="DV49">
        <v>219</v>
      </c>
      <c r="DW49">
        <v>44135</v>
      </c>
      <c r="DX49">
        <v>16504</v>
      </c>
      <c r="DY49">
        <v>121</v>
      </c>
      <c r="DZ49">
        <v>44136</v>
      </c>
      <c r="EA49">
        <v>16654</v>
      </c>
      <c r="EB49">
        <v>150</v>
      </c>
    </row>
    <row r="50" spans="1:132">
      <c r="A50" t="str">
        <f t="shared" ca="1" si="1"/>
        <v>Ma</v>
      </c>
      <c r="B50" s="4">
        <f t="shared" ca="1" si="2"/>
        <v>44137</v>
      </c>
      <c r="C50" s="11">
        <f t="shared" ca="1" si="0"/>
        <v>16927</v>
      </c>
      <c r="D50">
        <f t="shared" ref="D50" ca="1" si="18">C50-C49</f>
        <v>281</v>
      </c>
      <c r="E50" s="11">
        <f t="shared" ca="1" si="4"/>
        <v>0</v>
      </c>
      <c r="F50" s="11">
        <f ca="1">VLOOKUP(B50,Previous,3,FALSE)</f>
        <v>281</v>
      </c>
      <c r="K50" s="3"/>
      <c r="M50" s="16">
        <v>44137</v>
      </c>
      <c r="N50">
        <v>16935</v>
      </c>
      <c r="O50">
        <v>281</v>
      </c>
      <c r="P50" s="16">
        <v>44137</v>
      </c>
      <c r="Q50">
        <v>16935</v>
      </c>
      <c r="R50">
        <v>281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c r="DT50">
        <v>44135</v>
      </c>
      <c r="DU50">
        <v>16504</v>
      </c>
      <c r="DV50">
        <v>121</v>
      </c>
      <c r="DW50">
        <v>44136</v>
      </c>
      <c r="DX50">
        <v>16654</v>
      </c>
      <c r="DY50">
        <v>150</v>
      </c>
      <c r="DZ50">
        <v>44137</v>
      </c>
      <c r="EA50">
        <v>16935</v>
      </c>
      <c r="EB50">
        <v>281</v>
      </c>
    </row>
    <row r="51" spans="1:132" s="10" customFormat="1">
      <c r="A51" t="str">
        <f t="shared" ca="1" si="1"/>
        <v/>
      </c>
      <c r="B51" s="9">
        <f t="shared" ca="1" si="2"/>
        <v>44138</v>
      </c>
      <c r="C51" s="10">
        <f t="shared" ca="1" si="0"/>
        <v>17168</v>
      </c>
      <c r="D51" s="10">
        <f t="shared" ref="D51" ca="1" si="19">C51-C50</f>
        <v>241</v>
      </c>
      <c r="E51" s="10">
        <f t="shared" ca="1" si="4"/>
        <v>0</v>
      </c>
      <c r="F51" s="10">
        <f t="shared" ca="1" si="6"/>
        <v>241</v>
      </c>
      <c r="G51" s="10">
        <f ca="1">SUM(D51:D57)</f>
        <v>1404</v>
      </c>
      <c r="H51" s="10" t="str">
        <f ca="1">TEXT(G51/G44-1,"0 %")</f>
        <v>-5 %</v>
      </c>
      <c r="I51" s="10">
        <f ca="1">SUM(D51:D64)</f>
        <v>2720</v>
      </c>
      <c r="K51" s="14"/>
      <c r="L51"/>
      <c r="M51" s="17">
        <v>44138</v>
      </c>
      <c r="N51" s="10">
        <v>17176</v>
      </c>
      <c r="O51" s="10">
        <v>241</v>
      </c>
      <c r="P51" s="17">
        <v>44138</v>
      </c>
      <c r="Q51" s="10">
        <v>17176</v>
      </c>
      <c r="R51" s="10">
        <v>241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c r="DT51" s="10">
        <v>44136</v>
      </c>
      <c r="DU51" s="10">
        <v>16654</v>
      </c>
      <c r="DV51" s="10">
        <v>150</v>
      </c>
      <c r="DW51" s="10">
        <v>44137</v>
      </c>
      <c r="DX51" s="10">
        <v>16935</v>
      </c>
      <c r="DY51" s="10">
        <v>281</v>
      </c>
      <c r="DZ51" s="10">
        <v>44138</v>
      </c>
      <c r="EA51" s="10">
        <v>17176</v>
      </c>
      <c r="EB51" s="10">
        <v>241</v>
      </c>
    </row>
    <row r="52" spans="1:132">
      <c r="A52" t="str">
        <f t="shared" ca="1" si="1"/>
        <v/>
      </c>
      <c r="B52" s="4">
        <f t="shared" ca="1" si="2"/>
        <v>44139</v>
      </c>
      <c r="C52" s="11">
        <f t="shared" ca="1" si="0"/>
        <v>17378</v>
      </c>
      <c r="D52">
        <f t="shared" ref="D52:D63" ca="1" si="20">C52-C51</f>
        <v>210</v>
      </c>
      <c r="E52" s="11">
        <f t="shared" ca="1" si="4"/>
        <v>1</v>
      </c>
      <c r="F52" s="11">
        <f t="shared" ca="1" si="6"/>
        <v>209</v>
      </c>
      <c r="G52" s="10"/>
      <c r="K52" s="3"/>
      <c r="M52" s="16">
        <v>44139</v>
      </c>
      <c r="N52">
        <v>17385</v>
      </c>
      <c r="O52">
        <v>209</v>
      </c>
      <c r="P52" s="16">
        <v>44139</v>
      </c>
      <c r="Q52">
        <v>17385</v>
      </c>
      <c r="R52">
        <v>209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c r="DT52">
        <v>44137</v>
      </c>
      <c r="DU52">
        <v>16935</v>
      </c>
      <c r="DV52">
        <v>281</v>
      </c>
      <c r="DW52">
        <v>44138</v>
      </c>
      <c r="DX52">
        <v>17176</v>
      </c>
      <c r="DY52">
        <v>241</v>
      </c>
      <c r="DZ52">
        <v>44139</v>
      </c>
      <c r="EA52">
        <v>17385</v>
      </c>
      <c r="EB52">
        <v>209</v>
      </c>
    </row>
    <row r="53" spans="1:132">
      <c r="A53" t="str">
        <f t="shared" ca="1" si="1"/>
        <v/>
      </c>
      <c r="B53" s="4">
        <f t="shared" ca="1" si="2"/>
        <v>44140</v>
      </c>
      <c r="C53" s="11">
        <f t="shared" ca="1" si="0"/>
        <v>17598</v>
      </c>
      <c r="D53">
        <f t="shared" ca="1" si="20"/>
        <v>220</v>
      </c>
      <c r="E53" s="11">
        <f t="shared" ca="1" si="4"/>
        <v>1</v>
      </c>
      <c r="F53" s="11">
        <f t="shared" ca="1" si="6"/>
        <v>219</v>
      </c>
      <c r="J53" s="13"/>
      <c r="K53" s="3"/>
      <c r="M53" s="16">
        <v>44140</v>
      </c>
      <c r="N53">
        <v>17604</v>
      </c>
      <c r="O53">
        <v>219</v>
      </c>
      <c r="P53" s="16">
        <v>44140</v>
      </c>
      <c r="Q53">
        <v>17604</v>
      </c>
      <c r="R53">
        <v>219</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c r="DT53">
        <v>44138</v>
      </c>
      <c r="DU53">
        <v>17176</v>
      </c>
      <c r="DV53">
        <v>241</v>
      </c>
      <c r="DW53">
        <v>44139</v>
      </c>
      <c r="DX53">
        <v>17384</v>
      </c>
      <c r="DY53">
        <v>208</v>
      </c>
      <c r="DZ53">
        <v>44140</v>
      </c>
      <c r="EA53">
        <v>17604</v>
      </c>
      <c r="EB53">
        <v>219</v>
      </c>
    </row>
    <row r="54" spans="1:132">
      <c r="A54" t="str">
        <f t="shared" ca="1" si="1"/>
        <v/>
      </c>
      <c r="B54" s="4">
        <f t="shared" ca="1" si="2"/>
        <v>44141</v>
      </c>
      <c r="C54" s="11">
        <f t="shared" ca="1" si="0"/>
        <v>17792</v>
      </c>
      <c r="D54">
        <f t="shared" ca="1" si="20"/>
        <v>194</v>
      </c>
      <c r="E54" s="11">
        <f t="shared" ca="1" si="4"/>
        <v>0</v>
      </c>
      <c r="F54" s="11">
        <f t="shared" ca="1" si="6"/>
        <v>194</v>
      </c>
      <c r="J54" s="10">
        <f ca="1">SUM(D55:D61)</f>
        <v>1491</v>
      </c>
      <c r="K54" s="10" t="str">
        <f ca="1">TEXT(J54/J47-1,"0 %")</f>
        <v>5 %</v>
      </c>
      <c r="M54" s="16">
        <v>44141</v>
      </c>
      <c r="N54">
        <v>17798</v>
      </c>
      <c r="O54">
        <v>194</v>
      </c>
      <c r="P54" s="16">
        <v>44141</v>
      </c>
      <c r="Q54">
        <v>17798</v>
      </c>
      <c r="R54">
        <v>194</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c r="DT54">
        <v>44139</v>
      </c>
      <c r="DU54">
        <v>17384</v>
      </c>
      <c r="DV54">
        <v>208</v>
      </c>
      <c r="DW54">
        <v>44140</v>
      </c>
      <c r="DX54">
        <v>17603</v>
      </c>
      <c r="DY54">
        <v>219</v>
      </c>
      <c r="DZ54">
        <v>44141</v>
      </c>
      <c r="EA54">
        <v>17798</v>
      </c>
      <c r="EB54">
        <v>194</v>
      </c>
    </row>
    <row r="55" spans="1:132">
      <c r="A55" t="str">
        <f t="shared" ca="1" si="1"/>
        <v/>
      </c>
      <c r="B55" s="4">
        <f t="shared" ca="1" si="2"/>
        <v>44142</v>
      </c>
      <c r="C55" s="11">
        <f t="shared" ca="1" si="0"/>
        <v>17922</v>
      </c>
      <c r="D55">
        <f t="shared" ca="1" si="20"/>
        <v>130</v>
      </c>
      <c r="E55" s="11">
        <f t="shared" ca="1" si="4"/>
        <v>2</v>
      </c>
      <c r="F55" s="11">
        <f t="shared" ca="1" si="6"/>
        <v>128</v>
      </c>
      <c r="I55" s="10"/>
      <c r="J55" s="10"/>
      <c r="K55" s="3"/>
      <c r="M55" s="16">
        <v>44142</v>
      </c>
      <c r="N55">
        <v>17926</v>
      </c>
      <c r="O55">
        <v>128</v>
      </c>
      <c r="P55" s="16">
        <v>44142</v>
      </c>
      <c r="Q55">
        <v>17926</v>
      </c>
      <c r="R55">
        <v>128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c r="DT55">
        <v>44140</v>
      </c>
      <c r="DU55">
        <v>17603</v>
      </c>
      <c r="DV55">
        <v>219</v>
      </c>
      <c r="DW55">
        <v>44141</v>
      </c>
      <c r="DX55">
        <v>17797</v>
      </c>
      <c r="DY55">
        <v>194</v>
      </c>
      <c r="DZ55">
        <v>44142</v>
      </c>
      <c r="EA55">
        <v>17926</v>
      </c>
      <c r="EB55">
        <v>128</v>
      </c>
    </row>
    <row r="56" spans="1:132">
      <c r="A56" t="str">
        <f t="shared" ca="1" si="1"/>
        <v/>
      </c>
      <c r="B56" s="4">
        <f t="shared" ca="1" si="2"/>
        <v>44143</v>
      </c>
      <c r="C56" s="11">
        <f t="shared" ca="1" si="0"/>
        <v>18055</v>
      </c>
      <c r="D56">
        <f t="shared" ca="1" si="20"/>
        <v>133</v>
      </c>
      <c r="E56" s="11">
        <f t="shared" ca="1" si="4"/>
        <v>-1</v>
      </c>
      <c r="F56" s="11">
        <f t="shared" ca="1" si="6"/>
        <v>134</v>
      </c>
      <c r="K56" s="3"/>
      <c r="M56" s="16">
        <v>44143</v>
      </c>
      <c r="N56">
        <v>18060</v>
      </c>
      <c r="O56">
        <v>134</v>
      </c>
      <c r="P56" s="16">
        <v>44143</v>
      </c>
      <c r="Q56">
        <v>18060</v>
      </c>
      <c r="R56">
        <v>134</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c r="DT56">
        <v>44141</v>
      </c>
      <c r="DU56">
        <v>17797</v>
      </c>
      <c r="DV56">
        <v>194</v>
      </c>
      <c r="DW56">
        <v>44142</v>
      </c>
      <c r="DX56">
        <v>17926</v>
      </c>
      <c r="DY56">
        <v>129</v>
      </c>
      <c r="DZ56">
        <v>44143</v>
      </c>
      <c r="EA56">
        <v>18060</v>
      </c>
      <c r="EB56">
        <v>134</v>
      </c>
    </row>
    <row r="57" spans="1:132">
      <c r="A57" t="str">
        <f ca="1">IF(WEEKDAY(B57,2)=1,"Ma","")</f>
        <v>Ma</v>
      </c>
      <c r="B57" s="4">
        <f t="shared" ca="1" si="2"/>
        <v>44144</v>
      </c>
      <c r="C57" s="11">
        <f t="shared" ca="1" si="0"/>
        <v>18331</v>
      </c>
      <c r="D57">
        <f t="shared" ca="1" si="20"/>
        <v>276</v>
      </c>
      <c r="E57" s="11">
        <f t="shared" ca="1" si="4"/>
        <v>-3</v>
      </c>
      <c r="F57" s="11">
        <f t="shared" ca="1" si="6"/>
        <v>279</v>
      </c>
      <c r="J57" s="13"/>
      <c r="K57" s="3"/>
      <c r="M57" s="16">
        <v>44144</v>
      </c>
      <c r="N57">
        <v>18339</v>
      </c>
      <c r="O57">
        <v>279</v>
      </c>
      <c r="P57" s="16">
        <v>44144</v>
      </c>
      <c r="Q57">
        <v>18339</v>
      </c>
      <c r="R57">
        <v>279</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c r="DT57">
        <v>44142</v>
      </c>
      <c r="DU57">
        <v>17925</v>
      </c>
      <c r="DV57">
        <v>128</v>
      </c>
      <c r="DW57">
        <v>44143</v>
      </c>
      <c r="DX57">
        <v>18060</v>
      </c>
      <c r="DY57">
        <v>134</v>
      </c>
      <c r="DZ57">
        <v>44144</v>
      </c>
      <c r="EA57">
        <v>18339</v>
      </c>
      <c r="EB57">
        <v>279</v>
      </c>
    </row>
    <row r="58" spans="1:132" s="10" customFormat="1">
      <c r="A58" t="str">
        <f t="shared" ca="1" si="1"/>
        <v/>
      </c>
      <c r="B58" s="9">
        <f t="shared" ca="1" si="2"/>
        <v>44145</v>
      </c>
      <c r="C58" s="10">
        <f t="shared" ca="1" si="0"/>
        <v>18542</v>
      </c>
      <c r="D58" s="10">
        <f t="shared" ca="1" si="20"/>
        <v>211</v>
      </c>
      <c r="E58" s="10">
        <f t="shared" ca="1" si="4"/>
        <v>3</v>
      </c>
      <c r="F58" s="10">
        <f t="shared" ca="1" si="6"/>
        <v>208</v>
      </c>
      <c r="G58" s="10">
        <f ca="1">SUM(D58:D64)</f>
        <v>1316</v>
      </c>
      <c r="K58" s="14"/>
      <c r="L58"/>
      <c r="M58" s="17">
        <v>44145</v>
      </c>
      <c r="N58" s="10">
        <v>18547</v>
      </c>
      <c r="O58" s="10">
        <v>208</v>
      </c>
      <c r="P58" s="17">
        <v>44145</v>
      </c>
      <c r="Q58" s="10">
        <v>18547</v>
      </c>
      <c r="R58" s="10">
        <v>208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c r="DT58" s="10">
        <v>44143</v>
      </c>
      <c r="DU58" s="10">
        <v>18059</v>
      </c>
      <c r="DV58" s="10">
        <v>134</v>
      </c>
      <c r="DW58" s="10">
        <v>44144</v>
      </c>
      <c r="DX58" s="10">
        <v>18338</v>
      </c>
      <c r="DY58" s="10">
        <v>278</v>
      </c>
      <c r="DZ58" s="10">
        <v>44145</v>
      </c>
      <c r="EA58" s="10">
        <v>18547</v>
      </c>
      <c r="EB58" s="10">
        <v>208</v>
      </c>
    </row>
    <row r="59" spans="1:132">
      <c r="A59" t="str">
        <f t="shared" ca="1" si="1"/>
        <v/>
      </c>
      <c r="B59" s="4">
        <f t="shared" ca="1" si="2"/>
        <v>44146</v>
      </c>
      <c r="C59" s="11">
        <f t="shared" ca="1" si="0"/>
        <v>18830</v>
      </c>
      <c r="D59">
        <f t="shared" ca="1" si="20"/>
        <v>288</v>
      </c>
      <c r="E59" s="11">
        <f t="shared" ca="1" si="4"/>
        <v>8</v>
      </c>
      <c r="F59" s="11">
        <f t="shared" ca="1" si="6"/>
        <v>280</v>
      </c>
      <c r="H59" s="10"/>
      <c r="J59" s="13"/>
      <c r="K59" s="3"/>
      <c r="M59" s="16">
        <v>44146</v>
      </c>
      <c r="N59">
        <v>18827</v>
      </c>
      <c r="O59">
        <v>280</v>
      </c>
      <c r="P59" s="16">
        <v>44146</v>
      </c>
      <c r="Q59">
        <v>18827</v>
      </c>
      <c r="R59">
        <v>280</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c r="DT59">
        <v>44144</v>
      </c>
      <c r="DU59">
        <v>18337</v>
      </c>
      <c r="DV59">
        <v>278</v>
      </c>
      <c r="DW59">
        <v>44145</v>
      </c>
      <c r="DX59">
        <v>18546</v>
      </c>
      <c r="DY59">
        <v>208</v>
      </c>
      <c r="DZ59">
        <v>44146</v>
      </c>
      <c r="EA59">
        <v>18827</v>
      </c>
      <c r="EB59">
        <v>280</v>
      </c>
    </row>
    <row r="60" spans="1:132">
      <c r="A60" t="str">
        <f t="shared" ca="1" si="1"/>
        <v/>
      </c>
      <c r="B60" s="4">
        <f t="shared" ca="1" si="2"/>
        <v>44147</v>
      </c>
      <c r="C60" s="11">
        <f t="shared" ca="1" si="0"/>
        <v>19065</v>
      </c>
      <c r="D60">
        <f t="shared" ca="1" si="20"/>
        <v>235</v>
      </c>
      <c r="E60" s="11">
        <f t="shared" ca="1" si="4"/>
        <v>5</v>
      </c>
      <c r="F60" s="11">
        <f t="shared" ca="1" si="6"/>
        <v>230</v>
      </c>
      <c r="J60" s="4"/>
      <c r="K60" s="3"/>
      <c r="M60" s="16">
        <v>44147</v>
      </c>
      <c r="N60">
        <v>19057</v>
      </c>
      <c r="O60">
        <v>230</v>
      </c>
      <c r="P60" s="16">
        <v>44147</v>
      </c>
      <c r="Q60">
        <v>19057</v>
      </c>
      <c r="R60">
        <v>230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c r="DT60">
        <v>44145</v>
      </c>
      <c r="DU60">
        <v>18544</v>
      </c>
      <c r="DV60">
        <v>207</v>
      </c>
      <c r="DW60">
        <v>44146</v>
      </c>
      <c r="DX60">
        <v>18825</v>
      </c>
      <c r="DY60">
        <v>279</v>
      </c>
      <c r="DZ60">
        <v>44147</v>
      </c>
      <c r="EA60">
        <v>19057</v>
      </c>
      <c r="EB60">
        <v>230</v>
      </c>
    </row>
    <row r="61" spans="1:132">
      <c r="A61" t="str">
        <f t="shared" ref="A61:A64" ca="1" si="21">IF(WEEKDAY(B61,2)=1,"Ma","")</f>
        <v/>
      </c>
      <c r="B61" s="4">
        <f t="shared" ca="1" si="2"/>
        <v>44148</v>
      </c>
      <c r="C61" s="11">
        <f t="shared" ca="1" si="0"/>
        <v>19283</v>
      </c>
      <c r="D61">
        <f t="shared" ca="1" si="20"/>
        <v>218</v>
      </c>
      <c r="E61" s="11">
        <f t="shared" ca="1" si="4"/>
        <v>11</v>
      </c>
      <c r="F61" s="11">
        <f t="shared" ca="1" si="6"/>
        <v>207</v>
      </c>
      <c r="J61" s="4"/>
      <c r="K61" s="3"/>
      <c r="M61" s="16">
        <v>44148</v>
      </c>
      <c r="N61">
        <v>19264</v>
      </c>
      <c r="O61">
        <v>207</v>
      </c>
      <c r="P61" s="16">
        <v>44148</v>
      </c>
      <c r="Q61">
        <v>19264</v>
      </c>
      <c r="R61">
        <v>207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c r="DT61">
        <v>44146</v>
      </c>
      <c r="DU61">
        <v>18823</v>
      </c>
      <c r="DV61">
        <v>279</v>
      </c>
      <c r="DW61">
        <v>44147</v>
      </c>
      <c r="DX61">
        <v>19051</v>
      </c>
      <c r="DY61">
        <v>226</v>
      </c>
      <c r="DZ61">
        <v>44148</v>
      </c>
      <c r="EA61">
        <v>19264</v>
      </c>
      <c r="EB61">
        <v>207</v>
      </c>
    </row>
    <row r="62" spans="1:132">
      <c r="A62" t="str">
        <f t="shared" ca="1" si="21"/>
        <v/>
      </c>
      <c r="B62" s="4">
        <f t="shared" ca="1" si="2"/>
        <v>44149</v>
      </c>
      <c r="C62" s="11">
        <f t="shared" ca="1" si="0"/>
        <v>19408</v>
      </c>
      <c r="D62">
        <f t="shared" ca="1" si="20"/>
        <v>125</v>
      </c>
      <c r="E62" s="11">
        <f t="shared" ca="1" si="4"/>
        <v>26</v>
      </c>
      <c r="F62" s="11">
        <f t="shared" ca="1" si="6"/>
        <v>99</v>
      </c>
      <c r="J62" s="4"/>
      <c r="K62" s="3"/>
      <c r="M62" s="16">
        <v>44149</v>
      </c>
      <c r="N62">
        <v>19363</v>
      </c>
      <c r="O62">
        <v>99</v>
      </c>
      <c r="P62" s="16">
        <v>44149</v>
      </c>
      <c r="Q62">
        <v>19363</v>
      </c>
      <c r="R62">
        <v>99</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c r="DT62">
        <v>44147</v>
      </c>
      <c r="DU62">
        <v>19032</v>
      </c>
      <c r="DV62">
        <v>209</v>
      </c>
      <c r="DW62">
        <v>44148</v>
      </c>
      <c r="DX62">
        <v>19252</v>
      </c>
      <c r="DY62">
        <v>201</v>
      </c>
      <c r="DZ62">
        <v>44149</v>
      </c>
      <c r="EA62">
        <v>19363</v>
      </c>
      <c r="EB62">
        <v>99</v>
      </c>
    </row>
    <row r="63" spans="1:132">
      <c r="A63" t="str">
        <f t="shared" ca="1" si="21"/>
        <v/>
      </c>
      <c r="B63" s="4">
        <f ca="1">B64-1</f>
        <v>44150</v>
      </c>
      <c r="C63" s="11">
        <f t="shared" ca="1" si="0"/>
        <v>19549</v>
      </c>
      <c r="D63">
        <f t="shared" ca="1" si="20"/>
        <v>141</v>
      </c>
      <c r="E63" s="11">
        <f t="shared" ca="1" si="4"/>
        <v>85</v>
      </c>
      <c r="F63" s="11">
        <f t="shared" ca="1" si="6"/>
        <v>56</v>
      </c>
      <c r="J63" s="4"/>
      <c r="K63" s="3"/>
      <c r="M63" s="16">
        <v>44150</v>
      </c>
      <c r="N63">
        <v>19419</v>
      </c>
      <c r="O63">
        <v>56</v>
      </c>
      <c r="P63" s="16">
        <v>44150</v>
      </c>
      <c r="Q63">
        <v>19419</v>
      </c>
      <c r="R63">
        <v>56</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c r="DT63">
        <v>44148</v>
      </c>
      <c r="DU63">
        <v>19102</v>
      </c>
      <c r="DV63">
        <v>70</v>
      </c>
      <c r="DW63">
        <v>44149</v>
      </c>
      <c r="DX63">
        <v>19315</v>
      </c>
      <c r="DY63">
        <v>63</v>
      </c>
      <c r="DZ63">
        <v>44150</v>
      </c>
      <c r="EA63">
        <v>19419</v>
      </c>
      <c r="EB63">
        <v>56</v>
      </c>
    </row>
    <row r="64" spans="1:132" s="10" customFormat="1">
      <c r="A64" t="str">
        <f t="shared" ca="1" si="21"/>
        <v>Ma</v>
      </c>
      <c r="B64" s="9">
        <f ca="1">B65-1</f>
        <v>44151</v>
      </c>
      <c r="C64" s="10">
        <f t="shared" ca="1" si="0"/>
        <v>19647</v>
      </c>
      <c r="D64" s="10">
        <f ca="1">C64-C63</f>
        <v>98</v>
      </c>
      <c r="E64" s="10">
        <f t="shared" ca="1" si="4"/>
        <v>98</v>
      </c>
      <c r="F64" s="10">
        <f t="shared" ca="1" si="6"/>
        <v>0</v>
      </c>
      <c r="J64" s="9"/>
      <c r="K64" s="14"/>
      <c r="M64" s="17">
        <v>44151</v>
      </c>
      <c r="N64" s="10">
        <v>19419</v>
      </c>
      <c r="O64" s="10">
        <v>0</v>
      </c>
      <c r="P64" s="17">
        <v>44151</v>
      </c>
      <c r="Q64" s="10">
        <v>19419</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c r="DT64" s="10">
        <v>44149</v>
      </c>
      <c r="DU64" s="10">
        <v>19102</v>
      </c>
      <c r="DV64" s="10">
        <v>0</v>
      </c>
      <c r="DW64" s="10">
        <v>44150</v>
      </c>
      <c r="DX64" s="10">
        <v>19315</v>
      </c>
      <c r="DY64" s="10">
        <v>0</v>
      </c>
      <c r="DZ64" s="10">
        <v>44151</v>
      </c>
      <c r="EA64" s="10">
        <v>19419</v>
      </c>
      <c r="EB64" s="10">
        <v>0</v>
      </c>
    </row>
    <row r="65" spans="1:132">
      <c r="A65" t="str">
        <f ca="1">IF(WEEKDAY(B65,2)=1,"Ma","")</f>
        <v/>
      </c>
      <c r="B65" s="12">
        <f ca="1">FLOOR(NOW(),1)</f>
        <v>44152</v>
      </c>
      <c r="C65" s="11">
        <f t="shared" ca="1" si="0"/>
        <v>19647</v>
      </c>
      <c r="D65" s="11">
        <f ca="1">C65-C64</f>
        <v>0</v>
      </c>
      <c r="E65" s="11">
        <f ca="1">_xlfn.IFNA(D65-F65,"")</f>
        <v>0</v>
      </c>
      <c r="F65" s="11">
        <f t="shared" ca="1" si="6"/>
        <v>0</v>
      </c>
      <c r="K65" t="s">
        <v>309</v>
      </c>
      <c r="L65">
        <f ca="1">C65-N65</f>
        <v>228</v>
      </c>
      <c r="M65" s="16">
        <v>44152</v>
      </c>
      <c r="N65">
        <v>19419</v>
      </c>
      <c r="O65">
        <v>0</v>
      </c>
      <c r="P65" s="16">
        <v>44152</v>
      </c>
      <c r="Q65">
        <v>19419</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c r="DT65">
        <v>44150</v>
      </c>
      <c r="DU65">
        <v>19102</v>
      </c>
      <c r="DV65">
        <v>0</v>
      </c>
      <c r="DW65">
        <v>44151</v>
      </c>
      <c r="DX65">
        <v>19315</v>
      </c>
      <c r="DY65">
        <v>0</v>
      </c>
      <c r="DZ65">
        <v>44152</v>
      </c>
      <c r="EA65">
        <v>19419</v>
      </c>
      <c r="EB65">
        <v>0</v>
      </c>
    </row>
    <row r="67" spans="1:132">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2020-11-17T10:58:54Z</dcterms:modified>
</cp:coreProperties>
</file>