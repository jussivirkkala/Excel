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4DF7CFA-12C6-45CE-9184-53520404715D}" xr6:coauthVersionLast="45" xr6:coauthVersionMax="45" xr10:uidLastSave="{00000000-0000-0000-0000-000000000000}"/>
  <bookViews>
    <workbookView xWindow="934" yWindow="0" windowWidth="21009" windowHeight="12343"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<sst xmlns="http://schemas.openxmlformats.org/spreadsheetml/2006/main" count="631" uniqueCount="331">
  <si>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</si>
  <si>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</si>
  <si>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</si>
  <si>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</si>
  <si>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</si>
  <si>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</si>
  <si>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</si>
  <si>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</si>
  <si>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</si>
  <si>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</si>
  <si>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</si>
  <si>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</si>
  <si>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</si>
  <si>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</si>
  <si>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</si>
  <si>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</si>
  <si>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</si>
  <si>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</si>
  <si>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</si>
  <si>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</si>
  <si>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</si>
  <si>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</si>
  <si>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</si>
  <si>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</si>
  <si>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</si>
  <si>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</si>
  <si>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</si>
  <si>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</si>
  <si>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</si>
  <si>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</si>
  <si>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</si>
  <si>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</si>
  <si>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</si>
  <si>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</si>
  <si>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</si>
  <si>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</si>
  <si>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</si>
  <si>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</si>
  <si>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</si>
  <si>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</si>
  <si>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</si>
  <si>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</si>
  <si>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</si>
  <si>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</si>
  <si>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</si>
  <si>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</si>
  <si>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</si>
  <si>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</si>
  <si>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</si>
  <si>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</si>
  <si>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</si>
  <si>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</si>
  <si>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</si>
  <si>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</si>
  <si>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</si>
  <si>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</si>
  <si>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</si>
  <si>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</si>
  <si>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</si>
  <si>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</si>
  <si>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</si>
  <si>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</si>
  <si>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</si>
  <si>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</si>
  <si>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</si>
  <si>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</si>
  <si>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</si>
  <si>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</si>
  <si>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</si>
  <si>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</si>
  <si>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</si>
  <si>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</si>
  <si>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</si>
  <si>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</si>
  <si>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</si>
  <si>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</si>
  <si>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</si>
  <si>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</si>
  <si>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</si>
  <si>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</si>
  <si>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</si>
  <si>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</si>
  <si>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</si>
  <si>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</si>
  <si>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</si>
  <si>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</si>
  <si>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</si>
  <si>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</si>
  <si>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</si>
  <si>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</si>
  <si>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</si>
  <si>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</si>
  <si>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</si>
  <si>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</si>
  <si>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</si>
  <si>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</si>
  <si>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</si>
  <si>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</si>
  <si>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</si>
  <si>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</si>
  <si>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</si>
  <si>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</si>
  <si>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</si>
  <si>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</si>
  <si>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</si>
  <si>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</si>
  <si>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</si>
  <si>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</si>
  <si>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</si>
  <si>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</si>
  <si>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</si>
  <si>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</si>
  <si>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</si>
  <si>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</si>
  <si>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</si>
  <si>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</si>
  <si>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</si>
  <si>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</si>
  <si>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</si>
  <si>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</si>
  <si>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</si>
  <si>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</si>
  <si>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</si>
  <si>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</si>
  <si>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</si>
  <si>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</si>
  <si>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</si>
  <si>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</si>
  <si>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</si>
  <si>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</si>
  <si>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</si>
  <si>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</si>
  <si>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</si>
  <si>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</si>
  <si>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</si>
  <si>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</si>
  <si>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</si>
  <si>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</si>
  <si>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</si>
  <si>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</si>
  <si>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</si>
  <si>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</si>
  <si>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</si>
  <si>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</si>
  <si>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</si>
  <si>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</si>
  <si>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</si>
  <si>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</si>
  <si>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</si>
  <si>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</si>
  <si>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</si>
  <si>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</si>
  <si>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</si>
  <si>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</si>
  <si>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</si>
  <si>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</si>
  <si>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</si>
  <si>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</si>
  <si>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</si>
  <si>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</si>
  <si>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</si>
  <si>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</si>
  <si>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</si>
  <si>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</si>
  <si>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</si>
  <si>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</si>
  <si>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</si>
  <si>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</si>
  <si>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</si>
  <si>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</si>
  <si>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</si>
  <si>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</si>
  <si>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</si>
  <si>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</si>
  <si>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</si>
  <si>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</si>
  <si>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</si>
  <si>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</si>
  <si>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</si>
  <si>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</si>
  <si>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</si>
  <si>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</si>
  <si>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</si>
  <si>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</si>
  <si>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</si>
  <si>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</si>
  <si>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</si>
  <si>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</si>
  <si>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</si>
  <si>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</si>
  <si>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</si>
  <si>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</si>
  <si>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</si>
  <si>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</si>
  <si>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</si>
  <si>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</si>
  <si>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</si>
  <si>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</si>
  <si>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</si>
  <si>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</si>
  <si>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</si>
  <si>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</si>
  <si>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</si>
  <si>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</si>
  <si>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</si>
  <si>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</si>
  <si>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</si>
  <si>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</si>
  <si>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</si>
  <si>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</si>
  <si>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</si>
  <si>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</si>
  <si>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</si>
  <si>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</si>
  <si>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</si>
  <si>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</si>
  <si>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</si>
  <si>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</si>
  <si>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</si>
  <si>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</si>
  <si>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</si>
  <si>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</si>
  <si>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</si>
  <si>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</si>
  <si>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</si>
  <si>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</si>
  <si>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</si>
  <si>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</si>
  <si>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</si>
  <si>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</si>
  <si>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</si>
  <si>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</si>
  <si>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</si>
  <si>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</si>
  <si>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</si>
  <si>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</si>
  <si>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</si>
  <si>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</si>
  <si>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</si>
  <si>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</si>
  <si>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</si>
  <si>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</si>
  <si>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</si>
  <si>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</si>
  <si>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</si>
  <si>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</si>
  <si>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</si>
  <si>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</si>
  <si>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</si>
  <si>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</si>
  <si>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</si>
  <si>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</si>
  <si>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</si>
  <si>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</si>
  <si>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</si>
  <si>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</si>
  <si>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</si>
  <si>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</si>
  <si>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</si>
  <si>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</si>
  <si>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</si>
  <si>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</si>
  <si>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</si>
  <si>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</si>
  <si>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</si>
  <si>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</si>
  <si>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</si>
  <si>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</si>
  <si>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</si>
  <si>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</si>
  <si>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</si>
  <si>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</si>
  <si>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</si>
  <si>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</si>
  <si>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</si>
  <si>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</si>
  <si>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</si>
  <si>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</si>
  <si>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</si>
  <si>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</si>
  <si>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</si>
  <si>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</si>
  <si>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</si>
  <si>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</si>
  <si>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</si>
  <si>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</si>
  <si>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</si>
  <si>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</si>
  <si>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</si>
  <si>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</si>
  <si>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</si>
  <si>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</si>
  <si>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</si>
  <si>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</si>
  <si>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</si>
  <si>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</si>
  <si>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</si>
  <si>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</si>
  <si>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</si>
  <si>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</si>
  <si>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</si>
  <si>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</si>
  <si>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</si>
  <si>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</si>
  <si>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</si>
  <si>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</si>
  <si>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</si>
  <si>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</si>
  <si>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</si>
  <si>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</si>
  <si>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</si>
  <si>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</si>
  <si>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</si>
  <si>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</si>
  <si>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</si>
  <si>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</si>
  <si>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</si>
  <si>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</si>
  <si>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</si>
  <si>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</si>
  <si>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</si>
  <si>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</si>
  <si>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</si>
  <si>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</si>
  <si>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</si>
  <si>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</si>
  <si>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</si>
  <si>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</si>
  <si>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</si>
  <si>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</si>
  <si>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2020-10-26T09:40:58.298Z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</si>
</sst>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21.10 saakka. Suurin arvo 306, joka 7.10. Uusimpien 5 päivien arvot tulevat viiveellä, joten ne jätetty pois 26.10.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119</c:v>
                </c:pt>
                <c:pt idx="265">
                  <c:v>105</c:v>
                </c:pt>
                <c:pt idx="266">
                  <c:v>117</c:v>
                </c:pt>
                <c:pt idx="267">
                  <c:v>97</c:v>
                </c:pt>
                <c:pt idx="268">
                  <c:v>127</c:v>
                </c:pt>
                <c:pt idx="269">
                  <c:v>73</c:v>
                </c:pt>
                <c:pt idx="270">
                  <c:v>71</c:v>
                </c:pt>
                <c:pt idx="271">
                  <c:v>122</c:v>
                </c:pt>
                <c:pt idx="272">
                  <c:v>133</c:v>
                </c:pt>
                <c:pt idx="273">
                  <c:v>165</c:v>
                </c:pt>
                <c:pt idx="274">
                  <c:v>188</c:v>
                </c:pt>
                <c:pt idx="275">
                  <c:v>188</c:v>
                </c:pt>
                <c:pt idx="276">
                  <c:v>169</c:v>
                </c:pt>
                <c:pt idx="277">
                  <c:v>147</c:v>
                </c:pt>
                <c:pt idx="278">
                  <c:v>289</c:v>
                </c:pt>
                <c:pt idx="279">
                  <c:v>299</c:v>
                </c:pt>
                <c:pt idx="280">
                  <c:v>306</c:v>
                </c:pt>
                <c:pt idx="281">
                  <c:v>260</c:v>
                </c:pt>
                <c:pt idx="282">
                  <c:v>226</c:v>
                </c:pt>
                <c:pt idx="283">
                  <c:v>109</c:v>
                </c:pt>
                <c:pt idx="284">
                  <c:v>130</c:v>
                </c:pt>
                <c:pt idx="285">
                  <c:v>252</c:v>
                </c:pt>
                <c:pt idx="286">
                  <c:v>198</c:v>
                </c:pt>
                <c:pt idx="287">
                  <c:v>202</c:v>
                </c:pt>
                <c:pt idx="288">
                  <c:v>190</c:v>
                </c:pt>
                <c:pt idx="289">
                  <c:v>193</c:v>
                </c:pt>
                <c:pt idx="290">
                  <c:v>101</c:v>
                </c:pt>
                <c:pt idx="291">
                  <c:v>127</c:v>
                </c:pt>
                <c:pt idx="292">
                  <c:v>242</c:v>
                </c:pt>
                <c:pt idx="293">
                  <c:v>163</c:v>
                </c:pt>
                <c:pt idx="294">
                  <c:v>172</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2074</c:v>
                </c:pt>
                <c:pt idx="2">
                  <c:v>2087</c:v>
                </c:pt>
                <c:pt idx="3">
                  <c:v>2026</c:v>
                </c:pt>
                <c:pt idx="4">
                  <c:v>1839</c:v>
                </c:pt>
                <c:pt idx="5">
                  <c:v>1223</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44102</c:v>
                </c:pt>
                <c:pt idx="1">
                  <c:v>44103</c:v>
                </c:pt>
                <c:pt idx="2">
                  <c:v>44104</c:v>
                </c:pt>
                <c:pt idx="3">
                  <c:v>44105</c:v>
                </c:pt>
                <c:pt idx="4">
                  <c:v>44106</c:v>
                </c:pt>
                <c:pt idx="5">
                  <c:v>44107</c:v>
                </c:pt>
                <c:pt idx="6">
                  <c:v>44108</c:v>
                </c:pt>
                <c:pt idx="7">
                  <c:v>44109</c:v>
                </c:pt>
                <c:pt idx="8">
                  <c:v>44110</c:v>
                </c:pt>
                <c:pt idx="9">
                  <c:v>44111</c:v>
                </c:pt>
                <c:pt idx="10">
                  <c:v>44112</c:v>
                </c:pt>
                <c:pt idx="11">
                  <c:v>44113</c:v>
                </c:pt>
                <c:pt idx="12">
                  <c:v>44114</c:v>
                </c:pt>
                <c:pt idx="13">
                  <c:v>44115</c:v>
                </c:pt>
                <c:pt idx="14">
                  <c:v>44116</c:v>
                </c:pt>
                <c:pt idx="15">
                  <c:v>44117</c:v>
                </c:pt>
                <c:pt idx="16">
                  <c:v>44118</c:v>
                </c:pt>
                <c:pt idx="17">
                  <c:v>44119</c:v>
                </c:pt>
                <c:pt idx="18">
                  <c:v>44120</c:v>
                </c:pt>
                <c:pt idx="19">
                  <c:v>44121</c:v>
                </c:pt>
                <c:pt idx="20">
                  <c:v>44122</c:v>
                </c:pt>
                <c:pt idx="21">
                  <c:v>44123</c:v>
                </c:pt>
                <c:pt idx="22">
                  <c:v>44124</c:v>
                </c:pt>
                <c:pt idx="23">
                  <c:v>44125</c:v>
                </c:pt>
                <c:pt idx="24">
                  <c:v>44126</c:v>
                </c:pt>
                <c:pt idx="25">
                  <c:v>44127</c:v>
                </c:pt>
                <c:pt idx="26">
                  <c:v>44128</c:v>
                </c:pt>
                <c:pt idx="27">
                  <c:v>44129</c:v>
                </c:pt>
              </c:numCache>
            </c:numRef>
          </c:cat>
          <c:val>
            <c:numRef>
              <c:f>Kuvaajat!$D$37:$D$64</c:f>
              <c:numCache>
                <c:formatCode>General</c:formatCode>
                <c:ptCount val="28"/>
                <c:pt idx="0">
                  <c:v>122</c:v>
                </c:pt>
                <c:pt idx="1">
                  <c:v>133</c:v>
                </c:pt>
                <c:pt idx="2">
                  <c:v>165</c:v>
                </c:pt>
                <c:pt idx="3">
                  <c:v>188</c:v>
                </c:pt>
                <c:pt idx="4">
                  <c:v>188</c:v>
                </c:pt>
                <c:pt idx="5">
                  <c:v>169</c:v>
                </c:pt>
                <c:pt idx="6">
                  <c:v>147</c:v>
                </c:pt>
                <c:pt idx="7">
                  <c:v>289</c:v>
                </c:pt>
                <c:pt idx="8">
                  <c:v>299</c:v>
                </c:pt>
                <c:pt idx="9">
                  <c:v>306</c:v>
                </c:pt>
                <c:pt idx="10">
                  <c:v>260</c:v>
                </c:pt>
                <c:pt idx="11">
                  <c:v>226</c:v>
                </c:pt>
                <c:pt idx="12">
                  <c:v>109</c:v>
                </c:pt>
                <c:pt idx="13">
                  <c:v>130</c:v>
                </c:pt>
                <c:pt idx="14">
                  <c:v>252</c:v>
                </c:pt>
                <c:pt idx="15">
                  <c:v>198</c:v>
                </c:pt>
                <c:pt idx="16">
                  <c:v>202</c:v>
                </c:pt>
                <c:pt idx="17">
                  <c:v>190</c:v>
                </c:pt>
                <c:pt idx="18">
                  <c:v>193</c:v>
                </c:pt>
                <c:pt idx="19">
                  <c:v>101</c:v>
                </c:pt>
                <c:pt idx="20">
                  <c:v>127</c:v>
                </c:pt>
                <c:pt idx="21">
                  <c:v>242</c:v>
                </c:pt>
                <c:pt idx="22">
                  <c:v>163</c:v>
                </c:pt>
                <c:pt idx="23">
                  <c:v>172</c:v>
                </c:pt>
                <c:pt idx="24">
                  <c:v>175</c:v>
                </c:pt>
                <c:pt idx="25">
                  <c:v>155</c:v>
                </c:pt>
                <c:pt idx="26">
                  <c:v>73</c:v>
                </c:pt>
                <c:pt idx="27">
                  <c:v>45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N=14970._x000d_Uusimmat 26.10 lisäykset punaisella n=122.</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44102</c:v>
                </c:pt>
                <c:pt idx="1">
                  <c:v>44103</c:v>
                </c:pt>
                <c:pt idx="2">
                  <c:v>44104</c:v>
                </c:pt>
                <c:pt idx="3">
                  <c:v>44105</c:v>
                </c:pt>
                <c:pt idx="4">
                  <c:v>44106</c:v>
                </c:pt>
                <c:pt idx="5">
                  <c:v>44107</c:v>
                </c:pt>
                <c:pt idx="6">
                  <c:v>44108</c:v>
                </c:pt>
                <c:pt idx="7">
                  <c:v>44109</c:v>
                </c:pt>
                <c:pt idx="8">
                  <c:v>44110</c:v>
                </c:pt>
                <c:pt idx="9">
                  <c:v>44111</c:v>
                </c:pt>
                <c:pt idx="10">
                  <c:v>44112</c:v>
                </c:pt>
                <c:pt idx="11">
                  <c:v>44113</c:v>
                </c:pt>
                <c:pt idx="12">
                  <c:v>44114</c:v>
                </c:pt>
                <c:pt idx="13">
                  <c:v>44115</c:v>
                </c:pt>
                <c:pt idx="14">
                  <c:v>44116</c:v>
                </c:pt>
                <c:pt idx="15">
                  <c:v>44117</c:v>
                </c:pt>
                <c:pt idx="16">
                  <c:v>44118</c:v>
                </c:pt>
                <c:pt idx="17">
                  <c:v>44119</c:v>
                </c:pt>
                <c:pt idx="18">
                  <c:v>44120</c:v>
                </c:pt>
                <c:pt idx="19">
                  <c:v>44121</c:v>
                </c:pt>
                <c:pt idx="20">
                  <c:v>44122</c:v>
                </c:pt>
                <c:pt idx="21">
                  <c:v>44123</c:v>
                </c:pt>
                <c:pt idx="22">
                  <c:v>44124</c:v>
                </c:pt>
                <c:pt idx="23">
                  <c:v>44125</c:v>
                </c:pt>
                <c:pt idx="24">
                  <c:v>44126</c:v>
                </c:pt>
                <c:pt idx="25">
                  <c:v>44127</c:v>
                </c:pt>
                <c:pt idx="26">
                  <c:v>44128</c:v>
                </c:pt>
                <c:pt idx="27">
                  <c:v>44129</c:v>
                </c:pt>
              </c:numCache>
            </c:numRef>
          </c:cat>
          <c:val>
            <c:numRef>
              <c:f>Kuvaajat!$D$37:$D$64</c:f>
              <c:numCache>
                <c:formatCode>General</c:formatCode>
                <c:ptCount val="28"/>
                <c:pt idx="0">
                  <c:v>122</c:v>
                </c:pt>
                <c:pt idx="1">
                  <c:v>133</c:v>
                </c:pt>
                <c:pt idx="2">
                  <c:v>165</c:v>
                </c:pt>
                <c:pt idx="3">
                  <c:v>188</c:v>
                </c:pt>
                <c:pt idx="4">
                  <c:v>188</c:v>
                </c:pt>
                <c:pt idx="5">
                  <c:v>169</c:v>
                </c:pt>
                <c:pt idx="6">
                  <c:v>147</c:v>
                </c:pt>
                <c:pt idx="7">
                  <c:v>289</c:v>
                </c:pt>
                <c:pt idx="8">
                  <c:v>299</c:v>
                </c:pt>
                <c:pt idx="9">
                  <c:v>306</c:v>
                </c:pt>
                <c:pt idx="10">
                  <c:v>260</c:v>
                </c:pt>
                <c:pt idx="11">
                  <c:v>226</c:v>
                </c:pt>
                <c:pt idx="12">
                  <c:v>109</c:v>
                </c:pt>
                <c:pt idx="13">
                  <c:v>130</c:v>
                </c:pt>
                <c:pt idx="14">
                  <c:v>252</c:v>
                </c:pt>
                <c:pt idx="15">
                  <c:v>198</c:v>
                </c:pt>
                <c:pt idx="16">
                  <c:v>202</c:v>
                </c:pt>
                <c:pt idx="17">
                  <c:v>190</c:v>
                </c:pt>
                <c:pt idx="18">
                  <c:v>193</c:v>
                </c:pt>
                <c:pt idx="19">
                  <c:v>101</c:v>
                </c:pt>
                <c:pt idx="20">
                  <c:v>127</c:v>
                </c:pt>
                <c:pt idx="21">
                  <c:v>242</c:v>
                </c:pt>
                <c:pt idx="22">
                  <c:v>163</c:v>
                </c:pt>
                <c:pt idx="23">
                  <c:v>172</c:v>
                </c:pt>
                <c:pt idx="24">
                  <c:v>175</c:v>
                </c:pt>
                <c:pt idx="25">
                  <c:v>155</c:v>
                </c:pt>
                <c:pt idx="26">
                  <c:v>73</c:v>
                </c:pt>
                <c:pt idx="27">
                  <c:v>45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44102</c:v>
                </c:pt>
                <c:pt idx="1">
                  <c:v>44103</c:v>
                </c:pt>
                <c:pt idx="2">
                  <c:v>44104</c:v>
                </c:pt>
                <c:pt idx="3">
                  <c:v>44105</c:v>
                </c:pt>
                <c:pt idx="4">
                  <c:v>44106</c:v>
                </c:pt>
                <c:pt idx="5">
                  <c:v>44107</c:v>
                </c:pt>
                <c:pt idx="6">
                  <c:v>44108</c:v>
                </c:pt>
                <c:pt idx="7">
                  <c:v>44109</c:v>
                </c:pt>
                <c:pt idx="8">
                  <c:v>44110</c:v>
                </c:pt>
                <c:pt idx="9">
                  <c:v>44111</c:v>
                </c:pt>
                <c:pt idx="10">
                  <c:v>44112</c:v>
                </c:pt>
                <c:pt idx="11">
                  <c:v>44113</c:v>
                </c:pt>
                <c:pt idx="12">
                  <c:v>44114</c:v>
                </c:pt>
                <c:pt idx="13">
                  <c:v>44115</c:v>
                </c:pt>
                <c:pt idx="14">
                  <c:v>44116</c:v>
                </c:pt>
                <c:pt idx="15">
                  <c:v>44117</c:v>
                </c:pt>
                <c:pt idx="16">
                  <c:v>44118</c:v>
                </c:pt>
                <c:pt idx="17">
                  <c:v>44119</c:v>
                </c:pt>
                <c:pt idx="18">
                  <c:v>44120</c:v>
                </c:pt>
                <c:pt idx="19">
                  <c:v>44121</c:v>
                </c:pt>
                <c:pt idx="20">
                  <c:v>44122</c:v>
                </c:pt>
                <c:pt idx="21">
                  <c:v>44123</c:v>
                </c:pt>
                <c:pt idx="22">
                  <c:v>44124</c:v>
                </c:pt>
                <c:pt idx="23">
                  <c:v>44125</c:v>
                </c:pt>
                <c:pt idx="24">
                  <c:v>44126</c:v>
                </c:pt>
                <c:pt idx="25">
                  <c:v>44127</c:v>
                </c:pt>
                <c:pt idx="26">
                  <c:v>44128</c:v>
                </c:pt>
                <c:pt idx="27">
                  <c:v>44129</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2</c:v>
                </c:pt>
                <c:pt idx="19">
                  <c:v>1</c:v>
                </c:pt>
                <c:pt idx="20">
                  <c:v>0</c:v>
                </c:pt>
                <c:pt idx="21">
                  <c:v>-2</c:v>
                </c:pt>
                <c:pt idx="22">
                  <c:v>-2</c:v>
                </c:pt>
                <c:pt idx="23">
                  <c:v>2</c:v>
                </c:pt>
                <c:pt idx="24">
                  <c:v>4</c:v>
                </c:pt>
                <c:pt idx="25">
                  <c:v>23</c:v>
                </c:pt>
                <c:pt idx="26">
                  <c:v>48</c:v>
                </c:pt>
                <c:pt idx="27">
                  <c:v>45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1"/>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14970</v>
      </c>
      <c r="I1" s="8">
        <v>44130.488136574073</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21.10 saakka. Suurin arvo 306, joka 7.10. Uusimpien 5 päivien arvot tulevat viiveellä, joten ne jätetty pois 26.10.</v>
      </c>
      <c r="M1" s="7">
        <f>COUNTA(Id)-2-5</f>
        <v>294</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2074</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198</v>
      </c>
      <c r="B288" t="s">
        <v>316</v>
      </c>
      <c r="C288" t="s">
        <v>8</v>
      </c>
      <c r="F288" s="5">
        <v>44117.625</v>
      </c>
    </row>
    <row r="289" spans="1:6">
      <c r="A289">
        <v>202</v>
      </c>
      <c r="B289" t="s">
        <v>317</v>
      </c>
      <c r="C289" t="s">
        <v>8</v>
      </c>
      <c r="F289" s="5">
        <v>44118.625</v>
      </c>
    </row>
    <row r="290" spans="1:6">
      <c r="A290">
        <v>190</v>
      </c>
      <c r="B290" t="s">
        <v>318</v>
      </c>
      <c r="C290" t="s">
        <v>8</v>
      </c>
      <c r="F290" s="5">
        <v>44119.625</v>
      </c>
    </row>
    <row r="291" spans="1:6">
      <c r="A291">
        <v>193</v>
      </c>
      <c r="B291" t="s">
        <v>319</v>
      </c>
      <c r="C291" t="s">
        <v>8</v>
      </c>
      <c r="F291" s="5">
        <v>44120.625</v>
      </c>
    </row>
    <row r="292" spans="1:6">
      <c r="A292">
        <v>101</v>
      </c>
      <c r="B292" t="s">
        <v>320</v>
      </c>
      <c r="C292" t="s">
        <v>8</v>
      </c>
      <c r="F292" s="5">
        <v>44121.625</v>
      </c>
    </row>
    <row r="293" spans="1:6">
      <c r="A293">
        <v>127</v>
      </c>
      <c r="B293" t="s">
        <v>321</v>
      </c>
      <c r="C293" t="s">
        <v>8</v>
      </c>
      <c r="F293" s="5">
        <v>44122.625</v>
      </c>
    </row>
    <row r="294" spans="1:6">
      <c r="A294">
        <v>242</v>
      </c>
      <c r="B294" t="s">
        <v>322</v>
      </c>
      <c r="C294" t="s">
        <v>8</v>
      </c>
      <c r="F294" s="5">
        <v>44123.625</v>
      </c>
    </row>
    <row r="295" spans="1:6">
      <c r="A295">
        <v>163</v>
      </c>
      <c r="B295" t="s">
        <v>323</v>
      </c>
      <c r="C295" t="s">
        <v>8</v>
      </c>
      <c r="F295" s="5">
        <v>44124.625</v>
      </c>
    </row>
    <row r="296" spans="1:6">
      <c r="A296">
        <v>172</v>
      </c>
      <c r="B296" t="s">
        <v>324</v>
      </c>
      <c r="C296" t="s">
        <v>8</v>
      </c>
      <c r="F296" s="5">
        <v>44125.625</v>
      </c>
    </row>
    <row r="297" spans="1:6">
      <c r="A297">
        <v>175</v>
      </c>
      <c r="B297" t="s">
        <v>325</v>
      </c>
      <c r="C297" t="s">
        <v>8</v>
      </c>
      <c r="F297" s="5">
        <v>44126.625</v>
      </c>
    </row>
    <row r="298" spans="1:6">
      <c r="A298">
        <v>155</v>
      </c>
      <c r="B298" t="s">
        <v>326</v>
      </c>
      <c r="C298" t="s">
        <v>8</v>
      </c>
      <c r="F298" s="5">
        <v>44127.625</v>
      </c>
    </row>
    <row r="299" spans="1:6">
      <c r="A299">
        <v>73</v>
      </c>
      <c r="B299" t="s">
        <v>327</v>
      </c>
      <c r="C299" t="s">
        <v>8</v>
      </c>
      <c r="F299" s="5">
        <v>44128.625</v>
      </c>
    </row>
    <row r="300" spans="1:6">
      <c r="A300">
        <v>45</v>
      </c>
      <c r="B300" t="s">
        <v>328</v>
      </c>
      <c r="C300" t="s">
        <v>8</v>
      </c>
      <c r="F300" s="5">
        <v>44129.625</v>
      </c>
    </row>
    <row r="301" spans="1:6">
      <c r="A301">
        <v>0</v>
      </c>
      <c r="B301" t="s">
        <v>330</v>
      </c>
      <c r="C301" t="s">
        <v>8</v>
      </c>
      <c r="F301" s="5">
        <v>44130.403449074074</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U67"/>
  <sheetViews>
    <sheetView tabSelected="1"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26.10 n=122. Yhteensä N=14970. Edelliset 7 päivää 1025 (päivittyy), 1263 (muutos -22 %), 1619 (46 %) ja 1112 https://github.com/jussivirkkala/excel/tree/master/hs-koronavirus-avoindata</v>
      </c>
      <c r="B31" s="4"/>
    </row>
    <row r="32" spans="1:32">
      <c r="B32" s="4"/>
      <c r="D32" t="str">
        <f ca="1">IF((C65-N65-E35)&lt;&gt;0," (joista vanhoja yli 28 päivän takaisia kirjauksia "&amp;(C65-N65-E35)&amp;")","")</f>
        <v/>
      </c>
    </row>
    <row r="33" spans="1:72">
      <c r="A33" t="str">
        <f ca="1">"Kirjattuja COVID-19 tapauksia N="&amp;C65&amp;"."&amp;CHAR(13)&amp;"Uusimmat "&amp;TEXT(MAX(M:M),"p.kk")&amp;" lisäykset punaisella n="&amp;L65&amp;"."</f>
        <v>Kirjattuja COVID-19 tapauksia N=14970._x000D_Uusimmat 26.10 lisäykset punaisella n=122.</v>
      </c>
      <c r="B33" s="4"/>
    </row>
    <row r="34" spans="1:72">
      <c r="B34" s="4"/>
    </row>
    <row r="35" spans="1:72">
      <c r="B35" s="4" t="s">
        <v>5</v>
      </c>
      <c r="C35" t="s">
        <v>0</v>
      </c>
      <c r="D35" t="s">
        <v>6</v>
      </c>
      <c r="E35">
        <f ca="1">SUM(E37:E65)</f>
        <v>122</v>
      </c>
      <c r="F35" t="s">
        <v>228</v>
      </c>
      <c r="M35" s="17" t="s">
        <v>312</v>
      </c>
      <c r="P35" s="17" t="s">
        <v>313</v>
      </c>
      <c r="S35" s="17" t="s">
        <v>314</v>
      </c>
    </row>
    <row r="36" spans="1:72">
      <c r="A36" t="str">
        <f ca="1">IF(WEEKDAY(B36,2)=1,"Ma","")</f>
        <v/>
      </c>
      <c r="B36" s="4">
        <f ca="1">B37-1</f>
        <v>44101</v>
      </c>
      <c r="C36" s="11">
        <f t="shared" ref="C36:C65" ca="1" si="0">SUMIF(aika,"&lt;"&amp;(B36+1),Id)</f>
        <v>9951</v>
      </c>
    </row>
    <row r="37" spans="1:72" s="10" customFormat="1">
      <c r="A37" t="str">
        <f t="shared" ref="A37:A60" ca="1" si="1">IF(WEEKDAY(B37,2)=1,"Ma","")</f>
        <v>Ma</v>
      </c>
      <c r="B37" s="9">
        <f t="shared" ref="B37:B62" ca="1" si="2">B38-1</f>
        <v>44102</v>
      </c>
      <c r="C37" s="10">
        <f t="shared" ca="1" si="0"/>
        <v>10073</v>
      </c>
      <c r="D37" s="10">
        <f t="shared" ref="D37" ca="1" si="3">C37-C36</f>
        <v>122</v>
      </c>
      <c r="E37" s="10">
        <f t="shared" ref="E37:E64" ca="1" si="4">_xlfn.IFNA(D37-F37,"")</f>
        <v>0</v>
      </c>
      <c r="F37" s="10">
        <f ca="1">VLOOKUP(B37,Previous,3,FALSE)</f>
        <v>122</v>
      </c>
      <c r="G37" s="10">
        <f ca="1">SUM(D37:D43)</f>
        <v>1112</v>
      </c>
      <c r="I37" s="10">
        <f ca="1">SUM(D37:D50)</f>
        <v>2731</v>
      </c>
      <c r="K37" s="14"/>
      <c r="M37" s="18">
        <v>44102</v>
      </c>
      <c r="N37" s="10">
        <v>10073</v>
      </c>
      <c r="O37" s="10">
        <v>122</v>
      </c>
      <c r="P37" s="18">
        <v>44102</v>
      </c>
      <c r="Q37" s="10">
        <v>10073</v>
      </c>
      <c r="R37" s="10">
        <v>122</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row>
    <row r="38" spans="1:72">
      <c r="A38" t="str">
        <f t="shared" ca="1" si="1"/>
        <v/>
      </c>
      <c r="B38" s="4">
        <f t="shared" ca="1" si="2"/>
        <v>44103</v>
      </c>
      <c r="C38" s="11">
        <f t="shared" ca="1" si="0"/>
        <v>10206</v>
      </c>
      <c r="D38">
        <f t="shared" ref="D38" ca="1" si="5">C38-C37</f>
        <v>133</v>
      </c>
      <c r="E38" s="11">
        <f t="shared" ca="1" si="4"/>
        <v>0</v>
      </c>
      <c r="F38" s="11">
        <f t="shared" ref="F38:F65" ca="1" si="6">VLOOKUP(B38,Previous,3,FALSE)</f>
        <v>133</v>
      </c>
      <c r="K38" s="3"/>
      <c r="M38" s="17">
        <v>44103</v>
      </c>
      <c r="N38">
        <v>10206</v>
      </c>
      <c r="O38">
        <v>133</v>
      </c>
      <c r="P38" s="17">
        <v>44103</v>
      </c>
      <c r="Q38">
        <v>10206</v>
      </c>
      <c r="R38">
        <v>133</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row>
    <row r="39" spans="1:72">
      <c r="A39" t="str">
        <f t="shared" ca="1" si="1"/>
        <v/>
      </c>
      <c r="B39" s="4">
        <f t="shared" ca="1" si="2"/>
        <v>44104</v>
      </c>
      <c r="C39" s="11">
        <f t="shared" ca="1" si="0"/>
        <v>10371</v>
      </c>
      <c r="D39">
        <f t="shared" ref="D39" ca="1" si="7">C39-C38</f>
        <v>165</v>
      </c>
      <c r="E39" s="11">
        <f t="shared" ca="1" si="4"/>
        <v>0</v>
      </c>
      <c r="F39" s="11">
        <f t="shared" ca="1" si="6"/>
        <v>165</v>
      </c>
      <c r="K39" s="3"/>
      <c r="M39" s="17">
        <v>44104</v>
      </c>
      <c r="N39">
        <v>10371</v>
      </c>
      <c r="O39">
        <v>165</v>
      </c>
      <c r="P39" s="17">
        <v>44104</v>
      </c>
      <c r="Q39">
        <v>10371</v>
      </c>
      <c r="R39">
        <v>165</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row>
    <row r="40" spans="1:72">
      <c r="A40" t="str">
        <f t="shared" ca="1" si="1"/>
        <v/>
      </c>
      <c r="B40" s="4">
        <f t="shared" ca="1" si="2"/>
        <v>44105</v>
      </c>
      <c r="C40" s="11">
        <f t="shared" ca="1" si="0"/>
        <v>10559</v>
      </c>
      <c r="D40">
        <f t="shared" ref="D40" ca="1" si="8">C40-C39</f>
        <v>188</v>
      </c>
      <c r="E40" s="11">
        <f t="shared" ca="1" si="4"/>
        <v>0</v>
      </c>
      <c r="F40" s="11">
        <f t="shared" ca="1" si="6"/>
        <v>188</v>
      </c>
      <c r="K40" s="3"/>
      <c r="M40" s="17">
        <v>44105</v>
      </c>
      <c r="N40">
        <v>10559</v>
      </c>
      <c r="O40">
        <v>188</v>
      </c>
      <c r="P40" s="17">
        <v>44105</v>
      </c>
      <c r="Q40">
        <v>10559</v>
      </c>
      <c r="R40">
        <v>188</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row>
    <row r="41" spans="1:72">
      <c r="A41" t="str">
        <f t="shared" ca="1" si="1"/>
        <v/>
      </c>
      <c r="B41" s="4">
        <f t="shared" ca="1" si="2"/>
        <v>44106</v>
      </c>
      <c r="C41" s="11">
        <f t="shared" ca="1" si="0"/>
        <v>10747</v>
      </c>
      <c r="D41">
        <f t="shared" ref="D41" ca="1" si="9">C41-C40</f>
        <v>188</v>
      </c>
      <c r="E41" s="11">
        <f t="shared" ca="1" si="4"/>
        <v>0</v>
      </c>
      <c r="F41" s="11">
        <f t="shared" ca="1" si="6"/>
        <v>188</v>
      </c>
      <c r="K41" s="3"/>
      <c r="M41" s="17">
        <v>44106</v>
      </c>
      <c r="N41">
        <v>10747</v>
      </c>
      <c r="O41">
        <v>188</v>
      </c>
      <c r="P41" s="17">
        <v>44106</v>
      </c>
      <c r="Q41">
        <v>10747</v>
      </c>
      <c r="R41">
        <v>188</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row>
    <row r="42" spans="1:72">
      <c r="A42" t="str">
        <f t="shared" ca="1" si="1"/>
        <v/>
      </c>
      <c r="B42" s="4">
        <f t="shared" ca="1" si="2"/>
        <v>44107</v>
      </c>
      <c r="C42" s="11">
        <f t="shared" ca="1" si="0"/>
        <v>10916</v>
      </c>
      <c r="D42">
        <f t="shared" ref="D42" ca="1" si="10">C42-C41</f>
        <v>169</v>
      </c>
      <c r="E42" s="11">
        <f t="shared" ca="1" si="4"/>
        <v>0</v>
      </c>
      <c r="F42" s="11">
        <f t="shared" ca="1" si="6"/>
        <v>169</v>
      </c>
      <c r="K42" s="3"/>
      <c r="M42" s="17">
        <v>44107</v>
      </c>
      <c r="N42">
        <v>10916</v>
      </c>
      <c r="O42">
        <v>169</v>
      </c>
      <c r="P42" s="17">
        <v>44107</v>
      </c>
      <c r="Q42">
        <v>10916</v>
      </c>
      <c r="R42">
        <v>169</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row>
    <row r="43" spans="1:72">
      <c r="A43" t="str">
        <f t="shared" ca="1" si="1"/>
        <v/>
      </c>
      <c r="B43" s="4">
        <f t="shared" ca="1" si="2"/>
        <v>44108</v>
      </c>
      <c r="C43" s="11">
        <f t="shared" ca="1" si="0"/>
        <v>11063</v>
      </c>
      <c r="D43">
        <f t="shared" ref="D43" ca="1" si="11">C43-C42</f>
        <v>147</v>
      </c>
      <c r="E43" s="11">
        <f t="shared" ca="1" si="4"/>
        <v>0</v>
      </c>
      <c r="F43" s="11">
        <f t="shared" ca="1" si="6"/>
        <v>147</v>
      </c>
      <c r="G43" s="10"/>
      <c r="K43" s="3"/>
      <c r="M43" s="17">
        <v>44108</v>
      </c>
      <c r="N43">
        <v>11063</v>
      </c>
      <c r="O43">
        <v>147</v>
      </c>
      <c r="P43" s="17">
        <v>44108</v>
      </c>
      <c r="Q43">
        <v>11063</v>
      </c>
      <c r="R43">
        <v>147</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row>
    <row r="44" spans="1:72" s="10" customFormat="1">
      <c r="A44" t="str">
        <f t="shared" ca="1" si="1"/>
        <v>Ma</v>
      </c>
      <c r="B44" s="9">
        <f t="shared" ca="1" si="2"/>
        <v>44109</v>
      </c>
      <c r="C44" s="10">
        <f t="shared" ca="1" si="0"/>
        <v>11352</v>
      </c>
      <c r="D44" s="10">
        <f t="shared" ref="D44" ca="1" si="12">C44-C43</f>
        <v>289</v>
      </c>
      <c r="E44" s="10">
        <f t="shared" ca="1" si="4"/>
        <v>0</v>
      </c>
      <c r="F44" s="10">
        <f t="shared" ca="1" si="6"/>
        <v>289</v>
      </c>
      <c r="G44" s="10">
        <f ca="1">SUM(D44:D50)</f>
        <v>1619</v>
      </c>
      <c r="H44" s="10" t="str">
        <f ca="1">TEXT(G44/G37-1,"0 %")</f>
        <v>46 %</v>
      </c>
      <c r="I44" s="10">
        <f ca="1">SUM(D44:D57)</f>
        <v>2882</v>
      </c>
      <c r="K44" s="14"/>
      <c r="L44"/>
      <c r="M44" s="18">
        <v>44109</v>
      </c>
      <c r="N44" s="10">
        <v>11352</v>
      </c>
      <c r="O44" s="10">
        <v>289</v>
      </c>
      <c r="P44" s="18">
        <v>44109</v>
      </c>
      <c r="Q44" s="10">
        <v>11352</v>
      </c>
      <c r="R44" s="10">
        <v>289</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row>
    <row r="45" spans="1:72">
      <c r="A45" t="str">
        <f t="shared" ca="1" si="1"/>
        <v/>
      </c>
      <c r="B45" s="4">
        <f t="shared" ca="1" si="2"/>
        <v>44110</v>
      </c>
      <c r="C45" s="11">
        <f t="shared" ca="1" si="0"/>
        <v>11651</v>
      </c>
      <c r="D45">
        <f t="shared" ref="D45" ca="1" si="13">C45-C44</f>
        <v>299</v>
      </c>
      <c r="E45" s="11">
        <f t="shared" ca="1" si="4"/>
        <v>0</v>
      </c>
      <c r="F45" s="11">
        <f t="shared" ca="1" si="6"/>
        <v>299</v>
      </c>
      <c r="K45" s="3"/>
      <c r="M45" s="17">
        <v>44110</v>
      </c>
      <c r="N45">
        <v>11651</v>
      </c>
      <c r="O45">
        <v>299</v>
      </c>
      <c r="P45" s="17">
        <v>44110</v>
      </c>
      <c r="Q45">
        <v>11651</v>
      </c>
      <c r="R45">
        <v>299</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row>
    <row r="46" spans="1:72">
      <c r="A46" t="str">
        <f t="shared" ca="1" si="1"/>
        <v/>
      </c>
      <c r="B46" s="4">
        <f t="shared" ca="1" si="2"/>
        <v>44111</v>
      </c>
      <c r="C46" s="11">
        <f t="shared" ca="1" si="0"/>
        <v>11957</v>
      </c>
      <c r="D46">
        <f t="shared" ref="D46" ca="1" si="14">C46-C45</f>
        <v>306</v>
      </c>
      <c r="E46" s="11">
        <f t="shared" ca="1" si="4"/>
        <v>0</v>
      </c>
      <c r="F46" s="11">
        <f t="shared" ca="1" si="6"/>
        <v>306</v>
      </c>
      <c r="K46" s="3"/>
      <c r="M46" s="17">
        <v>44111</v>
      </c>
      <c r="N46">
        <v>11957</v>
      </c>
      <c r="O46">
        <v>306</v>
      </c>
      <c r="P46" s="17">
        <v>44111</v>
      </c>
      <c r="Q46">
        <v>11957</v>
      </c>
      <c r="R46">
        <v>306</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row>
    <row r="47" spans="1:72">
      <c r="A47" t="str">
        <f t="shared" ca="1" si="1"/>
        <v/>
      </c>
      <c r="B47" s="4">
        <f t="shared" ca="1" si="2"/>
        <v>44112</v>
      </c>
      <c r="C47" s="11">
        <f t="shared" ca="1" si="0"/>
        <v>12217</v>
      </c>
      <c r="D47">
        <f t="shared" ref="D47" ca="1" si="15">C47-C46</f>
        <v>260</v>
      </c>
      <c r="E47" s="11">
        <f t="shared" ca="1" si="4"/>
        <v>0</v>
      </c>
      <c r="F47" s="11">
        <f t="shared" ca="1" si="6"/>
        <v>260</v>
      </c>
      <c r="K47" s="3"/>
      <c r="M47" s="17">
        <v>44112</v>
      </c>
      <c r="N47">
        <v>12217</v>
      </c>
      <c r="O47">
        <v>260</v>
      </c>
      <c r="P47" s="17">
        <v>44112</v>
      </c>
      <c r="Q47">
        <v>12217</v>
      </c>
      <c r="R47">
        <v>260</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row>
    <row r="48" spans="1:72">
      <c r="A48" t="str">
        <f t="shared" ca="1" si="1"/>
        <v/>
      </c>
      <c r="B48" s="4">
        <f t="shared" ca="1" si="2"/>
        <v>44113</v>
      </c>
      <c r="C48" s="11">
        <f t="shared" ca="1" si="0"/>
        <v>12443</v>
      </c>
      <c r="D48">
        <f t="shared" ref="D48" ca="1" si="16">C48-C47</f>
        <v>226</v>
      </c>
      <c r="E48" s="11">
        <f t="shared" ca="1" si="4"/>
        <v>0</v>
      </c>
      <c r="F48" s="11">
        <f t="shared" ca="1" si="6"/>
        <v>226</v>
      </c>
      <c r="K48" s="3"/>
      <c r="M48" s="17">
        <v>44113</v>
      </c>
      <c r="N48">
        <v>12443</v>
      </c>
      <c r="O48">
        <v>226</v>
      </c>
      <c r="P48" s="17">
        <v>44113</v>
      </c>
      <c r="Q48">
        <v>12443</v>
      </c>
      <c r="R48">
        <v>226</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row>
    <row r="49" spans="1:72">
      <c r="A49" t="str">
        <f t="shared" ca="1" si="1"/>
        <v/>
      </c>
      <c r="B49" s="4">
        <f t="shared" ca="1" si="2"/>
        <v>44114</v>
      </c>
      <c r="C49" s="11">
        <f t="shared" ca="1" si="0"/>
        <v>12552</v>
      </c>
      <c r="D49">
        <f t="shared" ref="D49" ca="1" si="17">C49-C48</f>
        <v>109</v>
      </c>
      <c r="E49" s="11">
        <f t="shared" ca="1" si="4"/>
        <v>0</v>
      </c>
      <c r="F49" s="11">
        <f t="shared" ca="1" si="6"/>
        <v>109</v>
      </c>
      <c r="K49" s="3"/>
      <c r="M49" s="17">
        <v>44114</v>
      </c>
      <c r="N49">
        <v>12552</v>
      </c>
      <c r="O49">
        <v>109</v>
      </c>
      <c r="P49" s="17">
        <v>44114</v>
      </c>
      <c r="Q49">
        <v>12552</v>
      </c>
      <c r="R49">
        <v>109</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row>
    <row r="50" spans="1:72">
      <c r="A50" t="str">
        <f t="shared" ca="1" si="1"/>
        <v/>
      </c>
      <c r="B50" s="4">
        <f t="shared" ca="1" si="2"/>
        <v>44115</v>
      </c>
      <c r="C50" s="11">
        <f t="shared" ca="1" si="0"/>
        <v>12682</v>
      </c>
      <c r="D50">
        <f t="shared" ref="D50" ca="1" si="18">C50-C49</f>
        <v>130</v>
      </c>
      <c r="E50" s="11">
        <f t="shared" ca="1" si="4"/>
        <v>0</v>
      </c>
      <c r="F50" s="11">
        <f ca="1">VLOOKUP(B50,Previous,3,FALSE)</f>
        <v>130</v>
      </c>
      <c r="K50" s="3"/>
      <c r="M50" s="17">
        <v>44115</v>
      </c>
      <c r="N50">
        <v>12682</v>
      </c>
      <c r="O50">
        <v>130</v>
      </c>
      <c r="P50" s="17">
        <v>44115</v>
      </c>
      <c r="Q50">
        <v>12682</v>
      </c>
      <c r="R50">
        <v>130</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row>
    <row r="51" spans="1:72" s="10" customFormat="1">
      <c r="A51" t="str">
        <f t="shared" ca="1" si="1"/>
        <v>Ma</v>
      </c>
      <c r="B51" s="9">
        <f t="shared" ca="1" si="2"/>
        <v>44116</v>
      </c>
      <c r="C51" s="10">
        <f t="shared" ca="1" si="0"/>
        <v>12934</v>
      </c>
      <c r="D51" s="10">
        <f t="shared" ref="D51" ca="1" si="19">C51-C50</f>
        <v>252</v>
      </c>
      <c r="E51" s="10">
        <f t="shared" ca="1" si="4"/>
        <v>0</v>
      </c>
      <c r="F51" s="10">
        <f t="shared" ca="1" si="6"/>
        <v>252</v>
      </c>
      <c r="G51" s="10">
        <f ca="1">SUM(D51:D57)</f>
        <v>1263</v>
      </c>
      <c r="H51" s="10" t="str">
        <f ca="1">TEXT(G51/G44-1,"0 %")</f>
        <v>-22 %</v>
      </c>
      <c r="I51" s="10">
        <f ca="1">SUM(D51:D64)</f>
        <v>2288</v>
      </c>
      <c r="K51" s="14"/>
      <c r="L51"/>
      <c r="M51" s="18">
        <v>44116</v>
      </c>
      <c r="N51" s="10">
        <v>12934</v>
      </c>
      <c r="O51" s="10">
        <v>252</v>
      </c>
      <c r="P51" s="18">
        <v>44116</v>
      </c>
      <c r="Q51" s="10">
        <v>12934</v>
      </c>
      <c r="R51" s="10">
        <v>252</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row>
    <row r="52" spans="1:72">
      <c r="A52" t="str">
        <f t="shared" ca="1" si="1"/>
        <v/>
      </c>
      <c r="B52" s="4">
        <f t="shared" ca="1" si="2"/>
        <v>44117</v>
      </c>
      <c r="C52" s="11">
        <f t="shared" ca="1" si="0"/>
        <v>13132</v>
      </c>
      <c r="D52">
        <f t="shared" ref="D52:D63" ca="1" si="20">C52-C51</f>
        <v>198</v>
      </c>
      <c r="E52" s="11">
        <f t="shared" ca="1" si="4"/>
        <v>1</v>
      </c>
      <c r="F52" s="11">
        <f t="shared" ca="1" si="6"/>
        <v>197</v>
      </c>
      <c r="G52" s="10"/>
      <c r="K52" s="3"/>
      <c r="M52" s="17">
        <v>44117</v>
      </c>
      <c r="N52">
        <v>13131</v>
      </c>
      <c r="O52">
        <v>197</v>
      </c>
      <c r="P52" s="17">
        <v>44117</v>
      </c>
      <c r="Q52">
        <v>13131</v>
      </c>
      <c r="R52">
        <v>197</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row>
    <row r="53" spans="1:72">
      <c r="A53" t="str">
        <f t="shared" ca="1" si="1"/>
        <v/>
      </c>
      <c r="B53" s="4">
        <f t="shared" ca="1" si="2"/>
        <v>44118</v>
      </c>
      <c r="C53" s="11">
        <f t="shared" ca="1" si="0"/>
        <v>13334</v>
      </c>
      <c r="D53">
        <f t="shared" ca="1" si="20"/>
        <v>202</v>
      </c>
      <c r="E53" s="11">
        <f t="shared" ca="1" si="4"/>
        <v>0</v>
      </c>
      <c r="F53" s="11">
        <f t="shared" ca="1" si="6"/>
        <v>202</v>
      </c>
      <c r="J53" s="13"/>
      <c r="K53" s="3"/>
      <c r="M53" s="17">
        <v>44118</v>
      </c>
      <c r="N53">
        <v>13333</v>
      </c>
      <c r="O53">
        <v>202</v>
      </c>
      <c r="P53" s="17">
        <v>44118</v>
      </c>
      <c r="Q53">
        <v>13333</v>
      </c>
      <c r="R53">
        <v>202</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row>
    <row r="54" spans="1:72">
      <c r="A54" t="str">
        <f t="shared" ca="1" si="1"/>
        <v/>
      </c>
      <c r="B54" s="4">
        <f t="shared" ca="1" si="2"/>
        <v>44119</v>
      </c>
      <c r="C54" s="11">
        <f t="shared" ca="1" si="0"/>
        <v>13524</v>
      </c>
      <c r="D54">
        <f t="shared" ca="1" si="20"/>
        <v>190</v>
      </c>
      <c r="E54" s="11">
        <f t="shared" ca="1" si="4"/>
        <v>0</v>
      </c>
      <c r="F54" s="11">
        <f t="shared" ca="1" si="6"/>
        <v>190</v>
      </c>
      <c r="J54" s="13"/>
      <c r="K54" s="3"/>
      <c r="M54" s="17">
        <v>44119</v>
      </c>
      <c r="N54">
        <v>13523</v>
      </c>
      <c r="O54">
        <v>190</v>
      </c>
      <c r="P54" s="17">
        <v>44119</v>
      </c>
      <c r="Q54">
        <v>13523</v>
      </c>
      <c r="R54">
        <v>190</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row>
    <row r="55" spans="1:72">
      <c r="A55" t="str">
        <f t="shared" ca="1" si="1"/>
        <v/>
      </c>
      <c r="B55" s="4">
        <f t="shared" ca="1" si="2"/>
        <v>44120</v>
      </c>
      <c r="C55" s="11">
        <f t="shared" ca="1" si="0"/>
        <v>13717</v>
      </c>
      <c r="D55">
        <f t="shared" ca="1" si="20"/>
        <v>193</v>
      </c>
      <c r="E55" s="11">
        <f t="shared" ca="1" si="4"/>
        <v>2</v>
      </c>
      <c r="F55" s="11">
        <f t="shared" ca="1" si="6"/>
        <v>191</v>
      </c>
      <c r="J55" s="13"/>
      <c r="K55" s="3"/>
      <c r="M55" s="17">
        <v>44120</v>
      </c>
      <c r="N55">
        <v>13714</v>
      </c>
      <c r="O55">
        <v>191</v>
      </c>
      <c r="P55" s="17">
        <v>44120</v>
      </c>
      <c r="Q55">
        <v>13714</v>
      </c>
      <c r="R55">
        <v>191</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row>
    <row r="56" spans="1:72">
      <c r="A56" t="str">
        <f t="shared" ca="1" si="1"/>
        <v/>
      </c>
      <c r="B56" s="4">
        <f t="shared" ca="1" si="2"/>
        <v>44121</v>
      </c>
      <c r="C56" s="11">
        <f t="shared" ca="1" si="0"/>
        <v>13818</v>
      </c>
      <c r="D56">
        <f t="shared" ca="1" si="20"/>
        <v>101</v>
      </c>
      <c r="E56" s="11">
        <f t="shared" ca="1" si="4"/>
        <v>1</v>
      </c>
      <c r="F56" s="11">
        <f t="shared" ca="1" si="6"/>
        <v>100</v>
      </c>
      <c r="J56" s="13"/>
      <c r="K56" s="3"/>
      <c r="M56" s="17">
        <v>44121</v>
      </c>
      <c r="N56">
        <v>13814</v>
      </c>
      <c r="O56">
        <v>100</v>
      </c>
      <c r="P56" s="17">
        <v>44121</v>
      </c>
      <c r="Q56">
        <v>13814</v>
      </c>
      <c r="R56">
        <v>100</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row>
    <row r="57" spans="1:72">
      <c r="A57" t="str">
        <f ca="1">IF(WEEKDAY(B57,2)=1,"Ma","")</f>
        <v/>
      </c>
      <c r="B57" s="4">
        <f t="shared" ca="1" si="2"/>
        <v>44122</v>
      </c>
      <c r="C57" s="11">
        <f t="shared" ca="1" si="0"/>
        <v>13945</v>
      </c>
      <c r="D57">
        <f t="shared" ca="1" si="20"/>
        <v>127</v>
      </c>
      <c r="E57" s="11">
        <f t="shared" ca="1" si="4"/>
        <v>0</v>
      </c>
      <c r="F57" s="11">
        <f t="shared" ca="1" si="6"/>
        <v>127</v>
      </c>
      <c r="J57" s="13"/>
      <c r="K57" s="3"/>
      <c r="M57" s="17">
        <v>44122</v>
      </c>
      <c r="N57">
        <v>13941</v>
      </c>
      <c r="O57">
        <v>127</v>
      </c>
      <c r="P57" s="17">
        <v>44122</v>
      </c>
      <c r="Q57">
        <v>13941</v>
      </c>
      <c r="R57">
        <v>127</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row>
    <row r="58" spans="1:72" s="10" customFormat="1">
      <c r="A58" t="str">
        <f t="shared" ca="1" si="1"/>
        <v>Ma</v>
      </c>
      <c r="B58" s="9">
        <f t="shared" ca="1" si="2"/>
        <v>44123</v>
      </c>
      <c r="C58" s="10">
        <f t="shared" ca="1" si="0"/>
        <v>14187</v>
      </c>
      <c r="D58" s="10">
        <f t="shared" ca="1" si="20"/>
        <v>242</v>
      </c>
      <c r="E58" s="10">
        <f t="shared" ca="1" si="4"/>
        <v>-2</v>
      </c>
      <c r="F58" s="10">
        <f t="shared" ca="1" si="6"/>
        <v>244</v>
      </c>
      <c r="G58" s="10">
        <f ca="1">SUM(D58:D64)</f>
        <v>1025</v>
      </c>
      <c r="J58" s="15"/>
      <c r="K58" s="14"/>
      <c r="L58"/>
      <c r="M58" s="18">
        <v>44123</v>
      </c>
      <c r="N58" s="10">
        <v>14185</v>
      </c>
      <c r="O58" s="10">
        <v>244</v>
      </c>
      <c r="P58" s="18">
        <v>44123</v>
      </c>
      <c r="Q58" s="10">
        <v>14185</v>
      </c>
      <c r="R58" s="10">
        <v>244</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row>
    <row r="59" spans="1:72">
      <c r="A59" t="str">
        <f t="shared" ca="1" si="1"/>
        <v/>
      </c>
      <c r="B59" s="4">
        <f t="shared" ca="1" si="2"/>
        <v>44124</v>
      </c>
      <c r="C59" s="11">
        <f t="shared" ca="1" si="0"/>
        <v>14350</v>
      </c>
      <c r="D59">
        <f t="shared" ca="1" si="20"/>
        <v>163</v>
      </c>
      <c r="E59" s="11">
        <f t="shared" ca="1" si="4"/>
        <v>-2</v>
      </c>
      <c r="F59" s="11">
        <f t="shared" ca="1" si="6"/>
        <v>165</v>
      </c>
      <c r="H59" s="10"/>
      <c r="J59" s="13"/>
      <c r="K59" s="3"/>
      <c r="M59" s="17">
        <v>44124</v>
      </c>
      <c r="N59">
        <v>14350</v>
      </c>
      <c r="O59">
        <v>165</v>
      </c>
      <c r="P59" s="17">
        <v>44124</v>
      </c>
      <c r="Q59">
        <v>14350</v>
      </c>
      <c r="R59">
        <v>165</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row>
    <row r="60" spans="1:72">
      <c r="A60" t="str">
        <f t="shared" ca="1" si="1"/>
        <v/>
      </c>
      <c r="B60" s="4">
        <f t="shared" ca="1" si="2"/>
        <v>44125</v>
      </c>
      <c r="C60" s="11">
        <f t="shared" ca="1" si="0"/>
        <v>14522</v>
      </c>
      <c r="D60">
        <f t="shared" ca="1" si="20"/>
        <v>172</v>
      </c>
      <c r="E60" s="11">
        <f t="shared" ca="1" si="4"/>
        <v>2</v>
      </c>
      <c r="F60" s="11">
        <f t="shared" ca="1" si="6"/>
        <v>170</v>
      </c>
      <c r="J60" s="4"/>
      <c r="K60" s="3"/>
      <c r="M60" s="17">
        <v>44125</v>
      </c>
      <c r="N60">
        <v>14520</v>
      </c>
      <c r="O60">
        <v>170</v>
      </c>
      <c r="P60" s="17">
        <v>44125</v>
      </c>
      <c r="Q60">
        <v>14520</v>
      </c>
      <c r="R60">
        <v>170</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row>
    <row r="61" spans="1:72">
      <c r="A61" t="str">
        <f t="shared" ref="A61:A64" ca="1" si="21">IF(WEEKDAY(B61,2)=1,"Ma","")</f>
        <v/>
      </c>
      <c r="B61" s="4">
        <f t="shared" ca="1" si="2"/>
        <v>44126</v>
      </c>
      <c r="C61" s="11">
        <f t="shared" ca="1" si="0"/>
        <v>14697</v>
      </c>
      <c r="D61">
        <f t="shared" ca="1" si="20"/>
        <v>175</v>
      </c>
      <c r="E61" s="11">
        <f t="shared" ca="1" si="4"/>
        <v>4</v>
      </c>
      <c r="F61" s="11">
        <f t="shared" ca="1" si="6"/>
        <v>171</v>
      </c>
      <c r="J61" s="4"/>
      <c r="K61" s="3"/>
      <c r="M61" s="17">
        <v>44126</v>
      </c>
      <c r="N61">
        <v>14691</v>
      </c>
      <c r="O61">
        <v>171</v>
      </c>
      <c r="P61" s="17">
        <v>44126</v>
      </c>
      <c r="Q61">
        <v>14691</v>
      </c>
      <c r="R61">
        <v>171</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row>
    <row r="62" spans="1:72">
      <c r="A62" t="str">
        <f t="shared" ca="1" si="21"/>
        <v/>
      </c>
      <c r="B62" s="4">
        <f t="shared" ca="1" si="2"/>
        <v>44127</v>
      </c>
      <c r="C62" s="11">
        <f t="shared" ca="1" si="0"/>
        <v>14852</v>
      </c>
      <c r="D62">
        <f t="shared" ca="1" si="20"/>
        <v>155</v>
      </c>
      <c r="E62" s="11">
        <f t="shared" ca="1" si="4"/>
        <v>23</v>
      </c>
      <c r="F62" s="11">
        <f t="shared" ca="1" si="6"/>
        <v>132</v>
      </c>
      <c r="J62" s="4"/>
      <c r="K62" s="3"/>
      <c r="M62" s="17">
        <v>44127</v>
      </c>
      <c r="N62">
        <v>14823</v>
      </c>
      <c r="O62">
        <v>132</v>
      </c>
      <c r="P62" s="17">
        <v>44127</v>
      </c>
      <c r="Q62">
        <v>14823</v>
      </c>
      <c r="R62">
        <v>132</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row>
    <row r="63" spans="1:72">
      <c r="A63" t="str">
        <f t="shared" ca="1" si="21"/>
        <v/>
      </c>
      <c r="B63" s="4">
        <f ca="1">B64-1</f>
        <v>44128</v>
      </c>
      <c r="C63" s="11">
        <f t="shared" ca="1" si="0"/>
        <v>14925</v>
      </c>
      <c r="D63">
        <f t="shared" ca="1" si="20"/>
        <v>73</v>
      </c>
      <c r="E63" s="11">
        <f t="shared" ca="1" si="4"/>
        <v>48</v>
      </c>
      <c r="F63" s="11">
        <f t="shared" ca="1" si="6"/>
        <v>25</v>
      </c>
      <c r="J63" s="4"/>
      <c r="K63" s="3"/>
      <c r="M63" s="17">
        <v>44128</v>
      </c>
      <c r="N63">
        <v>14848</v>
      </c>
      <c r="O63">
        <v>25</v>
      </c>
      <c r="P63" s="17">
        <v>44128</v>
      </c>
      <c r="Q63">
        <v>14848</v>
      </c>
      <c r="R63">
        <v>25</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row>
    <row r="64" spans="1:72" s="10" customFormat="1">
      <c r="A64" t="str">
        <f t="shared" ca="1" si="21"/>
        <v/>
      </c>
      <c r="B64" s="9">
        <f ca="1">B65-1</f>
        <v>44129</v>
      </c>
      <c r="C64" s="10">
        <f t="shared" ca="1" si="0"/>
        <v>14970</v>
      </c>
      <c r="D64" s="10">
        <f ca="1">C64-C63</f>
        <v>45</v>
      </c>
      <c r="E64" s="10">
        <f t="shared" ca="1" si="4"/>
        <v>45</v>
      </c>
      <c r="F64" s="10">
        <f t="shared" ca="1" si="6"/>
        <v>0</v>
      </c>
      <c r="J64" s="9"/>
      <c r="K64" s="14"/>
      <c r="M64" s="18">
        <v>44129</v>
      </c>
      <c r="N64" s="10">
        <v>14848</v>
      </c>
      <c r="O64" s="10">
        <v>0</v>
      </c>
      <c r="P64" s="18">
        <v>44129</v>
      </c>
      <c r="Q64" s="10">
        <v>14848</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row>
    <row r="65" spans="1:73">
      <c r="A65" t="str">
        <f ca="1">IF(WEEKDAY(B65,2)=1,"Ma","")</f>
        <v>Ma</v>
      </c>
      <c r="B65" s="12">
        <f ca="1">FLOOR(NOW(),1)</f>
        <v>44130</v>
      </c>
      <c r="C65" s="11">
        <f t="shared" ca="1" si="0"/>
        <v>14970</v>
      </c>
      <c r="D65" s="11">
        <f ca="1">C65-C64</f>
        <v>0</v>
      </c>
      <c r="E65" s="11">
        <f ca="1">_xlfn.IFNA(D65-F65,"")</f>
        <v>0</v>
      </c>
      <c r="F65" s="11">
        <f t="shared" ca="1" si="6"/>
        <v>0</v>
      </c>
      <c r="K65" t="s">
        <v>309</v>
      </c>
      <c r="L65">
        <f ca="1">C65-N65</f>
        <v>122</v>
      </c>
      <c r="M65" s="17">
        <v>44130</v>
      </c>
      <c r="N65">
        <v>14848</v>
      </c>
      <c r="O65">
        <v>0</v>
      </c>
      <c r="P65" s="17">
        <v>44130</v>
      </c>
      <c r="Q65">
        <v>14848</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row>
    <row r="67" spans="1:73">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2020-10-26T09:47:29Z</dcterms:modified>
</cp:coreProperties>
</file>