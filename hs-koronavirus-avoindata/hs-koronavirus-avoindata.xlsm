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3936" documentId="14_{2DA7F42E-7C56-4F6D-8CBD-7666B251DC9A}" xr6:coauthVersionLast="46" xr6:coauthVersionMax="46" xr10:uidLastSave="{DFB16642-A412-4267-9A48-08EC41540485}"/>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1" l="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A437" i="8"/>
  <c r="C437" i="8"/>
  <c r="D437" i="8"/>
  <c r="A438" i="8"/>
  <c r="C438" i="8"/>
  <c r="D438" i="8"/>
  <c r="A439" i="8"/>
  <c r="C439" i="8"/>
  <c r="D439" i="8"/>
  <c r="A440" i="8"/>
  <c r="C440" i="8"/>
  <c r="D440" i="8"/>
  <c r="A441" i="8"/>
  <c r="C441" i="8"/>
  <c r="D441" i="8"/>
  <c r="A442" i="8"/>
  <c r="C442" i="8"/>
  <c r="D442" i="8"/>
  <c r="A443" i="8"/>
  <c r="C443" i="8"/>
  <c r="D443" i="8"/>
  <c r="A444" i="8"/>
  <c r="C444" i="8"/>
  <c r="D444" i="8"/>
  <c r="A445" i="8"/>
  <c r="C445" i="8"/>
  <c r="D445" i="8"/>
  <c r="A446" i="8"/>
  <c r="C446" i="8"/>
  <c r="D446" i="8"/>
  <c r="A447" i="8"/>
  <c r="C447" i="8"/>
  <c r="D447" i="8"/>
  <c r="A448" i="8"/>
  <c r="C448" i="8"/>
  <c r="D448" i="8"/>
  <c r="A449" i="8"/>
  <c r="C449" i="8"/>
  <c r="D449" i="8"/>
  <c r="A450" i="8"/>
  <c r="C450" i="8"/>
  <c r="D450" i="8"/>
  <c r="A451" i="8"/>
  <c r="C451" i="8"/>
  <c r="D451" i="8"/>
  <c r="A452" i="8"/>
  <c r="C452" i="8"/>
  <c r="D452" i="8"/>
  <c r="A453" i="8"/>
  <c r="C453" i="8"/>
  <c r="D453" i="8"/>
  <c r="A454" i="8"/>
  <c r="C454" i="8"/>
  <c r="D454" i="8"/>
  <c r="A455" i="8"/>
  <c r="C455" i="8"/>
  <c r="D455" i="8"/>
  <c r="A456" i="8"/>
  <c r="C456" i="8"/>
  <c r="D456" i="8"/>
  <c r="A457" i="8"/>
  <c r="C457" i="8"/>
  <c r="D457" i="8"/>
  <c r="A458" i="8"/>
  <c r="C458" i="8"/>
  <c r="D458" i="8"/>
  <c r="A459" i="8"/>
  <c r="C459" i="8"/>
  <c r="D459" i="8"/>
  <c r="A460" i="8"/>
  <c r="C460" i="8"/>
  <c r="D460" i="8"/>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60" i="8" l="1"/>
  <c r="E452" i="8"/>
  <c r="N1" i="7"/>
  <c r="E444" i="8"/>
  <c r="E436" i="8"/>
  <c r="E428" i="8"/>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LZ38" i="2" s="1"/>
  <c r="MC36" i="2"/>
  <c r="MC38" i="2" s="1"/>
  <c r="MF36" i="2"/>
  <c r="MF38" i="2" s="1"/>
  <c r="MI36" i="2"/>
  <c r="MI38" i="2" s="1"/>
  <c r="ML36" i="2"/>
  <c r="ML38" i="2" s="1"/>
  <c r="MO36" i="2"/>
  <c r="MO38" i="2" s="1"/>
  <c r="MR36" i="2"/>
  <c r="MR38" i="2" s="1"/>
  <c r="MU36" i="2"/>
  <c r="MU38" i="2" s="1"/>
  <c r="MX36" i="2"/>
  <c r="MX38" i="2" s="1"/>
  <c r="NA36" i="2"/>
  <c r="NA38" i="2" s="1"/>
  <c r="ND36" i="2"/>
  <c r="ND38" i="2" s="1"/>
  <c r="NG36" i="2"/>
  <c r="NG38" i="2" s="1"/>
  <c r="NJ36" i="2"/>
  <c r="NJ38" i="2" s="1"/>
  <c r="NM36" i="2"/>
  <c r="NM38" i="2" s="1"/>
  <c r="NP36" i="2"/>
  <c r="NP38" i="2" s="1"/>
  <c r="NS36" i="2"/>
  <c r="NS38" i="2" s="1"/>
  <c r="NV36" i="2"/>
  <c r="NV38" i="2" s="1"/>
  <c r="NY36" i="2"/>
  <c r="NY38" i="2" s="1"/>
  <c r="OB36" i="2"/>
  <c r="OB38" i="2" s="1"/>
  <c r="OE36" i="2"/>
  <c r="OE38" i="2" s="1"/>
  <c r="OH36" i="2"/>
  <c r="OH38" i="2" s="1"/>
  <c r="OK36" i="2"/>
  <c r="OK38" i="2" s="1"/>
  <c r="ON36" i="2"/>
  <c r="ON38" i="2" s="1"/>
  <c r="OQ36" i="2"/>
  <c r="OQ38" i="2" s="1"/>
  <c r="OT36" i="2"/>
  <c r="OT38" i="2" s="1"/>
  <c r="OW36" i="2"/>
  <c r="OW38" i="2" s="1"/>
  <c r="OZ36" i="2"/>
  <c r="OZ38" i="2" s="1"/>
  <c r="PC36" i="2"/>
  <c r="PC38" i="2" s="1"/>
  <c r="PF36" i="2"/>
  <c r="PF38" i="2" s="1"/>
  <c r="PI36" i="2"/>
  <c r="PI38" i="2" s="1"/>
  <c r="PL36" i="2"/>
  <c r="PL38" i="2" s="1"/>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H38" i="2" s="1"/>
  <c r="RK36" i="2"/>
  <c r="RK38" i="2" s="1"/>
  <c r="RN36" i="2"/>
  <c r="RN38" i="2" s="1"/>
  <c r="RQ36" i="2"/>
  <c r="RQ38" i="2" s="1"/>
  <c r="RT36" i="2"/>
  <c r="RT38" i="2" s="1"/>
  <c r="RW36" i="2"/>
  <c r="RW38" i="2" s="1"/>
  <c r="RZ36" i="2"/>
  <c r="RZ38" i="2" s="1"/>
  <c r="SC36" i="2"/>
  <c r="SC38" i="2" s="1"/>
  <c r="SF36" i="2"/>
  <c r="SF38" i="2" s="1"/>
  <c r="SI36" i="2"/>
  <c r="SI38" i="2" s="1"/>
  <c r="SL36" i="2"/>
  <c r="SL38" i="2" s="1"/>
  <c r="SO36" i="2"/>
  <c r="SO38" i="2" s="1"/>
  <c r="SR36" i="2"/>
  <c r="SR38" i="2" s="1"/>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s="1"/>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s="1"/>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s="1"/>
  <c r="HA36" i="2"/>
  <c r="HA38" i="2" s="1"/>
  <c r="GX36" i="2"/>
  <c r="GX38" i="2" s="1"/>
  <c r="GU37" i="2"/>
  <c r="GR37" i="2"/>
  <c r="GO37" i="2"/>
  <c r="GL37" i="2"/>
  <c r="GI37" i="2"/>
  <c r="GF37" i="2"/>
  <c r="GC37" i="2"/>
  <c r="GU36" i="2"/>
  <c r="GU38" i="2" s="1"/>
  <c r="GR36" i="2"/>
  <c r="GR38" i="2" s="1"/>
  <c r="GO36" i="2"/>
  <c r="GO38" i="2" s="1"/>
  <c r="GL36" i="2"/>
  <c r="GL38" i="2" s="1"/>
  <c r="GI36" i="2"/>
  <c r="GI38" i="2" s="1"/>
  <c r="GF36" i="2"/>
  <c r="GF38" i="2" s="1"/>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B35" i="2" s="1"/>
  <c r="D35" i="2" l="1"/>
  <c r="L1" i="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80" i="4" s="1"/>
  <c r="B52" i="2"/>
  <c r="F50" i="2"/>
  <c r="D50" i="2"/>
  <c r="D51" i="2" s="1"/>
  <c r="D52" i="2" s="1"/>
  <c r="D53" i="2" s="1"/>
  <c r="D54" i="2" s="1"/>
  <c r="D55" i="2" s="1"/>
  <c r="D56" i="2" s="1"/>
  <c r="D57" i="2" s="1"/>
  <c r="D58" i="2" s="1"/>
  <c r="D59" i="2" s="1"/>
  <c r="C50" i="2"/>
  <c r="E50" i="2" s="1"/>
  <c r="C34" i="2"/>
  <c r="B34" i="2" s="1"/>
  <c r="G35" i="2"/>
  <c r="Q37" i="2" l="1"/>
  <c r="Q38" i="2" s="1"/>
  <c r="S31" i="4"/>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D34" i="2"/>
  <c r="G34" i="2"/>
  <c r="C33" i="2"/>
  <c r="B33" i="2" s="1"/>
  <c r="C40" i="2" l="1"/>
  <c r="P25" i="4"/>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C32" i="2"/>
  <c r="B32" i="2" s="1"/>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D32" i="2"/>
  <c r="C31" i="2"/>
  <c r="B31" i="2" s="1"/>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B30" i="2" s="1"/>
  <c r="G31" i="2"/>
  <c r="D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D30" i="2"/>
  <c r="C29" i="2"/>
  <c r="B29" i="2" s="1"/>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G29" i="2"/>
  <c r="C28" i="2"/>
  <c r="B28" i="2" s="1"/>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B27" i="2" s="1"/>
  <c r="D28" i="2"/>
  <c r="G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C26" i="2"/>
  <c r="B26" i="2" s="1"/>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G26" i="2"/>
  <c r="D26" i="2"/>
  <c r="C25" i="2"/>
  <c r="B25" i="2" s="1"/>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4" i="2" s="1"/>
  <c r="G25" i="2"/>
  <c r="E26" i="2" l="1"/>
  <c r="F26" i="2" s="1"/>
  <c r="W62" i="2"/>
  <c r="Y56" i="2" s="1"/>
  <c r="V64" i="2"/>
  <c r="B95" i="2"/>
  <c r="C93" i="2"/>
  <c r="E83" i="2" s="1"/>
  <c r="R66" i="2"/>
  <c r="S64" i="2"/>
  <c r="U57" i="2" s="1"/>
  <c r="AE58" i="2"/>
  <c r="AG54" i="2" s="1"/>
  <c r="AD60" i="2"/>
  <c r="Z62" i="2"/>
  <c r="AA60" i="2"/>
  <c r="AC55" i="2" s="1"/>
  <c r="N68" i="2"/>
  <c r="O68" i="2" s="1"/>
  <c r="Q59" i="2" s="1"/>
  <c r="O66" i="2"/>
  <c r="Q58" i="2" s="1"/>
  <c r="G24" i="2"/>
  <c r="C23" i="2"/>
  <c r="B23" i="2" s="1"/>
  <c r="D24" i="2"/>
  <c r="B58" i="4" l="1"/>
  <c r="E25" i="2"/>
  <c r="F25" i="2" s="1"/>
  <c r="Z64" i="2"/>
  <c r="AA62" i="2"/>
  <c r="AC56" i="2" s="1"/>
  <c r="AE60" i="2"/>
  <c r="AG55" i="2" s="1"/>
  <c r="AD62" i="2"/>
  <c r="R68" i="2"/>
  <c r="S68" i="2" s="1"/>
  <c r="U59" i="2" s="1"/>
  <c r="S66" i="2"/>
  <c r="U58" i="2" s="1"/>
  <c r="C95" i="2"/>
  <c r="E84" i="2" s="1"/>
  <c r="B97" i="2"/>
  <c r="V66" i="2"/>
  <c r="W64" i="2"/>
  <c r="Y57" i="2" s="1"/>
  <c r="D23" i="2"/>
  <c r="C22" i="2"/>
  <c r="B22" i="2" s="1"/>
  <c r="G23" i="2"/>
  <c r="K25" i="2" l="1"/>
  <c r="E24" i="2"/>
  <c r="F24" i="2" s="1"/>
  <c r="C97" i="2"/>
  <c r="E85" i="2" s="1"/>
  <c r="B99" i="2"/>
  <c r="AD64" i="2"/>
  <c r="AE62" i="2"/>
  <c r="AG56" i="2" s="1"/>
  <c r="V68" i="2"/>
  <c r="W68" i="2" s="1"/>
  <c r="Y59" i="2" s="1"/>
  <c r="W66" i="2"/>
  <c r="Y58" i="2" s="1"/>
  <c r="Z66" i="2"/>
  <c r="AA64" i="2"/>
  <c r="AC57" i="2" s="1"/>
  <c r="G22" i="2"/>
  <c r="D22" i="2"/>
  <c r="C21" i="2"/>
  <c r="B21" i="2" s="1"/>
  <c r="E23" i="2" l="1"/>
  <c r="F23" i="2" s="1"/>
  <c r="AE64" i="2"/>
  <c r="AG57" i="2" s="1"/>
  <c r="AD66" i="2"/>
  <c r="AA66" i="2"/>
  <c r="AC58" i="2" s="1"/>
  <c r="Z68" i="2"/>
  <c r="AA68" i="2" s="1"/>
  <c r="AC59" i="2" s="1"/>
  <c r="C99" i="2"/>
  <c r="E86" i="2" s="1"/>
  <c r="B101" i="2"/>
  <c r="C20" i="2"/>
  <c r="B20" i="2" s="1"/>
  <c r="G21" i="2"/>
  <c r="D21" i="2"/>
  <c r="E22" i="2" l="1"/>
  <c r="F22" i="2" s="1"/>
  <c r="B103" i="2"/>
  <c r="C101" i="2"/>
  <c r="E87" i="2" s="1"/>
  <c r="AD68" i="2"/>
  <c r="AE68" i="2" s="1"/>
  <c r="AG59" i="2" s="1"/>
  <c r="AE66" i="2"/>
  <c r="AG58" i="2" s="1"/>
  <c r="C19" i="2"/>
  <c r="B19" i="2" s="1"/>
  <c r="D20" i="2"/>
  <c r="G20" i="2"/>
  <c r="E21" i="2" l="1"/>
  <c r="B105" i="2"/>
  <c r="C103" i="2"/>
  <c r="E88" i="2" s="1"/>
  <c r="G19" i="2"/>
  <c r="D19" i="2"/>
  <c r="C18" i="2"/>
  <c r="B18" i="2" s="1"/>
  <c r="H21" i="2" l="1"/>
  <c r="I28" i="2" s="1"/>
  <c r="F21" i="2"/>
  <c r="E20" i="2"/>
  <c r="F20" i="2" s="1"/>
  <c r="J21" i="2"/>
  <c r="B107" i="2"/>
  <c r="C105" i="2"/>
  <c r="E89" i="2" s="1"/>
  <c r="D18" i="2"/>
  <c r="C17" i="2"/>
  <c r="B17" i="2" s="1"/>
  <c r="G18" i="2"/>
  <c r="C107" i="2" l="1"/>
  <c r="E90" i="2" s="1"/>
  <c r="B109" i="2"/>
  <c r="E19" i="2"/>
  <c r="F19" i="2" s="1"/>
  <c r="C16" i="2"/>
  <c r="B16" i="2" s="1"/>
  <c r="D17" i="2"/>
  <c r="G17" i="2"/>
  <c r="E18" i="2" l="1"/>
  <c r="F18" i="2" s="1"/>
  <c r="B111" i="2"/>
  <c r="C109" i="2"/>
  <c r="E91" i="2" s="1"/>
  <c r="C15" i="2"/>
  <c r="B15" i="2" s="1"/>
  <c r="G16" i="2"/>
  <c r="D16" i="2"/>
  <c r="K18" i="2" l="1"/>
  <c r="L25" i="2" s="1"/>
  <c r="C111" i="2"/>
  <c r="E92" i="2" s="1"/>
  <c r="B113" i="2"/>
  <c r="E17" i="2"/>
  <c r="F17" i="2" s="1"/>
  <c r="G15" i="2"/>
  <c r="D15" i="2"/>
  <c r="C14" i="2"/>
  <c r="B14" i="2" s="1"/>
  <c r="E16" i="2" l="1"/>
  <c r="F16" i="2" s="1"/>
  <c r="C113" i="2"/>
  <c r="E93" i="2" s="1"/>
  <c r="B115" i="2"/>
  <c r="G14" i="2"/>
  <c r="D14" i="2"/>
  <c r="C13" i="2"/>
  <c r="B13" i="2" s="1"/>
  <c r="E15" i="2" l="1"/>
  <c r="F15" i="2" s="1"/>
  <c r="B117" i="2"/>
  <c r="C115" i="2"/>
  <c r="E94" i="2" s="1"/>
  <c r="G13" i="2"/>
  <c r="D13" i="2"/>
  <c r="C12" i="2"/>
  <c r="B12" i="2" s="1"/>
  <c r="E14" i="2" l="1"/>
  <c r="F14" i="2" s="1"/>
  <c r="C117" i="2"/>
  <c r="E95" i="2" s="1"/>
  <c r="B119" i="2"/>
  <c r="G12" i="2"/>
  <c r="D12" i="2"/>
  <c r="C11" i="2"/>
  <c r="B11" i="2" s="1"/>
  <c r="H14" i="2" l="1"/>
  <c r="I21" i="2" s="1"/>
  <c r="E13" i="2"/>
  <c r="F13" i="2" s="1"/>
  <c r="C119" i="2"/>
  <c r="E96" i="2" s="1"/>
  <c r="B121" i="2"/>
  <c r="C10" i="2"/>
  <c r="B10" i="2" s="1"/>
  <c r="G11" i="2"/>
  <c r="D11" i="2"/>
  <c r="B123" i="2" l="1"/>
  <c r="C121" i="2"/>
  <c r="E97" i="2" s="1"/>
  <c r="E12" i="2"/>
  <c r="F12" i="2" s="1"/>
  <c r="G10" i="2"/>
  <c r="D10" i="2"/>
  <c r="C9" i="2"/>
  <c r="B9" i="2" s="1"/>
  <c r="E11" i="2" l="1"/>
  <c r="B125" i="2"/>
  <c r="C123" i="2"/>
  <c r="E98" i="2" s="1"/>
  <c r="D9" i="2"/>
  <c r="G9" i="2"/>
  <c r="C8" i="2"/>
  <c r="B8" i="2" s="1"/>
  <c r="K11" i="2" l="1"/>
  <c r="L18" i="2" s="1"/>
  <c r="F11" i="2"/>
  <c r="E10" i="2"/>
  <c r="F10" i="2" s="1"/>
  <c r="B127" i="2"/>
  <c r="C125" i="2"/>
  <c r="E99" i="2" s="1"/>
  <c r="G8" i="2"/>
  <c r="C7" i="2"/>
  <c r="B7" i="2" s="1"/>
  <c r="D8" i="2"/>
  <c r="G7" i="2" l="1"/>
  <c r="E9" i="2"/>
  <c r="F9" i="2" s="1"/>
  <c r="C127" i="2"/>
  <c r="E100" i="2" s="1"/>
  <c r="B129" i="2"/>
  <c r="D7" i="2"/>
  <c r="C6" i="2"/>
  <c r="B6" i="2" s="1"/>
  <c r="E8" i="2" l="1"/>
  <c r="F8" i="2" s="1"/>
  <c r="C129" i="2"/>
  <c r="E101" i="2" s="1"/>
  <c r="B131" i="2"/>
  <c r="D6" i="2"/>
  <c r="E7" i="2" s="1"/>
  <c r="F7" i="2" s="1"/>
  <c r="C131" i="2" l="1"/>
  <c r="E102" i="2" s="1"/>
  <c r="B133" i="2"/>
  <c r="F5" i="2"/>
  <c r="B40" i="4" s="1"/>
  <c r="J7" i="2"/>
  <c r="H7" i="2"/>
  <c r="I14" i="2" s="1"/>
  <c r="B41" i="4" l="1"/>
  <c r="B59" i="4"/>
  <c r="B135" i="2"/>
  <c r="C133" i="2"/>
  <c r="E103" i="2" s="1"/>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<sst xmlns="http://schemas.openxmlformats.org/spreadsheetml/2006/main" count="2444" uniqueCount="506">
  <si>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</si>
  <si>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</si>
  <si>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</si>
  <si>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</si>
  <si>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</si>
  <si>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</si>
  <si>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</si>
  <si>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</si>
  <si>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</si>
  <si>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</si>
  <si>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</si>
  <si>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</si>
  <si>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</si>
  <si>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</si>
  <si>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</si>
  <si>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</si>
  <si>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</si>
  <si>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</si>
  <si>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</si>
  <si>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</si>
  <si>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</si>
  <si>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</si>
  <si>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</si>
  <si>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</si>
  <si>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</si>
  <si>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</si>
  <si>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</si>
  <si>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</si>
  <si>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</si>
  <si>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</si>
  <si>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</si>
  <si>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</si>
  <si>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</si>
  <si>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</si>
  <si>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</si>
  <si>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</si>
  <si>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</si>
  <si>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</si>
  <si>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</si>
  <si>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</si>
  <si>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</si>
  <si>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</si>
  <si>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</si>
  <si>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</si>
  <si>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</si>
  <si>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</si>
  <si>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</si>
  <si>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</si>
  <si>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</si>
  <si>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</si>
  <si>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</si>
  <si>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</si>
  <si>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</si>
  <si>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</si>
  <si>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</si>
  <si>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</si>
  <si>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</si>
  <si>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</si>
  <si>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</si>
  <si>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</si>
  <si>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</si>
  <si>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</si>
  <si>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</si>
  <si>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</si>
  <si>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</si>
  <si>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</si>
  <si>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</si>
  <si>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</si>
  <si>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</si>
  <si>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</si>
  <si>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</si>
  <si>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</si>
  <si>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</si>
  <si>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</si>
  <si>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</si>
  <si>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</si>
  <si>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</si>
  <si>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</si>
  <si>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</si>
  <si>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</si>
  <si>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</si>
  <si>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</si>
  <si>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</si>
  <si>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</si>
  <si>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</si>
  <si>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</si>
  <si>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</si>
  <si>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</si>
  <si>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</si>
  <si>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</si>
  <si>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</si>
  <si>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</si>
  <si>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</si>
  <si>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</si>
  <si>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</si>
  <si>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</si>
  <si>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</si>
  <si>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</si>
  <si>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</si>
  <si>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</si>
  <si>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</si>
  <si>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</si>
  <si>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</si>
  <si>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</si>
  <si>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</si>
  <si>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</si>
  <si>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</si>
  <si>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</si>
  <si>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</si>
  <si>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</si>
  <si>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</si>
  <si>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</si>
  <si>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</si>
  <si>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</si>
  <si>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</si>
  <si>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</si>
  <si>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</si>
  <si>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</si>
  <si>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</si>
  <si>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</si>
  <si>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</si>
  <si>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</si>
  <si>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</si>
  <si>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</si>
  <si>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</si>
  <si>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</si>
  <si>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</si>
  <si>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</si>
  <si>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</si>
  <si>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</si>
  <si>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</si>
  <si>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</si>
  <si>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</si>
  <si>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</si>
  <si>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</si>
  <si>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</si>
  <si>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</si>
  <si>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</si>
  <si>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</si>
  <si>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</si>
  <si>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</si>
  <si>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</si>
  <si>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</si>
  <si>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</si>
  <si>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</si>
  <si>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</si>
  <si>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</si>
  <si>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</si>
  <si>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</si>
  <si>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</si>
  <si>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</si>
  <si>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</si>
  <si>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</si>
  <si>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</si>
  <si>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</si>
  <si>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</si>
  <si>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</si>
  <si>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</si>
  <si>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</si>
  <si>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</si>
  <si>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</si>
  <si>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</si>
  <si>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</si>
  <si>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</si>
  <si>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</si>
  <si>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</si>
  <si>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</si>
  <si>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</si>
  <si>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</si>
  <si>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</si>
  <si>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</si>
  <si>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</si>
  <si>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</si>
  <si>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</si>
  <si>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</si>
  <si>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</si>
  <si>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</si>
  <si>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</si>
  <si>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</si>
  <si>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</si>
  <si>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</si>
  <si>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</si>
  <si>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</si>
  <si>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</si>
  <si>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</si>
  <si>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</si>
  <si>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</si>
  <si>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</si>
  <si>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</si>
  <si>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</si>
  <si>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</si>
  <si>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</si>
  <si>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</si>
  <si>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</si>
  <si>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</si>
  <si>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</si>
  <si>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</si>
  <si>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</si>
  <si>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</si>
  <si>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</si>
  <si>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</si>
  <si>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</si>
  <si>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</si>
  <si>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</si>
  <si>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</si>
  <si>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</si>
  <si>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</si>
  <si>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</si>
  <si>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</si>
  <si>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</si>
  <si>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</si>
  <si>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</si>
  <si>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</si>
  <si>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</si>
  <si>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</si>
  <si>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</si>
  <si>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</si>
  <si>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</si>
  <si>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</si>
  <si>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</si>
  <si>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</si>
  <si>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</si>
  <si>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</si>
  <si>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</si>
  <si>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</si>
  <si>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</si>
  <si>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</si>
  <si>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</si>
  <si>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</si>
  <si>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</si>
  <si>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</si>
  <si>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</si>
  <si>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</si>
  <si>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</si>
  <si>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</si>
  <si>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</si>
  <si>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</si>
  <si>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</si>
  <si>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</si>
  <si>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</si>
  <si>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</si>
  <si>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</si>
  <si>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</si>
  <si>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</si>
  <si>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</si>
  <si>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</si>
  <si>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</si>
  <si>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</si>
  <si>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</si>
  <si>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</si>
  <si>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</si>
  <si>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</si>
  <si>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</si>
  <si>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</si>
  <si>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</si>
  <si>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</si>
  <si>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</si>
  <si>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</si>
  <si>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</si>
  <si>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</si>
  <si>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</si>
  <si>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</si>
  <si>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</si>
  <si>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</si>
  <si>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</si>
  <si>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</si>
  <si>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</si>
  <si>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</si>
  <si>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</si>
  <si>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</si>
  <si>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</si>
  <si>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</si>
  <si>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</si>
  <si>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</si>
  <si>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</si>
  <si>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</si>
  <si>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</si>
  <si>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</si>
  <si>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</si>
  <si>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</si>
  <si>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</si>
  <si>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</si>
  <si>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</si>
  <si>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</si>
  <si>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</si>
  <si>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</si>
  <si>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</si>
  <si>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</si>
  <si>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</si>
  <si>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</si>
  <si>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</si>
  <si>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</si>
  <si>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</si>
  <si>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</si>
  <si>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</si>
  <si>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</si>
  <si>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</si>
  <si>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</si>
  <si>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</si>
  <si>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</si>
  <si>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</si>
  <si>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</si>
  <si>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</si>
  <si>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</si>
  <si>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</si>
  <si>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</si>
  <si>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</si>
  <si>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</si>
  <si>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</si>
  <si>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</si>
  <si>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</si>
  <si>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</si>
  <si>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</si>
  <si>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</si>
  <si>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</si>
  <si>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</si>
  <si>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</si>
  <si>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</si>
  <si>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</si>
  <si>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</si>
  <si>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</si>
  <si>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</si>
  <si>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</si>
  <si>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</si>
  <si>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</si>
  <si>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</si>
  <si>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</si>
  <si>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</si>
  <si>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</si>
  <si>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</si>
  <si>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</si>
  <si>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</si>
  <si>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</si>
  <si>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</si>
  <si>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</si>
  <si>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</si>
  <si>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</si>
  <si>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</si>
  <si>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</si>
  <si>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</si>
  <si>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</si>
  <si>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</si>
  <si>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</si>
  <si>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</si>
  <si>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</si>
  <si>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</si>
  <si>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</si>
  <si>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</si>
  <si>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</si>
  <si>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</si>
  <si>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</si>
  <si>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</si>
  <si>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</si>
  <si>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</si>
  <si>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</si>
  <si>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</si>
  <si>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</si>
  <si>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</si>
  <si>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</si>
  <si>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</si>
  <si>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</si>
  <si>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</si>
  <si>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</si>
  <si>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</si>
  <si>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</si>
  <si>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</si>
  <si>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</si>
  <si>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</si>
  <si>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</si>
  <si>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</si>
  <si>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</si>
  <si>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</si>
  <si>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</si>
  <si>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</si>
  <si>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</si>
  <si>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</si>
  <si>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</si>
  <si>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</si>
  <si>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</si>
  <si>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</si>
  <si>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</si>
  <si>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</si>
  <si>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</si>
  <si>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</si>
  <si>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</si>
  <si>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</si>
  <si>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</si>
  <si>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</si>
  <si>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</si>
  <si>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</si>
  <si>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</si>
  <si>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</si>
  <si>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</si>
  <si>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</si>
  <si>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</si>
  <si>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</si>
  <si>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</si>
  <si>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</si>
  <si>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</si>
  <si>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</si>
  <si>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</si>
  <si>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</si>
  <si>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</si>
  <si>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</si>
  <si>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</si>
  <si>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</si>
  <si>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</si>
  <si>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</si>
  <si>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</si>
  <si>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</si>
  <si>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</si>
  <si>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</si>
  <si>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</si>
  <si>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</si>
  <si>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</si>
  <si>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</si>
  <si>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</si>
  <si>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</si>
  <si>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</si>
  <si>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</si>
  <si>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</si>
  <si>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</si>
  <si>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</si>
  <si>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</si>
  <si>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</si>
  <si>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</si>
  <si>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</si>
  <si>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</si>
  <si>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</si>
  <si>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</si>
  <si>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</si>
  <si>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</si>
  <si>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</si>
  <si>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</si>
  <si>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</si>
  <si>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</si>
  <si>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</si>
  <si>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</si>
  <si>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</si>
  <si>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</si>
  <si>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</si>
  <si>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</si>
  <si>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</si>
  <si>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</si>
  <si>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</si>
  <si>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</si>
  <si>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</si>
  <si>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</si>
  <si>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</si>
  <si>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</si>
  <si>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</si>
  <si>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</si>
  <si>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</si>
  <si>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</si>
  <si>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</si>
  <si>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</si>
  <si>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</si>
  <si>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</si>
  <si>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</si>
  <si>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</si>
  <si>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</si>
  <si>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</si>
  <si>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</si>
  <si>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</si>
  <si>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</si>
  <si>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</si>
  <si>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</si>
  <si>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</si>
  <si>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</si>
  <si>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</si>
  <si>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</si>
  <si>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</si>
  <si>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</si>
  <si>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</si>
  <si>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</si>
  <si>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</si>
  <si>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</si>
  <si>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2021-03-06T15:00:00.000Z</t>
  </si>
  <si>
    <t>2021-03-07T15:00:00.000Z</t>
  </si>
  <si>
    <t>2021-03-08T15:00:00.000Z</t>
  </si>
  <si>
    <t>2021-03-09T15:00:00.000Z</t>
  </si>
  <si>
    <t>2021-03-10T15:00:00.000Z</t>
  </si>
  <si>
    <t>2021-03-11T15:00:00.000Z</t>
  </si>
  <si>
    <t>2021-03-12T15:00:00.000Z</t>
  </si>
  <si>
    <t>2021-03-13T15:00:00.000Z</t>
  </si>
  <si>
    <t>2021-03-14T15:00:00.000Z</t>
  </si>
  <si>
    <t>2021-03-15T15:00:00.000Z</t>
  </si>
  <si>
    <t>2021-03-16T15:00:00.000Z</t>
  </si>
  <si>
    <t>2021-03-17T15:00:00.000Z</t>
  </si>
  <si>
    <t>2021-03-18T15:00:00.000Z</t>
  </si>
  <si>
    <t>2021-03-19T15:00:00.000Z</t>
  </si>
  <si>
    <t>2021-03-20T15:00:00.000Z</t>
  </si>
  <si>
    <t>2021-03-21T15:00:00.000Z</t>
  </si>
  <si>
    <t>2021-03-22T15:00:00.000Z</t>
  </si>
  <si>
    <t>2021-03-23T15:00:00.000Z</t>
  </si>
  <si>
    <t>2021-03-24T15:00:00.000Z</t>
  </si>
  <si>
    <t>2021-03-25T15:00:00.000Z</t>
  </si>
  <si>
    <t>2021-03-26T15:00:00.000Z</t>
  </si>
  <si>
    <t>2021-03-27T15:00:00.000Z</t>
  </si>
  <si>
    <t>2021-03-28T15:00:00.000Z</t>
  </si>
  <si>
    <t>2021-03-29T15:00:00.000Z</t>
  </si>
  <si>
    <t>2021-03-30T15:00:00.000Z</t>
  </si>
  <si>
    <t>2021-03-31T15:00:00.000Z</t>
  </si>
  <si>
    <t>2021-04-01T15:00:00.000Z</t>
  </si>
  <si>
    <t>2021-04-02T15:00:00.000Z</t>
  </si>
  <si>
    <t>2021-04-03T08:36:44.442Z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</si>
</sst>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99</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128</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132</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276</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361</c:v>
                </c:pt>
                <c:pt idx="382">
                  <c:v>168</c:v>
                </c:pt>
                <c:pt idx="383">
                  <c:v>246</c:v>
                </c:pt>
                <c:pt idx="384">
                  <c:v>605</c:v>
                </c:pt>
                <c:pt idx="385">
                  <c:v>397</c:v>
                </c:pt>
                <c:pt idx="386">
                  <c:v>382</c:v>
                </c:pt>
                <c:pt idx="387">
                  <c:v>435</c:v>
                </c:pt>
                <c:pt idx="388">
                  <c:v>375</c:v>
                </c:pt>
                <c:pt idx="389">
                  <c:v>232</c:v>
                </c:pt>
                <c:pt idx="390">
                  <c:v>272</c:v>
                </c:pt>
                <c:pt idx="391">
                  <c:v>533</c:v>
                </c:pt>
                <c:pt idx="392">
                  <c:v>395</c:v>
                </c:pt>
                <c:pt idx="393">
                  <c:v>441</c:v>
                </c:pt>
                <c:pt idx="394">
                  <c:v>372</c:v>
                </c:pt>
                <c:pt idx="395">
                  <c:v>367</c:v>
                </c:pt>
                <c:pt idx="396">
                  <c:v>239</c:v>
                </c:pt>
                <c:pt idx="397">
                  <c:v>263</c:v>
                </c:pt>
                <c:pt idx="398">
                  <c:v>459</c:v>
                </c:pt>
                <c:pt idx="399">
                  <c:v>371</c:v>
                </c:pt>
                <c:pt idx="400">
                  <c:v>383</c:v>
                </c:pt>
                <c:pt idx="401">
                  <c:v>356</c:v>
                </c:pt>
                <c:pt idx="402">
                  <c:v>418</c:v>
                </c:pt>
                <c:pt idx="403">
                  <c:v>277</c:v>
                </c:pt>
                <c:pt idx="404">
                  <c:v>281</c:v>
                </c:pt>
                <c:pt idx="405">
                  <c:v>616</c:v>
                </c:pt>
                <c:pt idx="406">
                  <c:v>516</c:v>
                </c:pt>
                <c:pt idx="407">
                  <c:v>553</c:v>
                </c:pt>
                <c:pt idx="408">
                  <c:v>611</c:v>
                </c:pt>
                <c:pt idx="409">
                  <c:v>571</c:v>
                </c:pt>
                <c:pt idx="410">
                  <c:v>318</c:v>
                </c:pt>
                <c:pt idx="411">
                  <c:v>356</c:v>
                </c:pt>
                <c:pt idx="412">
                  <c:v>623</c:v>
                </c:pt>
                <c:pt idx="413">
                  <c:v>626</c:v>
                </c:pt>
                <c:pt idx="414">
                  <c:v>598</c:v>
                </c:pt>
                <c:pt idx="415">
                  <c:v>618</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0.12774193548387097</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8.8202866593164279E-3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2.2813688212927757E-2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1.300843663100344E-2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2.1412895189513021E-2</c:v>
                </c:pt>
                <c:pt idx="382">
                  <c:v>1.4588398749565822E-2</c:v>
                </c:pt>
                <c:pt idx="383">
                  <c:v>2.8588030214991286E-2</c:v>
                </c:pt>
                <c:pt idx="384">
                  <c:v>5.3355675103624656E-2</c:v>
                </c:pt>
                <c:pt idx="385">
                  <c:v>1.9851985198519852E-2</c:v>
                </c:pt>
                <c:pt idx="386">
                  <c:v>2.3101112723754234E-2</c:v>
                </c:pt>
                <c:pt idx="387">
                  <c:v>2.6252263126131561E-2</c:v>
                </c:pt>
                <c:pt idx="388">
                  <c:v>2.0100771869639794E-2</c:v>
                </c:pt>
                <c:pt idx="389">
                  <c:v>1.8759602167057493E-2</c:v>
                </c:pt>
                <c:pt idx="390">
                  <c:v>2.5701596900689787E-2</c:v>
                </c:pt>
                <c:pt idx="391">
                  <c:v>4.1617865229952367E-2</c:v>
                </c:pt>
                <c:pt idx="392">
                  <c:v>2.0154089494361958E-2</c:v>
                </c:pt>
                <c:pt idx="393">
                  <c:v>1.9340408736075784E-2</c:v>
                </c:pt>
                <c:pt idx="394">
                  <c:v>1.91980182690819E-2</c:v>
                </c:pt>
                <c:pt idx="395">
                  <c:v>2.0438850523501893E-2</c:v>
                </c:pt>
                <c:pt idx="396">
                  <c:v>1.6970815877298873E-2</c:v>
                </c:pt>
                <c:pt idx="397">
                  <c:v>2.9199511491062508E-2</c:v>
                </c:pt>
                <c:pt idx="398">
                  <c:v>3.2929191477150441E-2</c:v>
                </c:pt>
                <c:pt idx="399">
                  <c:v>1.6962326261887345E-2</c:v>
                </c:pt>
                <c:pt idx="400">
                  <c:v>1.8576001552041903E-2</c:v>
                </c:pt>
                <c:pt idx="401">
                  <c:v>1.9019125974997327E-2</c:v>
                </c:pt>
                <c:pt idx="402">
                  <c:v>2.2690261643686895E-2</c:v>
                </c:pt>
                <c:pt idx="403">
                  <c:v>2.1728898650768748E-2</c:v>
                </c:pt>
                <c:pt idx="404">
                  <c:v>2.9209979209979212E-2</c:v>
                </c:pt>
                <c:pt idx="405">
                  <c:v>4.2612064194798009E-2</c:v>
                </c:pt>
                <c:pt idx="406">
                  <c:v>2.3937650770087214E-2</c:v>
                </c:pt>
                <c:pt idx="407">
                  <c:v>2.7175782593739251E-2</c:v>
                </c:pt>
                <c:pt idx="408">
                  <c:v>2.8928554519198901E-2</c:v>
                </c:pt>
                <c:pt idx="409">
                  <c:v>2.9639242148974825E-2</c:v>
                </c:pt>
                <c:pt idx="410">
                  <c:v>2.0173824779547041E-2</c:v>
                </c:pt>
                <c:pt idx="411">
                  <c:v>3.1537916371367825E-2</c:v>
                </c:pt>
                <c:pt idx="412">
                  <c:v>3.0282408982647158E-2</c:v>
                </c:pt>
                <c:pt idx="413">
                  <c:v>2.996362243921118E-2</c:v>
                </c:pt>
                <c:pt idx="414">
                  <c:v>2.502092050209205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30.3.2021 saakka. Suurin arvo 891,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[0]!PlotY</c:f>
              <c:numCache>
                <c:formatCode>General</c:formatCode>
                <c:ptCount val="4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372</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611</c:v>
                </c:pt>
                <c:pt idx="415">
                  <c:v>571</c:v>
                </c:pt>
                <c:pt idx="416">
                  <c:v>318</c:v>
                </c:pt>
                <c:pt idx="417">
                  <c:v>356</c:v>
                </c:pt>
                <c:pt idx="418">
                  <c:v>623</c:v>
                </c:pt>
                <c:pt idx="419">
                  <c:v>626</c:v>
                </c:pt>
                <c:pt idx="420">
                  <c:v>598</c:v>
                </c:pt>
                <c:pt idx="421">
                  <c:v>618</c:v>
                </c:pt>
                <c:pt idx="422">
                  <c:v>690</c:v>
                </c:pt>
                <c:pt idx="423">
                  <c:v>401</c:v>
                </c:pt>
                <c:pt idx="424">
                  <c:v>418</c:v>
                </c:pt>
                <c:pt idx="425">
                  <c:v>871</c:v>
                </c:pt>
                <c:pt idx="426">
                  <c:v>757</c:v>
                </c:pt>
                <c:pt idx="427">
                  <c:v>732</c:v>
                </c:pt>
                <c:pt idx="428">
                  <c:v>638</c:v>
                </c:pt>
                <c:pt idx="429">
                  <c:v>629</c:v>
                </c:pt>
                <c:pt idx="430">
                  <c:v>431</c:v>
                </c:pt>
                <c:pt idx="431">
                  <c:v>396</c:v>
                </c:pt>
                <c:pt idx="432">
                  <c:v>833</c:v>
                </c:pt>
                <c:pt idx="433">
                  <c:v>774</c:v>
                </c:pt>
                <c:pt idx="434">
                  <c:v>817</c:v>
                </c:pt>
                <c:pt idx="435">
                  <c:v>775</c:v>
                </c:pt>
                <c:pt idx="436">
                  <c:v>812</c:v>
                </c:pt>
                <c:pt idx="437">
                  <c:v>492</c:v>
                </c:pt>
                <c:pt idx="438">
                  <c:v>435</c:v>
                </c:pt>
                <c:pt idx="439">
                  <c:v>891</c:v>
                </c:pt>
                <c:pt idx="440">
                  <c:v>763</c:v>
                </c:pt>
                <c:pt idx="441">
                  <c:v>743</c:v>
                </c:pt>
                <c:pt idx="442">
                  <c:v>737</c:v>
                </c:pt>
                <c:pt idx="443">
                  <c:v>743</c:v>
                </c:pt>
                <c:pt idx="444">
                  <c:v>402</c:v>
                </c:pt>
                <c:pt idx="445">
                  <c:v>417</c:v>
                </c:pt>
                <c:pt idx="446">
                  <c:v>764</c:v>
                </c:pt>
                <c:pt idx="447">
                  <c:v>698</c:v>
                </c:pt>
                <c:pt idx="448">
                  <c:v>699</c:v>
                </c:pt>
                <c:pt idx="449">
                  <c:v>607</c:v>
                </c:pt>
                <c:pt idx="450">
                  <c:v>682</c:v>
                </c:pt>
                <c:pt idx="451">
                  <c:v>350</c:v>
                </c:pt>
                <c:pt idx="452">
                  <c:v>371</c:v>
                </c:pt>
                <c:pt idx="453">
                  <c:v>648</c:v>
                </c:pt>
                <c:pt idx="454">
                  <c:v>567</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30.3.2021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HUS!PlotY</c:f>
              <c:numCache>
                <c:formatCode>General</c:formatCode>
                <c:ptCount val="4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490</c:v>
                </c:pt>
                <c:pt idx="427">
                  <c:v>474</c:v>
                </c:pt>
                <c:pt idx="428">
                  <c:v>389</c:v>
                </c:pt>
                <c:pt idx="429">
                  <c:v>419</c:v>
                </c:pt>
                <c:pt idx="430">
                  <c:v>274</c:v>
                </c:pt>
                <c:pt idx="431">
                  <c:v>255</c:v>
                </c:pt>
                <c:pt idx="432">
                  <c:v>503</c:v>
                </c:pt>
                <c:pt idx="433">
                  <c:v>507</c:v>
                </c:pt>
                <c:pt idx="434">
                  <c:v>501</c:v>
                </c:pt>
                <c:pt idx="435">
                  <c:v>476</c:v>
                </c:pt>
                <c:pt idx="436">
                  <c:v>517</c:v>
                </c:pt>
                <c:pt idx="437">
                  <c:v>327</c:v>
                </c:pt>
                <c:pt idx="438">
                  <c:v>262</c:v>
                </c:pt>
                <c:pt idx="439">
                  <c:v>508</c:v>
                </c:pt>
                <c:pt idx="440">
                  <c:v>452</c:v>
                </c:pt>
                <c:pt idx="441">
                  <c:v>417</c:v>
                </c:pt>
                <c:pt idx="442">
                  <c:v>456</c:v>
                </c:pt>
                <c:pt idx="443">
                  <c:v>443</c:v>
                </c:pt>
                <c:pt idx="444">
                  <c:v>286</c:v>
                </c:pt>
                <c:pt idx="445">
                  <c:v>286</c:v>
                </c:pt>
                <c:pt idx="446">
                  <c:v>448</c:v>
                </c:pt>
                <c:pt idx="447">
                  <c:v>451</c:v>
                </c:pt>
                <c:pt idx="448">
                  <c:v>392</c:v>
                </c:pt>
                <c:pt idx="449">
                  <c:v>355</c:v>
                </c:pt>
                <c:pt idx="450">
                  <c:v>404</c:v>
                </c:pt>
                <c:pt idx="451">
                  <c:v>199</c:v>
                </c:pt>
                <c:pt idx="452">
                  <c:v>246</c:v>
                </c:pt>
                <c:pt idx="453">
                  <c:v>375</c:v>
                </c:pt>
                <c:pt idx="454">
                  <c:v>323</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33"/>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0.74747474747474751</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0.6640625</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0.61363636363636365</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0.54317548746518107</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0.52536231884057971</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0.54293628808864269</c:v>
                </c:pt>
                <c:pt idx="388">
                  <c:v>0.5535714285714286</c:v>
                </c:pt>
                <c:pt idx="389">
                  <c:v>0.61788617886178865</c:v>
                </c:pt>
                <c:pt idx="390">
                  <c:v>0.42314049586776858</c:v>
                </c:pt>
                <c:pt idx="391">
                  <c:v>0.53400503778337527</c:v>
                </c:pt>
                <c:pt idx="392">
                  <c:v>0.49214659685863876</c:v>
                </c:pt>
                <c:pt idx="393">
                  <c:v>0.52643678160919538</c:v>
                </c:pt>
                <c:pt idx="394">
                  <c:v>0.5013333333333333</c:v>
                </c:pt>
                <c:pt idx="395">
                  <c:v>0.56896551724137934</c:v>
                </c:pt>
                <c:pt idx="396">
                  <c:v>0.60661764705882348</c:v>
                </c:pt>
                <c:pt idx="397">
                  <c:v>0.55534709193245779</c:v>
                </c:pt>
                <c:pt idx="398">
                  <c:v>0.63291139240506333</c:v>
                </c:pt>
                <c:pt idx="399">
                  <c:v>0.59637188208616776</c:v>
                </c:pt>
                <c:pt idx="400">
                  <c:v>0.60215053763440862</c:v>
                </c:pt>
                <c:pt idx="401">
                  <c:v>0.58855585831062673</c:v>
                </c:pt>
                <c:pt idx="402">
                  <c:v>0.64016736401673635</c:v>
                </c:pt>
                <c:pt idx="403">
                  <c:v>0.6539923954372624</c:v>
                </c:pt>
                <c:pt idx="404">
                  <c:v>0.63834422657952072</c:v>
                </c:pt>
                <c:pt idx="405">
                  <c:v>0.64420485175202158</c:v>
                </c:pt>
                <c:pt idx="406">
                  <c:v>0.59530026109660572</c:v>
                </c:pt>
                <c:pt idx="407">
                  <c:v>0.65730337078651691</c:v>
                </c:pt>
                <c:pt idx="408">
                  <c:v>0.61961722488038273</c:v>
                </c:pt>
                <c:pt idx="409">
                  <c:v>0.68231046931407946</c:v>
                </c:pt>
                <c:pt idx="410">
                  <c:v>0.64768683274021355</c:v>
                </c:pt>
                <c:pt idx="411">
                  <c:v>0.58441558441558439</c:v>
                </c:pt>
                <c:pt idx="412">
                  <c:v>0.63953488372093026</c:v>
                </c:pt>
                <c:pt idx="413">
                  <c:v>0.59493670886075944</c:v>
                </c:pt>
                <c:pt idx="414">
                  <c:v>0.53191489361702127</c:v>
                </c:pt>
                <c:pt idx="415">
                  <c:v>0.53239929947460596</c:v>
                </c:pt>
                <c:pt idx="416">
                  <c:v>0.58176100628930816</c:v>
                </c:pt>
                <c:pt idx="417">
                  <c:v>0.6179775280898876</c:v>
                </c:pt>
                <c:pt idx="418">
                  <c:v>0.61958266452648481</c:v>
                </c:pt>
                <c:pt idx="419">
                  <c:v>0.61182108626198084</c:v>
                </c:pt>
                <c:pt idx="420">
                  <c:v>0.69732441471571904</c:v>
                </c:pt>
                <c:pt idx="421">
                  <c:v>0.57119741100323629</c:v>
                </c:pt>
                <c:pt idx="422">
                  <c:v>0.62318840579710144</c:v>
                </c:pt>
                <c:pt idx="423">
                  <c:v>0.66334164588528677</c:v>
                </c:pt>
                <c:pt idx="424">
                  <c:v>0.63397129186602874</c:v>
                </c:pt>
                <c:pt idx="425">
                  <c:v>0.55223880597014929</c:v>
                </c:pt>
                <c:pt idx="426">
                  <c:v>0.64729194187582562</c:v>
                </c:pt>
                <c:pt idx="427">
                  <c:v>0.64754098360655743</c:v>
                </c:pt>
                <c:pt idx="428">
                  <c:v>0.60971786833855801</c:v>
                </c:pt>
                <c:pt idx="429">
                  <c:v>0.66613672496025433</c:v>
                </c:pt>
                <c:pt idx="430">
                  <c:v>0.6357308584686775</c:v>
                </c:pt>
                <c:pt idx="431">
                  <c:v>0.64393939393939392</c:v>
                </c:pt>
                <c:pt idx="432">
                  <c:v>0.6038415366146459</c:v>
                </c:pt>
                <c:pt idx="433">
                  <c:v>0.65503875968992253</c:v>
                </c:pt>
                <c:pt idx="434">
                  <c:v>0.61321909424724608</c:v>
                </c:pt>
                <c:pt idx="435">
                  <c:v>0.61419354838709672</c:v>
                </c:pt>
                <c:pt idx="436">
                  <c:v>0.63669950738916259</c:v>
                </c:pt>
                <c:pt idx="437">
                  <c:v>0.66463414634146345</c:v>
                </c:pt>
                <c:pt idx="438">
                  <c:v>0.60229885057471266</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372</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611</c:v>
                </c:pt>
                <c:pt idx="415">
                  <c:v>571</c:v>
                </c:pt>
                <c:pt idx="416">
                  <c:v>318</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30.3.2021 saakka. Suurin arvo 891, joka 15.3.2021.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[0]!PlotY</c:f>
              <c:numCache>
                <c:formatCode>General</c:formatCode>
                <c:ptCount val="4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99</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128</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132</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276</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361</c:v>
                </c:pt>
                <c:pt idx="388">
                  <c:v>168</c:v>
                </c:pt>
                <c:pt idx="389">
                  <c:v>246</c:v>
                </c:pt>
                <c:pt idx="390">
                  <c:v>605</c:v>
                </c:pt>
                <c:pt idx="391">
                  <c:v>397</c:v>
                </c:pt>
                <c:pt idx="392">
                  <c:v>382</c:v>
                </c:pt>
                <c:pt idx="393">
                  <c:v>435</c:v>
                </c:pt>
                <c:pt idx="394">
                  <c:v>375</c:v>
                </c:pt>
                <c:pt idx="395">
                  <c:v>232</c:v>
                </c:pt>
                <c:pt idx="396">
                  <c:v>272</c:v>
                </c:pt>
                <c:pt idx="397">
                  <c:v>533</c:v>
                </c:pt>
                <c:pt idx="398">
                  <c:v>395</c:v>
                </c:pt>
                <c:pt idx="399">
                  <c:v>441</c:v>
                </c:pt>
                <c:pt idx="400">
                  <c:v>372</c:v>
                </c:pt>
                <c:pt idx="401">
                  <c:v>367</c:v>
                </c:pt>
                <c:pt idx="402">
                  <c:v>239</c:v>
                </c:pt>
                <c:pt idx="403">
                  <c:v>263</c:v>
                </c:pt>
                <c:pt idx="404">
                  <c:v>459</c:v>
                </c:pt>
                <c:pt idx="405">
                  <c:v>371</c:v>
                </c:pt>
                <c:pt idx="406">
                  <c:v>383</c:v>
                </c:pt>
                <c:pt idx="407">
                  <c:v>356</c:v>
                </c:pt>
                <c:pt idx="408">
                  <c:v>418</c:v>
                </c:pt>
                <c:pt idx="409">
                  <c:v>277</c:v>
                </c:pt>
                <c:pt idx="410">
                  <c:v>281</c:v>
                </c:pt>
                <c:pt idx="411">
                  <c:v>616</c:v>
                </c:pt>
                <c:pt idx="412">
                  <c:v>516</c:v>
                </c:pt>
                <c:pt idx="413">
                  <c:v>553</c:v>
                </c:pt>
                <c:pt idx="414">
                  <c:v>611</c:v>
                </c:pt>
                <c:pt idx="415">
                  <c:v>571</c:v>
                </c:pt>
                <c:pt idx="416">
                  <c:v>318</c:v>
                </c:pt>
                <c:pt idx="417">
                  <c:v>356</c:v>
                </c:pt>
                <c:pt idx="418">
                  <c:v>623</c:v>
                </c:pt>
                <c:pt idx="419">
                  <c:v>626</c:v>
                </c:pt>
                <c:pt idx="420">
                  <c:v>598</c:v>
                </c:pt>
                <c:pt idx="421">
                  <c:v>618</c:v>
                </c:pt>
                <c:pt idx="422">
                  <c:v>690</c:v>
                </c:pt>
                <c:pt idx="423">
                  <c:v>401</c:v>
                </c:pt>
                <c:pt idx="424">
                  <c:v>418</c:v>
                </c:pt>
                <c:pt idx="425">
                  <c:v>871</c:v>
                </c:pt>
                <c:pt idx="426">
                  <c:v>757</c:v>
                </c:pt>
                <c:pt idx="427">
                  <c:v>732</c:v>
                </c:pt>
                <c:pt idx="428">
                  <c:v>638</c:v>
                </c:pt>
                <c:pt idx="429">
                  <c:v>629</c:v>
                </c:pt>
                <c:pt idx="430">
                  <c:v>431</c:v>
                </c:pt>
                <c:pt idx="431">
                  <c:v>396</c:v>
                </c:pt>
                <c:pt idx="432">
                  <c:v>833</c:v>
                </c:pt>
                <c:pt idx="433">
                  <c:v>774</c:v>
                </c:pt>
                <c:pt idx="434">
                  <c:v>817</c:v>
                </c:pt>
                <c:pt idx="435">
                  <c:v>775</c:v>
                </c:pt>
                <c:pt idx="436">
                  <c:v>812</c:v>
                </c:pt>
                <c:pt idx="437">
                  <c:v>492</c:v>
                </c:pt>
                <c:pt idx="438">
                  <c:v>435</c:v>
                </c:pt>
                <c:pt idx="439">
                  <c:v>891</c:v>
                </c:pt>
                <c:pt idx="440">
                  <c:v>763</c:v>
                </c:pt>
                <c:pt idx="441">
                  <c:v>743</c:v>
                </c:pt>
                <c:pt idx="442">
                  <c:v>737</c:v>
                </c:pt>
                <c:pt idx="443">
                  <c:v>743</c:v>
                </c:pt>
                <c:pt idx="444">
                  <c:v>402</c:v>
                </c:pt>
                <c:pt idx="445">
                  <c:v>417</c:v>
                </c:pt>
                <c:pt idx="446">
                  <c:v>764</c:v>
                </c:pt>
                <c:pt idx="447">
                  <c:v>698</c:v>
                </c:pt>
                <c:pt idx="448">
                  <c:v>699</c:v>
                </c:pt>
                <c:pt idx="449">
                  <c:v>607</c:v>
                </c:pt>
                <c:pt idx="450">
                  <c:v>682</c:v>
                </c:pt>
                <c:pt idx="451">
                  <c:v>350</c:v>
                </c:pt>
                <c:pt idx="452">
                  <c:v>371</c:v>
                </c:pt>
                <c:pt idx="453">
                  <c:v>648</c:v>
                </c:pt>
                <c:pt idx="454">
                  <c:v>567</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General</c:formatCode>
                <c:ptCount val="7"/>
                <c:pt idx="0">
                  <c:v>227.93846153846152</c:v>
                </c:pt>
                <c:pt idx="1">
                  <c:v>193.83076923076922</c:v>
                </c:pt>
                <c:pt idx="2">
                  <c:v>194.25757575757575</c:v>
                </c:pt>
                <c:pt idx="3">
                  <c:v>186.07575757575756</c:v>
                </c:pt>
                <c:pt idx="4">
                  <c:v>178.5151515151515</c:v>
                </c:pt>
                <c:pt idx="5">
                  <c:v>108.33333333333333</c:v>
                </c:pt>
                <c:pt idx="6">
                  <c:v>117.61538461538461</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N=79094. Uusimmat 3.4.2021 lisäykset 422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6.3</c:v>
                </c:pt>
                <c:pt idx="1">
                  <c:v>7.3</c:v>
                </c:pt>
                <c:pt idx="2">
                  <c:v>Ma 8</c:v>
                </c:pt>
                <c:pt idx="3">
                  <c:v>9.3</c:v>
                </c:pt>
                <c:pt idx="4">
                  <c:v>10.3</c:v>
                </c:pt>
                <c:pt idx="5">
                  <c:v>11.3</c:v>
                </c:pt>
                <c:pt idx="6">
                  <c:v>12.3</c:v>
                </c:pt>
                <c:pt idx="7">
                  <c:v>13.3</c:v>
                </c:pt>
                <c:pt idx="8">
                  <c:v>14.3</c:v>
                </c:pt>
                <c:pt idx="9">
                  <c:v>Ma 15</c:v>
                </c:pt>
                <c:pt idx="10">
                  <c:v>16.3</c:v>
                </c:pt>
                <c:pt idx="11">
                  <c:v>17.3</c:v>
                </c:pt>
                <c:pt idx="12">
                  <c:v>18.3</c:v>
                </c:pt>
                <c:pt idx="13">
                  <c:v>19.3</c:v>
                </c:pt>
                <c:pt idx="14">
                  <c:v>20.3</c:v>
                </c:pt>
                <c:pt idx="15">
                  <c:v>21.3</c:v>
                </c:pt>
                <c:pt idx="16">
                  <c:v>Ma 22</c:v>
                </c:pt>
                <c:pt idx="17">
                  <c:v>23.3</c:v>
                </c:pt>
                <c:pt idx="18">
                  <c:v>24.3</c:v>
                </c:pt>
                <c:pt idx="19">
                  <c:v>25.3</c:v>
                </c:pt>
                <c:pt idx="20">
                  <c:v>26.3</c:v>
                </c:pt>
                <c:pt idx="21">
                  <c:v>27.3</c:v>
                </c:pt>
                <c:pt idx="22">
                  <c:v>28.3</c:v>
                </c:pt>
                <c:pt idx="23">
                  <c:v>Ma 29</c:v>
                </c:pt>
                <c:pt idx="24">
                  <c:v>30.3</c:v>
                </c:pt>
                <c:pt idx="25">
                  <c:v>31.3</c:v>
                </c:pt>
                <c:pt idx="26">
                  <c:v>1.4</c:v>
                </c:pt>
                <c:pt idx="27">
                  <c:v>2.4</c:v>
                </c:pt>
              </c:strCache>
            </c:strRef>
          </c:cat>
          <c:val>
            <c:numRef>
              <c:f>Lisäys!$E$7:$E$34</c:f>
              <c:numCache>
                <c:formatCode>General</c:formatCode>
                <c:ptCount val="28"/>
                <c:pt idx="0">
                  <c:v>431</c:v>
                </c:pt>
                <c:pt idx="1">
                  <c:v>396</c:v>
                </c:pt>
                <c:pt idx="2">
                  <c:v>833</c:v>
                </c:pt>
                <c:pt idx="3">
                  <c:v>774</c:v>
                </c:pt>
                <c:pt idx="4">
                  <c:v>817</c:v>
                </c:pt>
                <c:pt idx="5">
                  <c:v>775</c:v>
                </c:pt>
                <c:pt idx="6">
                  <c:v>812</c:v>
                </c:pt>
                <c:pt idx="7">
                  <c:v>492</c:v>
                </c:pt>
                <c:pt idx="8">
                  <c:v>435</c:v>
                </c:pt>
                <c:pt idx="9">
                  <c:v>891</c:v>
                </c:pt>
                <c:pt idx="10">
                  <c:v>763</c:v>
                </c:pt>
                <c:pt idx="11">
                  <c:v>743</c:v>
                </c:pt>
                <c:pt idx="12">
                  <c:v>737</c:v>
                </c:pt>
                <c:pt idx="13">
                  <c:v>743</c:v>
                </c:pt>
                <c:pt idx="14">
                  <c:v>402</c:v>
                </c:pt>
                <c:pt idx="15">
                  <c:v>417</c:v>
                </c:pt>
                <c:pt idx="16">
                  <c:v>764</c:v>
                </c:pt>
                <c:pt idx="17">
                  <c:v>698</c:v>
                </c:pt>
                <c:pt idx="18">
                  <c:v>699</c:v>
                </c:pt>
                <c:pt idx="19">
                  <c:v>607</c:v>
                </c:pt>
                <c:pt idx="20">
                  <c:v>682</c:v>
                </c:pt>
                <c:pt idx="21">
                  <c:v>350</c:v>
                </c:pt>
                <c:pt idx="22">
                  <c:v>371</c:v>
                </c:pt>
                <c:pt idx="23">
                  <c:v>648</c:v>
                </c:pt>
                <c:pt idx="24">
                  <c:v>567</c:v>
                </c:pt>
                <c:pt idx="25">
                  <c:v>530</c:v>
                </c:pt>
                <c:pt idx="26">
                  <c:v>415</c:v>
                </c:pt>
                <c:pt idx="27">
                  <c:v>223</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6.3</c:v>
                </c:pt>
                <c:pt idx="1">
                  <c:v>7.3</c:v>
                </c:pt>
                <c:pt idx="2">
                  <c:v>Ma 8</c:v>
                </c:pt>
                <c:pt idx="3">
                  <c:v>9.3</c:v>
                </c:pt>
                <c:pt idx="4">
                  <c:v>10.3</c:v>
                </c:pt>
                <c:pt idx="5">
                  <c:v>11.3</c:v>
                </c:pt>
                <c:pt idx="6">
                  <c:v>12.3</c:v>
                </c:pt>
                <c:pt idx="7">
                  <c:v>13.3</c:v>
                </c:pt>
                <c:pt idx="8">
                  <c:v>14.3</c:v>
                </c:pt>
                <c:pt idx="9">
                  <c:v>Ma 15</c:v>
                </c:pt>
                <c:pt idx="10">
                  <c:v>16.3</c:v>
                </c:pt>
                <c:pt idx="11">
                  <c:v>17.3</c:v>
                </c:pt>
                <c:pt idx="12">
                  <c:v>18.3</c:v>
                </c:pt>
                <c:pt idx="13">
                  <c:v>19.3</c:v>
                </c:pt>
                <c:pt idx="14">
                  <c:v>20.3</c:v>
                </c:pt>
                <c:pt idx="15">
                  <c:v>21.3</c:v>
                </c:pt>
                <c:pt idx="16">
                  <c:v>Ma 22</c:v>
                </c:pt>
                <c:pt idx="17">
                  <c:v>23.3</c:v>
                </c:pt>
                <c:pt idx="18">
                  <c:v>24.3</c:v>
                </c:pt>
                <c:pt idx="19">
                  <c:v>25.3</c:v>
                </c:pt>
                <c:pt idx="20">
                  <c:v>26.3</c:v>
                </c:pt>
                <c:pt idx="21">
                  <c:v>27.3</c:v>
                </c:pt>
                <c:pt idx="22">
                  <c:v>28.3</c:v>
                </c:pt>
                <c:pt idx="23">
                  <c:v>Ma 29</c:v>
                </c:pt>
                <c:pt idx="24">
                  <c:v>30.3</c:v>
                </c:pt>
                <c:pt idx="25">
                  <c:v>31.3</c:v>
                </c:pt>
                <c:pt idx="26">
                  <c:v>1.4</c:v>
                </c:pt>
                <c:pt idx="27">
                  <c:v>2.4</c:v>
                </c:pt>
              </c:strCache>
            </c:strRef>
          </c:cat>
          <c:val>
            <c:numRef>
              <c:f>Lisäys!$F$7:$F$34</c:f>
              <c:numCache>
                <c:formatCode>General</c:formatCode>
                <c:ptCount val="28"/>
                <c:pt idx="0">
                  <c:v>0</c:v>
                </c:pt>
                <c:pt idx="1">
                  <c:v>0</c:v>
                </c:pt>
                <c:pt idx="2">
                  <c:v>0</c:v>
                </c:pt>
                <c:pt idx="3">
                  <c:v>0</c:v>
                </c:pt>
                <c:pt idx="4">
                  <c:v>0</c:v>
                </c:pt>
                <c:pt idx="5">
                  <c:v>0</c:v>
                </c:pt>
                <c:pt idx="6">
                  <c:v>-2</c:v>
                </c:pt>
                <c:pt idx="7">
                  <c:v>0</c:v>
                </c:pt>
                <c:pt idx="8">
                  <c:v>0</c:v>
                </c:pt>
                <c:pt idx="9">
                  <c:v>0</c:v>
                </c:pt>
                <c:pt idx="10">
                  <c:v>0</c:v>
                </c:pt>
                <c:pt idx="11">
                  <c:v>0</c:v>
                </c:pt>
                <c:pt idx="12">
                  <c:v>0</c:v>
                </c:pt>
                <c:pt idx="13">
                  <c:v>0</c:v>
                </c:pt>
                <c:pt idx="14">
                  <c:v>0</c:v>
                </c:pt>
                <c:pt idx="15">
                  <c:v>0</c:v>
                </c:pt>
                <c:pt idx="16">
                  <c:v>0</c:v>
                </c:pt>
                <c:pt idx="17">
                  <c:v>0</c:v>
                </c:pt>
                <c:pt idx="18">
                  <c:v>0</c:v>
                </c:pt>
                <c:pt idx="19">
                  <c:v>0</c:v>
                </c:pt>
                <c:pt idx="20">
                  <c:v>-1</c:v>
                </c:pt>
                <c:pt idx="21">
                  <c:v>0</c:v>
                </c:pt>
                <c:pt idx="22">
                  <c:v>-4</c:v>
                </c:pt>
                <c:pt idx="23">
                  <c:v>5</c:v>
                </c:pt>
                <c:pt idx="24">
                  <c:v>35</c:v>
                </c:pt>
                <c:pt idx="25">
                  <c:v>28</c:v>
                </c:pt>
                <c:pt idx="26">
                  <c:v>140</c:v>
                </c:pt>
                <c:pt idx="27">
                  <c:v>222</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30.3.2021 saakka (- uusin ... vanhin).</c:v>
            </c:pt>
          </c:strCache>
        </c:strRef>
      </c:tx>
      <c:layout>
        <c:manualLayout>
          <c:xMode val="edge"/>
          <c:yMode val="edge"/>
          <c:x val="0.18249457042557674"/>
          <c:y val="9.1517972018203663E-4"/>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44285.625</c:v>
                </c:pt>
                <c:pt idx="1">
                  <c:v>44278.625</c:v>
                </c:pt>
                <c:pt idx="2">
                  <c:v>44271.625</c:v>
                </c:pt>
                <c:pt idx="3">
                  <c:v>44264.625</c:v>
                </c:pt>
                <c:pt idx="4">
                  <c:v>44257.625</c:v>
                </c:pt>
                <c:pt idx="5">
                  <c:v>44250.625</c:v>
                </c:pt>
                <c:pt idx="6">
                  <c:v>44243.625</c:v>
                </c:pt>
                <c:pt idx="7">
                  <c:v>44236.625</c:v>
                </c:pt>
                <c:pt idx="8">
                  <c:v>44229.625</c:v>
                </c:pt>
                <c:pt idx="9">
                  <c:v>44222.625</c:v>
                </c:pt>
              </c:numCache>
            </c:numRef>
          </c:xVal>
          <c:yVal>
            <c:numRef>
              <c:f>Lisäys!$E$50:$E$59</c:f>
              <c:numCache>
                <c:formatCode>General</c:formatCode>
                <c:ptCount val="10"/>
                <c:pt idx="0">
                  <c:v>567</c:v>
                </c:pt>
                <c:pt idx="1">
                  <c:v>698</c:v>
                </c:pt>
                <c:pt idx="2">
                  <c:v>763</c:v>
                </c:pt>
                <c:pt idx="3">
                  <c:v>774</c:v>
                </c:pt>
                <c:pt idx="4">
                  <c:v>757</c:v>
                </c:pt>
                <c:pt idx="5">
                  <c:v>626</c:v>
                </c:pt>
                <c:pt idx="6">
                  <c:v>516</c:v>
                </c:pt>
                <c:pt idx="7">
                  <c:v>371</c:v>
                </c:pt>
                <c:pt idx="8">
                  <c:v>395</c:v>
                </c:pt>
                <c:pt idx="9">
                  <c:v>397</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44284.625</c:v>
                </c:pt>
                <c:pt idx="1">
                  <c:v>44277.625</c:v>
                </c:pt>
                <c:pt idx="2">
                  <c:v>44270.625</c:v>
                </c:pt>
                <c:pt idx="3">
                  <c:v>44263.625</c:v>
                </c:pt>
                <c:pt idx="4">
                  <c:v>44256.625</c:v>
                </c:pt>
                <c:pt idx="5">
                  <c:v>44249.625</c:v>
                </c:pt>
                <c:pt idx="6">
                  <c:v>44242.625</c:v>
                </c:pt>
                <c:pt idx="7">
                  <c:v>44235.625</c:v>
                </c:pt>
                <c:pt idx="8">
                  <c:v>44228.625</c:v>
                </c:pt>
                <c:pt idx="9">
                  <c:v>44221.625</c:v>
                </c:pt>
              </c:numCache>
            </c:numRef>
          </c:xVal>
          <c:yVal>
            <c:numRef>
              <c:f>Lisäys!$I$50:$I$59</c:f>
              <c:numCache>
                <c:formatCode>General</c:formatCode>
                <c:ptCount val="10"/>
                <c:pt idx="0">
                  <c:v>648</c:v>
                </c:pt>
                <c:pt idx="1">
                  <c:v>764</c:v>
                </c:pt>
                <c:pt idx="2">
                  <c:v>891</c:v>
                </c:pt>
                <c:pt idx="3">
                  <c:v>833</c:v>
                </c:pt>
                <c:pt idx="4">
                  <c:v>871</c:v>
                </c:pt>
                <c:pt idx="5">
                  <c:v>623</c:v>
                </c:pt>
                <c:pt idx="6">
                  <c:v>616</c:v>
                </c:pt>
                <c:pt idx="7">
                  <c:v>459</c:v>
                </c:pt>
                <c:pt idx="8">
                  <c:v>533</c:v>
                </c:pt>
                <c:pt idx="9">
                  <c:v>605</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44283.625</c:v>
                </c:pt>
                <c:pt idx="1">
                  <c:v>44276.625</c:v>
                </c:pt>
                <c:pt idx="2">
                  <c:v>44269.625</c:v>
                </c:pt>
                <c:pt idx="3">
                  <c:v>44262.625</c:v>
                </c:pt>
                <c:pt idx="4">
                  <c:v>44255.625</c:v>
                </c:pt>
                <c:pt idx="5">
                  <c:v>44248.625</c:v>
                </c:pt>
                <c:pt idx="6">
                  <c:v>44241.625</c:v>
                </c:pt>
                <c:pt idx="7">
                  <c:v>44234.625</c:v>
                </c:pt>
                <c:pt idx="8">
                  <c:v>44227.625</c:v>
                </c:pt>
                <c:pt idx="9">
                  <c:v>44220.625</c:v>
                </c:pt>
              </c:numCache>
            </c:numRef>
          </c:xVal>
          <c:yVal>
            <c:numRef>
              <c:f>Lisäys!$M$50:$M$59</c:f>
              <c:numCache>
                <c:formatCode>General</c:formatCode>
                <c:ptCount val="10"/>
                <c:pt idx="0">
                  <c:v>371</c:v>
                </c:pt>
                <c:pt idx="1">
                  <c:v>417</c:v>
                </c:pt>
                <c:pt idx="2">
                  <c:v>435</c:v>
                </c:pt>
                <c:pt idx="3">
                  <c:v>396</c:v>
                </c:pt>
                <c:pt idx="4">
                  <c:v>418</c:v>
                </c:pt>
                <c:pt idx="5">
                  <c:v>356</c:v>
                </c:pt>
                <c:pt idx="6">
                  <c:v>281</c:v>
                </c:pt>
                <c:pt idx="7">
                  <c:v>263</c:v>
                </c:pt>
                <c:pt idx="8">
                  <c:v>272</c:v>
                </c:pt>
                <c:pt idx="9">
                  <c:v>246</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44282.625</c:v>
                </c:pt>
                <c:pt idx="1">
                  <c:v>44275.625</c:v>
                </c:pt>
                <c:pt idx="2">
                  <c:v>44268.625</c:v>
                </c:pt>
                <c:pt idx="3">
                  <c:v>44261.625</c:v>
                </c:pt>
                <c:pt idx="4">
                  <c:v>44254.625</c:v>
                </c:pt>
                <c:pt idx="5">
                  <c:v>44247.625</c:v>
                </c:pt>
                <c:pt idx="6">
                  <c:v>44240.625</c:v>
                </c:pt>
                <c:pt idx="7">
                  <c:v>44233.625</c:v>
                </c:pt>
                <c:pt idx="8">
                  <c:v>44226.625</c:v>
                </c:pt>
                <c:pt idx="9">
                  <c:v>44219.625</c:v>
                </c:pt>
              </c:numCache>
            </c:numRef>
          </c:xVal>
          <c:yVal>
            <c:numRef>
              <c:f>Lisäys!$Q$50:$Q$59</c:f>
              <c:numCache>
                <c:formatCode>General</c:formatCode>
                <c:ptCount val="10"/>
                <c:pt idx="0">
                  <c:v>350</c:v>
                </c:pt>
                <c:pt idx="1">
                  <c:v>402</c:v>
                </c:pt>
                <c:pt idx="2">
                  <c:v>492</c:v>
                </c:pt>
                <c:pt idx="3">
                  <c:v>431</c:v>
                </c:pt>
                <c:pt idx="4">
                  <c:v>401</c:v>
                </c:pt>
                <c:pt idx="5">
                  <c:v>318</c:v>
                </c:pt>
                <c:pt idx="6">
                  <c:v>277</c:v>
                </c:pt>
                <c:pt idx="7">
                  <c:v>239</c:v>
                </c:pt>
                <c:pt idx="8">
                  <c:v>232</c:v>
                </c:pt>
                <c:pt idx="9">
                  <c:v>168</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44281.625</c:v>
                </c:pt>
                <c:pt idx="1">
                  <c:v>44274.625</c:v>
                </c:pt>
                <c:pt idx="2">
                  <c:v>44267.625</c:v>
                </c:pt>
                <c:pt idx="3">
                  <c:v>44260.625</c:v>
                </c:pt>
                <c:pt idx="4">
                  <c:v>44253.625</c:v>
                </c:pt>
                <c:pt idx="5">
                  <c:v>44246.625</c:v>
                </c:pt>
                <c:pt idx="6">
                  <c:v>44239.625</c:v>
                </c:pt>
                <c:pt idx="7">
                  <c:v>44232.625</c:v>
                </c:pt>
                <c:pt idx="8">
                  <c:v>44225.625</c:v>
                </c:pt>
                <c:pt idx="9">
                  <c:v>44218.625</c:v>
                </c:pt>
              </c:numCache>
            </c:numRef>
          </c:xVal>
          <c:yVal>
            <c:numRef>
              <c:f>Lisäys!$U$50:$U$59</c:f>
              <c:numCache>
                <c:formatCode>General</c:formatCode>
                <c:ptCount val="10"/>
                <c:pt idx="0">
                  <c:v>682</c:v>
                </c:pt>
                <c:pt idx="1">
                  <c:v>743</c:v>
                </c:pt>
                <c:pt idx="2">
                  <c:v>812</c:v>
                </c:pt>
                <c:pt idx="3">
                  <c:v>629</c:v>
                </c:pt>
                <c:pt idx="4">
                  <c:v>690</c:v>
                </c:pt>
                <c:pt idx="5">
                  <c:v>571</c:v>
                </c:pt>
                <c:pt idx="6">
                  <c:v>418</c:v>
                </c:pt>
                <c:pt idx="7">
                  <c:v>367</c:v>
                </c:pt>
                <c:pt idx="8">
                  <c:v>375</c:v>
                </c:pt>
                <c:pt idx="9">
                  <c:v>361</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44280.625</c:v>
                </c:pt>
                <c:pt idx="1">
                  <c:v>44273.625</c:v>
                </c:pt>
                <c:pt idx="2">
                  <c:v>44266.625</c:v>
                </c:pt>
                <c:pt idx="3">
                  <c:v>44259.625</c:v>
                </c:pt>
                <c:pt idx="4">
                  <c:v>44252.625</c:v>
                </c:pt>
                <c:pt idx="5">
                  <c:v>44245.625</c:v>
                </c:pt>
                <c:pt idx="6">
                  <c:v>44238.625</c:v>
                </c:pt>
                <c:pt idx="7">
                  <c:v>44231.625</c:v>
                </c:pt>
                <c:pt idx="8">
                  <c:v>44224.625</c:v>
                </c:pt>
                <c:pt idx="9">
                  <c:v>44217.625</c:v>
                </c:pt>
              </c:numCache>
            </c:numRef>
          </c:xVal>
          <c:yVal>
            <c:numRef>
              <c:f>Lisäys!$Y$50:$Y$59</c:f>
              <c:numCache>
                <c:formatCode>General</c:formatCode>
                <c:ptCount val="10"/>
                <c:pt idx="0">
                  <c:v>607</c:v>
                </c:pt>
                <c:pt idx="1">
                  <c:v>737</c:v>
                </c:pt>
                <c:pt idx="2">
                  <c:v>775</c:v>
                </c:pt>
                <c:pt idx="3">
                  <c:v>638</c:v>
                </c:pt>
                <c:pt idx="4">
                  <c:v>618</c:v>
                </c:pt>
                <c:pt idx="5">
                  <c:v>611</c:v>
                </c:pt>
                <c:pt idx="6">
                  <c:v>356</c:v>
                </c:pt>
                <c:pt idx="7">
                  <c:v>372</c:v>
                </c:pt>
                <c:pt idx="8">
                  <c:v>435</c:v>
                </c:pt>
                <c:pt idx="9">
                  <c:v>376</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44279.625</c:v>
                </c:pt>
                <c:pt idx="1">
                  <c:v>44272.625</c:v>
                </c:pt>
                <c:pt idx="2">
                  <c:v>44265.625</c:v>
                </c:pt>
                <c:pt idx="3">
                  <c:v>44258.625</c:v>
                </c:pt>
                <c:pt idx="4">
                  <c:v>44251.625</c:v>
                </c:pt>
                <c:pt idx="5">
                  <c:v>44244.625</c:v>
                </c:pt>
                <c:pt idx="6">
                  <c:v>44237.625</c:v>
                </c:pt>
                <c:pt idx="7">
                  <c:v>44230.625</c:v>
                </c:pt>
                <c:pt idx="8">
                  <c:v>44223.625</c:v>
                </c:pt>
                <c:pt idx="9">
                  <c:v>44216.625</c:v>
                </c:pt>
              </c:numCache>
            </c:numRef>
          </c:xVal>
          <c:yVal>
            <c:numRef>
              <c:f>Lisäys!$AC$50:$AC$59</c:f>
              <c:numCache>
                <c:formatCode>General</c:formatCode>
                <c:ptCount val="10"/>
                <c:pt idx="0">
                  <c:v>699</c:v>
                </c:pt>
                <c:pt idx="1">
                  <c:v>743</c:v>
                </c:pt>
                <c:pt idx="2">
                  <c:v>817</c:v>
                </c:pt>
                <c:pt idx="3">
                  <c:v>732</c:v>
                </c:pt>
                <c:pt idx="4">
                  <c:v>598</c:v>
                </c:pt>
                <c:pt idx="5">
                  <c:v>553</c:v>
                </c:pt>
                <c:pt idx="6">
                  <c:v>383</c:v>
                </c:pt>
                <c:pt idx="7">
                  <c:v>441</c:v>
                </c:pt>
                <c:pt idx="8">
                  <c:v>382</c:v>
                </c:pt>
                <c:pt idx="9">
                  <c:v>406</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891</c:v>
                </c:pt>
                <c:pt idx="1">
                  <c:v>774</c:v>
                </c:pt>
                <c:pt idx="2">
                  <c:v>817</c:v>
                </c:pt>
                <c:pt idx="3">
                  <c:v>775</c:v>
                </c:pt>
                <c:pt idx="4">
                  <c:v>812</c:v>
                </c:pt>
                <c:pt idx="5">
                  <c:v>492</c:v>
                </c:pt>
                <c:pt idx="6">
                  <c:v>435</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FC48E86D-1078-4498-A977-59A65B52AF16}" type="CELLRANGE">
                      <a:rPr lang="en-US"/>
                      <a:pPr/>
                      <a:t>[CELLRANGE]</a:t>
                    </a:fld>
                    <a:r>
                      <a:rPr lang="en-US" baseline="0"/>
                      <a:t>; </a:t>
                    </a:r>
                    <a:fld id="{A26A43C1-3D8B-4909-AD6E-14EAEDB61D58}"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EC2E1159-B190-4351-A75B-9C778934A155}" type="CELLRANGE">
                      <a:rPr lang="en-US"/>
                      <a:pPr/>
                      <a:t>[CELLRANGE]</a:t>
                    </a:fld>
                    <a:r>
                      <a:rPr lang="en-US" baseline="0"/>
                      <a:t>; </a:t>
                    </a:r>
                    <a:fld id="{39537E40-8630-47F8-B8A9-45B67FA11641}"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BB86ED60-316F-4E9F-9FC5-BC2E263917B4}" type="CELLRANGE">
                      <a:rPr lang="en-US"/>
                      <a:pPr/>
                      <a:t>[CELLRANGE]</a:t>
                    </a:fld>
                    <a:r>
                      <a:rPr lang="en-US" baseline="0"/>
                      <a:t>; </a:t>
                    </a:r>
                    <a:fld id="{486732B7-CFB1-46E3-B2F1-52BE7BA6420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8C769812-C3C1-4806-884E-1E16891B82D8}" type="CELLRANGE">
                      <a:rPr lang="en-US"/>
                      <a:pPr/>
                      <a:t>[CELLRANGE]</a:t>
                    </a:fld>
                    <a:r>
                      <a:rPr lang="en-US" baseline="0"/>
                      <a:t>; </a:t>
                    </a:r>
                    <a:fld id="{E200AC24-1A35-43B9-8F5E-826CB5A2D26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EF449204-AF20-48F8-92F3-DBE9835A14DD}" type="CELLRANGE">
                      <a:rPr lang="en-US"/>
                      <a:pPr/>
                      <a:t>[CELLRANGE]</a:t>
                    </a:fld>
                    <a:r>
                      <a:rPr lang="en-US" baseline="0"/>
                      <a:t>; </a:t>
                    </a:r>
                    <a:fld id="{573A9F14-1166-4D4C-9F22-DE44CDD9CC3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590143DF-3A75-4412-A864-CAF1AC5D74B0}" type="CELLRANGE">
                      <a:rPr lang="en-US"/>
                      <a:pPr/>
                      <a:t>[CELLRANGE]</a:t>
                    </a:fld>
                    <a:r>
                      <a:rPr lang="en-US" baseline="0"/>
                      <a:t>; </a:t>
                    </a:r>
                    <a:fld id="{ECA418BC-8DBE-4376-A1EB-8FF64AD0ADC5}"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BCD40821-193E-4FB2-A3F5-1DF41A862A75}" type="CELLRANGE">
                      <a:rPr lang="en-US"/>
                      <a:pPr/>
                      <a:t>[CELLRANGE]</a:t>
                    </a:fld>
                    <a:r>
                      <a:rPr lang="en-US" baseline="0"/>
                      <a:t>; </a:t>
                    </a:r>
                    <a:fld id="{7B287CB0-A297-4BBF-A3EE-135838FD9AC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891</c:v>
                </c:pt>
                <c:pt idx="1">
                  <c:v>774</c:v>
                </c:pt>
                <c:pt idx="2">
                  <c:v>817</c:v>
                </c:pt>
                <c:pt idx="3">
                  <c:v>775</c:v>
                </c:pt>
                <c:pt idx="4">
                  <c:v>812</c:v>
                </c:pt>
                <c:pt idx="5">
                  <c:v>492</c:v>
                </c:pt>
                <c:pt idx="6">
                  <c:v>435</c:v>
                </c:pt>
              </c:numCache>
            </c:numRef>
          </c:val>
          <c:extLst>
            <c:ext xmlns:c15="http://schemas.microsoft.com/office/drawing/2012/chart" uri="{02D57815-91ED-43cb-92C2-25804820EDAC}">
              <c15:datalabelsRange>
                <c15:f>Kuvaajat!$P$25:$P$31</c15:f>
                <c15:dlblRangeCache>
                  <c:ptCount val="7"/>
                  <c:pt idx="0">
                    <c:v>15.3.2021</c:v>
                  </c:pt>
                  <c:pt idx="1">
                    <c:v>9.3.2021</c:v>
                  </c:pt>
                  <c:pt idx="2">
                    <c:v>10.3.2021</c:v>
                  </c:pt>
                  <c:pt idx="3">
                    <c:v>11.3.2021</c:v>
                  </c:pt>
                  <c:pt idx="4">
                    <c:v>12.3.2021</c:v>
                  </c:pt>
                  <c:pt idx="5">
                    <c:v>13.3.2021</c:v>
                  </c:pt>
                  <c:pt idx="6">
                    <c:v>14.3.2021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30.3.2021 saakka. Suurin arvo 517, joka 12.3.2021.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54"/>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pt idx="432">
                  <c:v>2021-W10</c:v>
                </c:pt>
                <c:pt idx="439">
                  <c:v>2021-W11</c:v>
                </c:pt>
                <c:pt idx="446">
                  <c:v>2021-W12</c:v>
                </c:pt>
                <c:pt idx="453">
                  <c:v>2021-W13</c:v>
                </c:pt>
              </c:strCache>
            </c:strRef>
          </c:cat>
          <c:val>
            <c:numRef>
              <c:f>HUS!PlotY</c:f>
              <c:numCache>
                <c:formatCode>General</c:formatCode>
                <c:ptCount val="4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74</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81</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195</c:v>
                </c:pt>
                <c:pt idx="350">
                  <c:v>192</c:v>
                </c:pt>
                <c:pt idx="351">
                  <c:v>151</c:v>
                </c:pt>
                <c:pt idx="352">
                  <c:v>181</c:v>
                </c:pt>
                <c:pt idx="353">
                  <c:v>125</c:v>
                </c:pt>
                <c:pt idx="354">
                  <c:v>147</c:v>
                </c:pt>
                <c:pt idx="355">
                  <c:v>202</c:v>
                </c:pt>
                <c:pt idx="356">
                  <c:v>197</c:v>
                </c:pt>
                <c:pt idx="357">
                  <c:v>145</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229</c:v>
                </c:pt>
                <c:pt idx="394">
                  <c:v>188</c:v>
                </c:pt>
                <c:pt idx="395">
                  <c:v>132</c:v>
                </c:pt>
                <c:pt idx="396">
                  <c:v>165</c:v>
                </c:pt>
                <c:pt idx="397">
                  <c:v>296</c:v>
                </c:pt>
                <c:pt idx="398">
                  <c:v>250</c:v>
                </c:pt>
                <c:pt idx="399">
                  <c:v>263</c:v>
                </c:pt>
                <c:pt idx="400">
                  <c:v>224</c:v>
                </c:pt>
                <c:pt idx="401">
                  <c:v>216</c:v>
                </c:pt>
                <c:pt idx="402">
                  <c:v>153</c:v>
                </c:pt>
                <c:pt idx="403">
                  <c:v>172</c:v>
                </c:pt>
                <c:pt idx="404">
                  <c:v>293</c:v>
                </c:pt>
                <c:pt idx="405">
                  <c:v>239</c:v>
                </c:pt>
                <c:pt idx="406">
                  <c:v>228</c:v>
                </c:pt>
                <c:pt idx="407">
                  <c:v>234</c:v>
                </c:pt>
                <c:pt idx="408">
                  <c:v>259</c:v>
                </c:pt>
                <c:pt idx="409">
                  <c:v>189</c:v>
                </c:pt>
                <c:pt idx="410">
                  <c:v>182</c:v>
                </c:pt>
                <c:pt idx="411">
                  <c:v>360</c:v>
                </c:pt>
                <c:pt idx="412">
                  <c:v>330</c:v>
                </c:pt>
                <c:pt idx="413">
                  <c:v>329</c:v>
                </c:pt>
                <c:pt idx="414">
                  <c:v>325</c:v>
                </c:pt>
                <c:pt idx="415">
                  <c:v>304</c:v>
                </c:pt>
                <c:pt idx="416">
                  <c:v>185</c:v>
                </c:pt>
                <c:pt idx="417">
                  <c:v>220</c:v>
                </c:pt>
                <c:pt idx="418">
                  <c:v>386</c:v>
                </c:pt>
                <c:pt idx="419">
                  <c:v>383</c:v>
                </c:pt>
                <c:pt idx="420">
                  <c:v>417</c:v>
                </c:pt>
                <c:pt idx="421">
                  <c:v>353</c:v>
                </c:pt>
                <c:pt idx="422">
                  <c:v>430</c:v>
                </c:pt>
                <c:pt idx="423">
                  <c:v>266</c:v>
                </c:pt>
                <c:pt idx="424">
                  <c:v>265</c:v>
                </c:pt>
                <c:pt idx="425">
                  <c:v>481</c:v>
                </c:pt>
                <c:pt idx="426">
                  <c:v>490</c:v>
                </c:pt>
                <c:pt idx="427">
                  <c:v>474</c:v>
                </c:pt>
                <c:pt idx="428">
                  <c:v>389</c:v>
                </c:pt>
                <c:pt idx="429">
                  <c:v>419</c:v>
                </c:pt>
                <c:pt idx="430">
                  <c:v>274</c:v>
                </c:pt>
                <c:pt idx="431">
                  <c:v>255</c:v>
                </c:pt>
                <c:pt idx="432">
                  <c:v>503</c:v>
                </c:pt>
                <c:pt idx="433">
                  <c:v>507</c:v>
                </c:pt>
                <c:pt idx="434">
                  <c:v>501</c:v>
                </c:pt>
                <c:pt idx="435">
                  <c:v>476</c:v>
                </c:pt>
                <c:pt idx="436">
                  <c:v>517</c:v>
                </c:pt>
                <c:pt idx="437">
                  <c:v>327</c:v>
                </c:pt>
                <c:pt idx="438">
                  <c:v>262</c:v>
                </c:pt>
                <c:pt idx="439">
                  <c:v>508</c:v>
                </c:pt>
                <c:pt idx="440">
                  <c:v>452</c:v>
                </c:pt>
                <c:pt idx="441">
                  <c:v>417</c:v>
                </c:pt>
                <c:pt idx="442">
                  <c:v>456</c:v>
                </c:pt>
                <c:pt idx="443">
                  <c:v>443</c:v>
                </c:pt>
                <c:pt idx="444">
                  <c:v>286</c:v>
                </c:pt>
                <c:pt idx="445">
                  <c:v>286</c:v>
                </c:pt>
                <c:pt idx="446">
                  <c:v>448</c:v>
                </c:pt>
                <c:pt idx="447">
                  <c:v>451</c:v>
                </c:pt>
                <c:pt idx="448">
                  <c:v>392</c:v>
                </c:pt>
                <c:pt idx="449">
                  <c:v>355</c:v>
                </c:pt>
                <c:pt idx="450">
                  <c:v>404</c:v>
                </c:pt>
                <c:pt idx="451">
                  <c:v>199</c:v>
                </c:pt>
                <c:pt idx="452">
                  <c:v>246</c:v>
                </c:pt>
                <c:pt idx="453">
                  <c:v>375</c:v>
                </c:pt>
                <c:pt idx="454">
                  <c:v>323</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260985</xdr:colOff>
      <xdr:row>463</xdr:row>
      <xdr:rowOff>15240</xdr:rowOff>
    </xdr:from>
    <xdr:to>
      <xdr:col>12</xdr:col>
      <xdr:colOff>47625</xdr:colOff>
      <xdr:row>480</xdr:row>
      <xdr:rowOff>154033</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114299</xdr:colOff>
      <xdr:row>3</xdr:row>
      <xdr:rowOff>180975</xdr:rowOff>
    </xdr:from>
    <xdr:to>
      <xdr:col>17</xdr:col>
      <xdr:colOff>142874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95250</xdr:colOff>
          <xdr:row>1</xdr:row>
          <xdr:rowOff>76200</xdr:rowOff>
        </xdr:from>
        <xdr:to>
          <xdr:col>2</xdr:col>
          <xdr:colOff>447675</xdr:colOff>
          <xdr:row>3</xdr:row>
          <xdr:rowOff>19050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9525</xdr:colOff>
      <xdr:row>41</xdr:row>
      <xdr:rowOff>142875</xdr:rowOff>
    </xdr:from>
    <xdr:to>
      <xdr:col>11</xdr:col>
      <xdr:colOff>76200</xdr:colOff>
      <xdr:row>56</xdr:row>
      <xdr:rowOff>104774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60" workbookViewId="0">
      <selection activeCell="A85" sqref="A85"/>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99</v>
      </c>
      <c r="D80" s="39">
        <f t="shared" si="1"/>
        <v>0.12774193548387097</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128</v>
      </c>
      <c r="D270" s="39">
        <f t="shared" si="4"/>
        <v>8.8202866593164279E-3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132</v>
      </c>
      <c r="D314" s="39">
        <f t="shared" si="4"/>
        <v>2.2813688212927757E-2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276</v>
      </c>
      <c r="D359" s="39">
        <f t="shared" si="5"/>
        <v>1.300843663100344E-2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361</v>
      </c>
      <c r="D389" s="39">
        <f t="shared" si="5"/>
        <v>2.1412895189513021E-2</v>
      </c>
    </row>
    <row r="390" spans="1:4">
      <c r="A390" t="s">
        <v>414</v>
      </c>
      <c r="B390">
        <v>11516</v>
      </c>
      <c r="C390">
        <f>Kaikki!A390</f>
        <v>168</v>
      </c>
      <c r="D390" s="39">
        <f t="shared" si="5"/>
        <v>1.4588398749565822E-2</v>
      </c>
    </row>
    <row r="391" spans="1:4">
      <c r="A391" t="s">
        <v>415</v>
      </c>
      <c r="B391">
        <v>8605</v>
      </c>
      <c r="C391">
        <f>Kaikki!A391</f>
        <v>246</v>
      </c>
      <c r="D391" s="39">
        <f t="shared" si="5"/>
        <v>2.8588030214991286E-2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382</v>
      </c>
      <c r="D394" s="39">
        <f t="shared" si="6"/>
        <v>2.3101112723754234E-2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533</v>
      </c>
      <c r="D399" s="39">
        <f t="shared" si="6"/>
        <v>4.1617865229952367E-2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372</v>
      </c>
      <c r="D402" s="39">
        <f t="shared" si="6"/>
        <v>1.91980182690819E-2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383</v>
      </c>
      <c r="D408" s="39">
        <f t="shared" ref="D408:D423" si="7">C408/B408</f>
        <v>1.8576001552041903E-2</v>
      </c>
    </row>
    <row r="409" spans="1:4">
      <c r="A409" t="s">
        <v>441</v>
      </c>
      <c r="B409">
        <v>18718</v>
      </c>
      <c r="C409">
        <f>Kaikki!A409</f>
        <v>356</v>
      </c>
      <c r="D409" s="39">
        <f t="shared" si="7"/>
        <v>1.9019125974997327E-2</v>
      </c>
    </row>
    <row r="410" spans="1:4">
      <c r="A410" t="s">
        <v>442</v>
      </c>
      <c r="B410">
        <v>18422</v>
      </c>
      <c r="C410">
        <f>Kaikki!A410</f>
        <v>418</v>
      </c>
      <c r="D410" s="39">
        <f t="shared" si="7"/>
        <v>2.2690261643686895E-2</v>
      </c>
    </row>
    <row r="411" spans="1:4">
      <c r="A411" t="s">
        <v>443</v>
      </c>
      <c r="B411">
        <v>12748</v>
      </c>
      <c r="C411">
        <f>Kaikki!A411</f>
        <v>277</v>
      </c>
      <c r="D411" s="39">
        <f t="shared" si="7"/>
        <v>2.1728898650768748E-2</v>
      </c>
    </row>
    <row r="412" spans="1:4">
      <c r="A412" t="s">
        <v>444</v>
      </c>
      <c r="B412">
        <v>9620</v>
      </c>
      <c r="C412">
        <f>Kaikki!A412</f>
        <v>281</v>
      </c>
      <c r="D412" s="39">
        <f t="shared" si="7"/>
        <v>2.9209979209979212E-2</v>
      </c>
    </row>
    <row r="413" spans="1:4">
      <c r="A413" t="s">
        <v>445</v>
      </c>
      <c r="B413">
        <v>14456</v>
      </c>
      <c r="C413">
        <f>Kaikki!A413</f>
        <v>616</v>
      </c>
      <c r="D413" s="39">
        <f t="shared" si="7"/>
        <v>4.2612064194798009E-2</v>
      </c>
    </row>
    <row r="414" spans="1:4">
      <c r="A414" t="s">
        <v>446</v>
      </c>
      <c r="B414">
        <v>21556</v>
      </c>
      <c r="C414">
        <f>Kaikki!A414</f>
        <v>516</v>
      </c>
      <c r="D414" s="39">
        <f t="shared" si="7"/>
        <v>2.3937650770087214E-2</v>
      </c>
    </row>
    <row r="415" spans="1:4">
      <c r="A415" t="s">
        <v>447</v>
      </c>
      <c r="B415">
        <v>20349</v>
      </c>
      <c r="C415">
        <f>Kaikki!A415</f>
        <v>553</v>
      </c>
      <c r="D415" s="39">
        <f t="shared" si="7"/>
        <v>2.7175782593739251E-2</v>
      </c>
    </row>
    <row r="416" spans="1:4">
      <c r="A416" t="s">
        <v>448</v>
      </c>
      <c r="B416">
        <v>21121</v>
      </c>
      <c r="C416">
        <f>Kaikki!A416</f>
        <v>611</v>
      </c>
      <c r="D416" s="39">
        <f t="shared" si="7"/>
        <v>2.8928554519198901E-2</v>
      </c>
    </row>
    <row r="417" spans="1:4">
      <c r="A417" t="s">
        <v>449</v>
      </c>
      <c r="B417">
        <v>19265</v>
      </c>
      <c r="C417">
        <f>Kaikki!A417</f>
        <v>571</v>
      </c>
      <c r="D417" s="39">
        <f t="shared" si="7"/>
        <v>2.9639242148974825E-2</v>
      </c>
    </row>
    <row r="418" spans="1:4">
      <c r="A418" t="s">
        <v>451</v>
      </c>
      <c r="B418">
        <v>15763</v>
      </c>
      <c r="C418">
        <f>Kaikki!A418</f>
        <v>318</v>
      </c>
      <c r="D418" s="39">
        <f t="shared" si="7"/>
        <v>2.0173824779547041E-2</v>
      </c>
    </row>
    <row r="419" spans="1:4">
      <c r="A419" t="s">
        <v>452</v>
      </c>
      <c r="B419">
        <v>11288</v>
      </c>
      <c r="C419">
        <f>Kaikki!A419</f>
        <v>356</v>
      </c>
      <c r="D419" s="39">
        <f t="shared" si="7"/>
        <v>3.1537916371367825E-2</v>
      </c>
    </row>
    <row r="420" spans="1:4">
      <c r="A420" t="s">
        <v>453</v>
      </c>
      <c r="B420">
        <v>20573</v>
      </c>
      <c r="C420">
        <f>Kaikki!A420</f>
        <v>623</v>
      </c>
      <c r="D420" s="39">
        <f t="shared" si="7"/>
        <v>3.0282408982647158E-2</v>
      </c>
    </row>
    <row r="421" spans="1:4">
      <c r="A421" t="s">
        <v>456</v>
      </c>
      <c r="B421">
        <v>20892</v>
      </c>
      <c r="C421">
        <f>Kaikki!A421</f>
        <v>626</v>
      </c>
      <c r="D421" s="39">
        <f t="shared" si="7"/>
        <v>2.996362243921118E-2</v>
      </c>
    </row>
    <row r="422" spans="1:4">
      <c r="A422" t="s">
        <v>462</v>
      </c>
      <c r="B422">
        <v>239</v>
      </c>
      <c r="C422">
        <f>Kaikki!A422</f>
        <v>598</v>
      </c>
      <c r="D422" s="39">
        <f t="shared" si="7"/>
        <v>2.502092050209205</v>
      </c>
    </row>
    <row r="423" spans="1:4">
      <c r="A423" t="s">
        <v>463</v>
      </c>
      <c r="B423">
        <v>0</v>
      </c>
      <c r="C423">
        <f>Kaikki!A423</f>
        <v>618</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84" activePane="bottomLeft" state="frozen"/>
      <selection pane="bottomLeft" activeCell="A95" sqref="A95"/>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4.8554687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79094</v>
      </c>
      <c r="J1" s="8">
        <v>44289.492881944447</v>
      </c>
      <c r="K1" s="7">
        <f>MAX(A:A)</f>
        <v>891</v>
      </c>
      <c r="L1" s="15">
        <f>VLOOKUP(K1,A:F,6,FALSE)</f>
        <v>44270.625</v>
      </c>
      <c r="M1" s="7">
        <f>COUNT(DataN)-5</f>
        <v>454</v>
      </c>
      <c r="O1" s="7" t="str">
        <f>"Päivittäisiä COVID-19 tapauksia vuoden 2020 alusta lähtien "&amp;TEXT(MAX(Kaikki!F:F)-4,"[$-40B]p.k.vvvv")&amp;" saakka. Suurin arvo "&amp;Kaikki!K1&amp;", joka "&amp;TEXT(Kaikki!L1,"[$-40B]p.k.vvvv")&amp;". Uusimpien 4 päivien arvot tulevat viiveellä, joten ne jätetty pois kuvaajasta."</f>
        <v>Päivittäisiä COVID-19 tapauksia vuoden 2020 alusta lähtien 30.3.2021 saakka. Suurin arvo 891, joka 15.3.2021.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540</v>
      </c>
      <c r="I77" s="28">
        <f>H77/H70-1</f>
        <v>0.70347003154574139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99</v>
      </c>
      <c r="B80" t="s">
        <v>35</v>
      </c>
      <c r="C80" t="s">
        <v>8</v>
      </c>
      <c r="E80" s="3">
        <f t="shared" si="3"/>
        <v>4</v>
      </c>
      <c r="F80" s="5">
        <v>43909.625</v>
      </c>
      <c r="G80" s="19" t="str">
        <f t="shared" si="4"/>
        <v/>
      </c>
      <c r="J80" s="28">
        <f t="shared" si="5"/>
        <v>0.64999999999999991</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0.18888888888888888</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0.14141414141414144</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717</v>
      </c>
      <c r="I266" s="28">
        <f>H266/H259-1</f>
        <v>0.53862660944205998</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128</v>
      </c>
      <c r="B270" t="s">
        <v>223</v>
      </c>
      <c r="C270" t="s">
        <v>8</v>
      </c>
      <c r="E270" s="3">
        <f t="shared" si="12"/>
        <v>5</v>
      </c>
      <c r="F270" s="5">
        <v>44099.625</v>
      </c>
      <c r="G270" s="19" t="str">
        <f t="shared" si="13"/>
        <v/>
      </c>
      <c r="J270" s="28">
        <f t="shared" si="14"/>
        <v>0.66233766233766245</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0.57043235704323569</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0.46875</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1417</v>
      </c>
      <c r="I308" s="28">
        <f>H308/H301-1</f>
        <v>-2.5447042640990403E-2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132</v>
      </c>
      <c r="B314" t="s">
        <v>333</v>
      </c>
      <c r="C314" t="s">
        <v>8</v>
      </c>
      <c r="E314" s="3">
        <f t="shared" si="12"/>
        <v>7</v>
      </c>
      <c r="F314" s="5">
        <v>44143.625</v>
      </c>
      <c r="G314" s="19" t="str">
        <f t="shared" si="13"/>
        <v/>
      </c>
      <c r="J314" s="28">
        <f t="shared" si="14"/>
        <v>-0.12</v>
      </c>
    </row>
    <row r="315" spans="1:10">
      <c r="A315" s="3">
        <v>273</v>
      </c>
      <c r="B315" t="s">
        <v>334</v>
      </c>
      <c r="C315" t="s">
        <v>8</v>
      </c>
      <c r="E315" s="3">
        <f t="shared" si="12"/>
        <v>1</v>
      </c>
      <c r="F315" s="5">
        <v>44144.625</v>
      </c>
      <c r="G315" s="19" t="str">
        <f t="shared" si="13"/>
        <v>2020-W46</v>
      </c>
      <c r="H315">
        <f>SUM(A315:A321)</f>
        <v>1649</v>
      </c>
      <c r="I315" s="28">
        <f>H315/H308-1</f>
        <v>0.16372618207480594</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0.3712121212121211</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1652</v>
      </c>
      <c r="I357" s="28">
        <f>H357/H350-1</f>
        <v>-0.28976784178847803</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276</v>
      </c>
      <c r="B359" t="s">
        <v>383</v>
      </c>
      <c r="C359" t="s">
        <v>8</v>
      </c>
      <c r="E359" s="3">
        <f t="shared" si="17"/>
        <v>3</v>
      </c>
      <c r="F359" s="5">
        <v>44188.625</v>
      </c>
      <c r="G359" s="19" t="str">
        <f t="shared" si="16"/>
        <v/>
      </c>
      <c r="J359" s="28">
        <f t="shared" si="18"/>
        <v>-0.21813031161473084</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6.3559322033898358E-2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-7.2463768115942018E-2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2347</v>
      </c>
      <c r="I385" s="28">
        <f>H385/H378-1</f>
        <v>0.3365603644646924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361</v>
      </c>
      <c r="B389" t="s">
        <v>413</v>
      </c>
      <c r="C389" t="s">
        <v>8</v>
      </c>
      <c r="E389" s="3">
        <f t="shared" si="19"/>
        <v>5</v>
      </c>
      <c r="F389" s="5">
        <v>44218.625</v>
      </c>
      <c r="G389" s="19" t="str">
        <f t="shared" si="20"/>
        <v/>
      </c>
      <c r="J389" s="28">
        <f t="shared" si="18"/>
        <v>0.35714285714285721</v>
      </c>
    </row>
    <row r="390" spans="1:10">
      <c r="A390" s="3">
        <v>168</v>
      </c>
      <c r="B390" t="s">
        <v>414</v>
      </c>
      <c r="C390" t="s">
        <v>8</v>
      </c>
      <c r="E390" s="3">
        <f t="shared" si="19"/>
        <v>6</v>
      </c>
      <c r="F390" s="5">
        <v>44219.625</v>
      </c>
      <c r="G390" s="19" t="str">
        <f t="shared" si="20"/>
        <v/>
      </c>
      <c r="J390" s="28">
        <f t="shared" si="18"/>
        <v>-1.7543859649122862E-2</v>
      </c>
    </row>
    <row r="391" spans="1:10">
      <c r="A391" s="3">
        <v>246</v>
      </c>
      <c r="B391" t="s">
        <v>415</v>
      </c>
      <c r="C391" t="s">
        <v>8</v>
      </c>
      <c r="E391" s="3">
        <f t="shared" si="19"/>
        <v>7</v>
      </c>
      <c r="F391" s="5">
        <v>44220.625</v>
      </c>
      <c r="G391" s="19" t="str">
        <f t="shared" si="20"/>
        <v/>
      </c>
      <c r="J391" s="28">
        <f t="shared" si="18"/>
        <v>0.25510204081632648</v>
      </c>
    </row>
    <row r="392" spans="1:10">
      <c r="A392" s="3">
        <v>605</v>
      </c>
      <c r="B392" t="s">
        <v>416</v>
      </c>
      <c r="C392" t="s">
        <v>8</v>
      </c>
      <c r="E392" s="3">
        <f t="shared" si="19"/>
        <v>1</v>
      </c>
      <c r="F392" s="5">
        <v>44221.625</v>
      </c>
      <c r="G392" s="19" t="str">
        <f t="shared" si="20"/>
        <v>2021-W04</v>
      </c>
      <c r="H392">
        <f>SUM(A392:A398)</f>
        <v>2698</v>
      </c>
      <c r="I392" s="28">
        <f>H392/H385-1</f>
        <v>0.14955262036642525</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382</v>
      </c>
      <c r="B394" t="s">
        <v>418</v>
      </c>
      <c r="C394" t="s">
        <v>8</v>
      </c>
      <c r="E394" s="3">
        <f t="shared" si="19"/>
        <v>3</v>
      </c>
      <c r="F394" s="5">
        <v>44223.625</v>
      </c>
      <c r="G394" s="19" t="str">
        <f t="shared" si="20"/>
        <v/>
      </c>
      <c r="J394" s="28">
        <f t="shared" si="21"/>
        <v>-5.9113300492610876E-2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3.8781163434903121E-2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0.10569105691056913</v>
      </c>
    </row>
    <row r="399" spans="1:10">
      <c r="A399" s="3">
        <v>533</v>
      </c>
      <c r="B399" t="s">
        <v>424</v>
      </c>
      <c r="C399" t="s">
        <v>8</v>
      </c>
      <c r="E399" s="3">
        <f t="shared" si="19"/>
        <v>1</v>
      </c>
      <c r="F399" s="5">
        <v>44228.625</v>
      </c>
      <c r="G399" s="19" t="str">
        <f t="shared" si="20"/>
        <v>2021-W05</v>
      </c>
      <c r="H399">
        <f>SUM(A399:A405)</f>
        <v>2610</v>
      </c>
      <c r="I399" s="28">
        <f>H399/H392-1</f>
        <v>-3.2616753150481848E-2</v>
      </c>
      <c r="J399" s="28">
        <f t="shared" si="21"/>
        <v>-0.11900826446280988</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0.15445026178010468</v>
      </c>
    </row>
    <row r="402" spans="1:10">
      <c r="A402" s="3">
        <v>372</v>
      </c>
      <c r="B402" t="s">
        <v>427</v>
      </c>
      <c r="C402" t="s">
        <v>8</v>
      </c>
      <c r="E402" s="3">
        <f t="shared" si="19"/>
        <v>4</v>
      </c>
      <c r="F402" s="5">
        <v>44231.625</v>
      </c>
      <c r="G402" s="19" t="str">
        <f t="shared" si="20"/>
        <v/>
      </c>
      <c r="J402" s="28">
        <f t="shared" si="21"/>
        <v>-0.14482758620689651</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2545</v>
      </c>
      <c r="I406" s="28">
        <f>H406/H399-1</f>
        <v>-2.4904214559386961E-2</v>
      </c>
      <c r="J406" s="28">
        <f t="shared" si="21"/>
        <v>-0.13883677298311448</v>
      </c>
    </row>
    <row r="407" spans="1:10">
      <c r="A407" s="3">
        <v>371</v>
      </c>
      <c r="B407" t="s">
        <v>439</v>
      </c>
      <c r="C407" t="s">
        <v>8</v>
      </c>
      <c r="E407" s="3">
        <f t="shared" si="19"/>
        <v>2</v>
      </c>
      <c r="F407" s="5">
        <v>44236.625</v>
      </c>
      <c r="G407" s="19" t="str">
        <f t="shared" si="20"/>
        <v/>
      </c>
      <c r="J407" s="28">
        <f t="shared" si="21"/>
        <v>-6.0759493670886067E-2</v>
      </c>
    </row>
    <row r="408" spans="1:10">
      <c r="A408" s="3">
        <v>383</v>
      </c>
      <c r="B408" t="s">
        <v>440</v>
      </c>
      <c r="C408" t="s">
        <v>8</v>
      </c>
      <c r="E408" s="3">
        <f t="shared" si="19"/>
        <v>3</v>
      </c>
      <c r="F408" s="5">
        <v>44237.625</v>
      </c>
      <c r="G408" s="19" t="str">
        <f t="shared" si="20"/>
        <v/>
      </c>
      <c r="J408" s="28">
        <f t="shared" si="21"/>
        <v>-0.13151927437641719</v>
      </c>
    </row>
    <row r="409" spans="1:10">
      <c r="A409" s="3">
        <v>356</v>
      </c>
      <c r="B409" t="s">
        <v>441</v>
      </c>
      <c r="C409" t="s">
        <v>8</v>
      </c>
      <c r="E409" s="3">
        <f t="shared" si="19"/>
        <v>4</v>
      </c>
      <c r="F409" s="5">
        <v>44238.625</v>
      </c>
      <c r="G409" s="19" t="str">
        <f t="shared" si="20"/>
        <v/>
      </c>
      <c r="J409" s="28">
        <f t="shared" si="21"/>
        <v>-4.3010752688172005E-2</v>
      </c>
    </row>
    <row r="410" spans="1:10">
      <c r="A410" s="3">
        <v>418</v>
      </c>
      <c r="B410" t="s">
        <v>442</v>
      </c>
      <c r="C410" t="s">
        <v>8</v>
      </c>
      <c r="E410" s="3">
        <f t="shared" si="19"/>
        <v>5</v>
      </c>
      <c r="F410" s="5">
        <v>44239.625</v>
      </c>
      <c r="G410" s="19" t="str">
        <f t="shared" si="20"/>
        <v/>
      </c>
      <c r="J410" s="28">
        <f t="shared" si="21"/>
        <v>0.13896457765667569</v>
      </c>
    </row>
    <row r="411" spans="1:10">
      <c r="A411" s="3">
        <v>277</v>
      </c>
      <c r="B411" t="s">
        <v>443</v>
      </c>
      <c r="C411" t="s">
        <v>8</v>
      </c>
      <c r="E411" s="3">
        <f t="shared" si="19"/>
        <v>6</v>
      </c>
      <c r="F411" s="5">
        <v>44240.625</v>
      </c>
      <c r="G411" s="19" t="str">
        <f t="shared" si="20"/>
        <v/>
      </c>
      <c r="J411" s="28">
        <f t="shared" si="21"/>
        <v>0.15899581589958167</v>
      </c>
    </row>
    <row r="412" spans="1:10">
      <c r="A412" s="3">
        <v>281</v>
      </c>
      <c r="B412" t="s">
        <v>444</v>
      </c>
      <c r="C412" t="s">
        <v>8</v>
      </c>
      <c r="E412" s="3">
        <f t="shared" si="19"/>
        <v>7</v>
      </c>
      <c r="F412" s="5">
        <v>44241.625</v>
      </c>
      <c r="G412" s="19" t="str">
        <f t="shared" si="20"/>
        <v/>
      </c>
      <c r="J412" s="28">
        <f t="shared" si="21"/>
        <v>6.8441064638783189E-2</v>
      </c>
    </row>
    <row r="413" spans="1:10" s="10" customFormat="1">
      <c r="A413" s="14">
        <v>616</v>
      </c>
      <c r="B413" s="10" t="s">
        <v>445</v>
      </c>
      <c r="C413" s="10" t="s">
        <v>8</v>
      </c>
      <c r="E413" s="14">
        <f t="shared" si="19"/>
        <v>1</v>
      </c>
      <c r="F413" s="18">
        <v>44242.625</v>
      </c>
      <c r="G413" s="19" t="str">
        <f t="shared" si="20"/>
        <v>2021-W07</v>
      </c>
      <c r="H413" s="10">
        <f>SUM(A413:A419)</f>
        <v>3541</v>
      </c>
      <c r="I413" s="34">
        <f>H413/H406-1</f>
        <v>0.39135559921414531</v>
      </c>
      <c r="J413" s="28">
        <f t="shared" si="21"/>
        <v>0.34204793028322444</v>
      </c>
    </row>
    <row r="414" spans="1:10">
      <c r="A414" s="3">
        <v>516</v>
      </c>
      <c r="B414" t="s">
        <v>446</v>
      </c>
      <c r="C414" t="s">
        <v>8</v>
      </c>
      <c r="E414" s="3">
        <f t="shared" si="19"/>
        <v>2</v>
      </c>
      <c r="F414" s="5">
        <v>44243.625</v>
      </c>
      <c r="G414" s="19" t="str">
        <f t="shared" si="20"/>
        <v/>
      </c>
      <c r="J414" s="28">
        <f t="shared" si="21"/>
        <v>0.39083557951482484</v>
      </c>
    </row>
    <row r="415" spans="1:10">
      <c r="A415" s="3">
        <v>553</v>
      </c>
      <c r="B415" t="s">
        <v>447</v>
      </c>
      <c r="C415" t="s">
        <v>8</v>
      </c>
      <c r="E415" s="3">
        <f t="shared" si="19"/>
        <v>3</v>
      </c>
      <c r="F415" s="5">
        <v>44244.625</v>
      </c>
      <c r="G415" s="19" t="str">
        <f t="shared" si="20"/>
        <v/>
      </c>
      <c r="J415" s="28">
        <f t="shared" si="21"/>
        <v>0.44386422976501305</v>
      </c>
    </row>
    <row r="416" spans="1:10">
      <c r="A416" s="3">
        <v>611</v>
      </c>
      <c r="B416" t="s">
        <v>448</v>
      </c>
      <c r="C416" t="s">
        <v>8</v>
      </c>
      <c r="E416" s="3">
        <f t="shared" si="19"/>
        <v>4</v>
      </c>
      <c r="F416" s="5">
        <v>44245.625</v>
      </c>
      <c r="G416" s="19" t="str">
        <f t="shared" si="20"/>
        <v/>
      </c>
      <c r="J416" s="28">
        <f t="shared" si="21"/>
        <v>0.71629213483146059</v>
      </c>
    </row>
    <row r="417" spans="1:10">
      <c r="A417" s="3">
        <v>571</v>
      </c>
      <c r="B417" t="s">
        <v>449</v>
      </c>
      <c r="C417" t="s">
        <v>8</v>
      </c>
      <c r="E417" s="3">
        <f t="shared" si="19"/>
        <v>5</v>
      </c>
      <c r="F417" s="5">
        <v>44246.625</v>
      </c>
      <c r="G417" s="19" t="str">
        <f t="shared" si="20"/>
        <v/>
      </c>
      <c r="J417" s="28">
        <f t="shared" si="21"/>
        <v>0.36602870813397126</v>
      </c>
    </row>
    <row r="418" spans="1:10">
      <c r="A418" s="3">
        <v>318</v>
      </c>
      <c r="B418" t="s">
        <v>451</v>
      </c>
      <c r="C418" t="s">
        <v>8</v>
      </c>
      <c r="E418" s="3">
        <f t="shared" si="19"/>
        <v>6</v>
      </c>
      <c r="F418" s="5">
        <v>44247.625</v>
      </c>
      <c r="G418" s="19" t="str">
        <f t="shared" si="20"/>
        <v/>
      </c>
      <c r="J418" s="28">
        <f t="shared" si="21"/>
        <v>0.1480144404332131</v>
      </c>
    </row>
    <row r="419" spans="1:10">
      <c r="A419" s="3">
        <v>356</v>
      </c>
      <c r="B419" t="s">
        <v>452</v>
      </c>
      <c r="C419" t="s">
        <v>8</v>
      </c>
      <c r="E419" s="3">
        <f t="shared" si="19"/>
        <v>7</v>
      </c>
      <c r="F419" s="5">
        <v>44248.625</v>
      </c>
      <c r="G419" s="19" t="str">
        <f t="shared" si="20"/>
        <v/>
      </c>
      <c r="J419" s="28">
        <f t="shared" si="21"/>
        <v>0.26690391459074725</v>
      </c>
    </row>
    <row r="420" spans="1:10">
      <c r="A420" s="3">
        <v>623</v>
      </c>
      <c r="B420" t="s">
        <v>453</v>
      </c>
      <c r="C420" t="s">
        <v>8</v>
      </c>
      <c r="E420" s="3">
        <f t="shared" si="19"/>
        <v>1</v>
      </c>
      <c r="F420" s="5">
        <v>44249.625</v>
      </c>
      <c r="G420" s="19" t="str">
        <f t="shared" si="20"/>
        <v>2021-W08</v>
      </c>
      <c r="H420">
        <f>SUM(A420:A426)</f>
        <v>3974</v>
      </c>
      <c r="I420" s="28">
        <f>H420/H413-1</f>
        <v>0.12228184128777175</v>
      </c>
      <c r="J420" s="28">
        <f t="shared" si="21"/>
        <v>1.1363636363636465E-2</v>
      </c>
    </row>
    <row r="421" spans="1:10">
      <c r="A421" s="3">
        <v>626</v>
      </c>
      <c r="B421" t="s">
        <v>456</v>
      </c>
      <c r="C421" t="s">
        <v>8</v>
      </c>
      <c r="E421" s="3">
        <f t="shared" si="19"/>
        <v>2</v>
      </c>
      <c r="F421" s="5">
        <v>44250.625</v>
      </c>
      <c r="G421" s="19" t="str">
        <f t="shared" si="20"/>
        <v/>
      </c>
      <c r="J421" s="28">
        <f t="shared" si="21"/>
        <v>0.21317829457364335</v>
      </c>
    </row>
    <row r="422" spans="1:10">
      <c r="A422" s="3">
        <v>598</v>
      </c>
      <c r="B422" t="s">
        <v>462</v>
      </c>
      <c r="C422" t="s">
        <v>8</v>
      </c>
      <c r="E422" s="3">
        <f t="shared" si="19"/>
        <v>3</v>
      </c>
      <c r="F422" s="5">
        <v>44251.625</v>
      </c>
      <c r="G422" s="19" t="str">
        <f t="shared" si="20"/>
        <v/>
      </c>
      <c r="J422" s="28">
        <f t="shared" si="21"/>
        <v>8.1374321880651079E-2</v>
      </c>
    </row>
    <row r="423" spans="1:10">
      <c r="A423" s="3">
        <v>618</v>
      </c>
      <c r="B423" t="s">
        <v>464</v>
      </c>
      <c r="C423" t="s">
        <v>8</v>
      </c>
      <c r="E423" s="3">
        <f t="shared" si="19"/>
        <v>4</v>
      </c>
      <c r="F423" s="5">
        <v>44252.625</v>
      </c>
      <c r="G423" s="19" t="str">
        <f t="shared" si="20"/>
        <v/>
      </c>
      <c r="J423" s="28">
        <f t="shared" si="21"/>
        <v>1.1456628477905184E-2</v>
      </c>
    </row>
    <row r="424" spans="1:10">
      <c r="A424" s="3">
        <v>690</v>
      </c>
      <c r="B424" t="s">
        <v>465</v>
      </c>
      <c r="C424" t="s">
        <v>8</v>
      </c>
      <c r="E424" s="3">
        <f t="shared" si="19"/>
        <v>5</v>
      </c>
      <c r="F424" s="5">
        <v>44253.625</v>
      </c>
      <c r="G424" s="19" t="str">
        <f t="shared" si="20"/>
        <v/>
      </c>
      <c r="J424" s="28">
        <f t="shared" si="21"/>
        <v>0.20840630472854649</v>
      </c>
    </row>
    <row r="425" spans="1:10">
      <c r="A425" s="3">
        <v>401</v>
      </c>
      <c r="B425" t="s">
        <v>470</v>
      </c>
      <c r="C425" t="s">
        <v>8</v>
      </c>
      <c r="E425" s="3">
        <f t="shared" si="19"/>
        <v>6</v>
      </c>
      <c r="F425" s="5">
        <v>44254.625</v>
      </c>
      <c r="G425" s="19" t="str">
        <f t="shared" si="20"/>
        <v/>
      </c>
      <c r="J425" s="28">
        <f t="shared" si="21"/>
        <v>0.26100628930817615</v>
      </c>
    </row>
    <row r="426" spans="1:10">
      <c r="A426" s="3">
        <v>418</v>
      </c>
      <c r="B426" t="s">
        <v>471</v>
      </c>
      <c r="C426" t="s">
        <v>8</v>
      </c>
      <c r="E426" s="3">
        <f t="shared" si="19"/>
        <v>7</v>
      </c>
      <c r="F426" s="5">
        <v>44255.625</v>
      </c>
      <c r="G426" s="19" t="str">
        <f t="shared" si="20"/>
        <v/>
      </c>
      <c r="J426" s="28">
        <f t="shared" si="21"/>
        <v>0.17415730337078661</v>
      </c>
    </row>
    <row r="427" spans="1:10">
      <c r="A427" s="3">
        <v>871</v>
      </c>
      <c r="B427" t="s">
        <v>472</v>
      </c>
      <c r="C427" t="s">
        <v>8</v>
      </c>
      <c r="E427" s="3">
        <f t="shared" si="19"/>
        <v>1</v>
      </c>
      <c r="F427" s="5">
        <v>44256.625</v>
      </c>
      <c r="G427" s="19" t="str">
        <f t="shared" si="20"/>
        <v>2021-W09</v>
      </c>
      <c r="H427">
        <f>SUM(A427:A433)</f>
        <v>4454</v>
      </c>
      <c r="I427" s="28">
        <f>H427/H420-1</f>
        <v>0.12078510317060887</v>
      </c>
      <c r="J427" s="28">
        <f t="shared" si="21"/>
        <v>0.39807383627608339</v>
      </c>
    </row>
    <row r="428" spans="1:10">
      <c r="A428" s="3">
        <v>757</v>
      </c>
      <c r="B428" t="s">
        <v>473</v>
      </c>
      <c r="C428" t="s">
        <v>8</v>
      </c>
      <c r="E428" s="3">
        <f t="shared" si="19"/>
        <v>2</v>
      </c>
      <c r="F428" s="5">
        <v>44257.625</v>
      </c>
      <c r="G428" s="19" t="str">
        <f t="shared" si="20"/>
        <v/>
      </c>
      <c r="J428" s="28">
        <f t="shared" si="21"/>
        <v>0.20926517571884995</v>
      </c>
    </row>
    <row r="429" spans="1:10">
      <c r="A429" s="3">
        <v>732</v>
      </c>
      <c r="B429" t="s">
        <v>474</v>
      </c>
      <c r="C429" t="s">
        <v>8</v>
      </c>
      <c r="E429" s="3">
        <f t="shared" si="19"/>
        <v>3</v>
      </c>
      <c r="F429" s="5">
        <v>44258.625</v>
      </c>
      <c r="G429" s="19" t="str">
        <f t="shared" si="20"/>
        <v/>
      </c>
      <c r="J429" s="28">
        <f t="shared" si="21"/>
        <v>0.2240802675585285</v>
      </c>
    </row>
    <row r="430" spans="1:10">
      <c r="A430" s="3">
        <v>638</v>
      </c>
      <c r="B430" t="s">
        <v>475</v>
      </c>
      <c r="C430" t="s">
        <v>8</v>
      </c>
      <c r="E430" s="3">
        <f t="shared" si="19"/>
        <v>4</v>
      </c>
      <c r="F430" s="5">
        <v>44259.625</v>
      </c>
      <c r="G430" s="19" t="str">
        <f t="shared" si="20"/>
        <v/>
      </c>
      <c r="J430" s="28">
        <f t="shared" si="21"/>
        <v>3.2362459546925626E-2</v>
      </c>
    </row>
    <row r="431" spans="1:10">
      <c r="A431" s="3">
        <v>629</v>
      </c>
      <c r="B431" t="s">
        <v>476</v>
      </c>
      <c r="C431" t="s">
        <v>8</v>
      </c>
      <c r="E431" s="3">
        <f t="shared" si="19"/>
        <v>5</v>
      </c>
      <c r="F431" s="5">
        <v>44260.625</v>
      </c>
      <c r="G431" s="19" t="str">
        <f t="shared" si="20"/>
        <v/>
      </c>
      <c r="J431" s="28">
        <f t="shared" si="21"/>
        <v>-8.8405797101449246E-2</v>
      </c>
    </row>
    <row r="432" spans="1:10">
      <c r="A432" s="3">
        <v>431</v>
      </c>
      <c r="B432" t="s">
        <v>477</v>
      </c>
      <c r="C432" t="s">
        <v>8</v>
      </c>
      <c r="E432" s="3">
        <f t="shared" si="19"/>
        <v>6</v>
      </c>
      <c r="F432" s="5">
        <v>44261.625</v>
      </c>
      <c r="G432" s="19" t="str">
        <f t="shared" si="20"/>
        <v/>
      </c>
      <c r="J432" s="28">
        <f t="shared" si="21"/>
        <v>7.4812967581047385E-2</v>
      </c>
    </row>
    <row r="433" spans="1:10">
      <c r="A433" s="3">
        <v>396</v>
      </c>
      <c r="B433" t="s">
        <v>478</v>
      </c>
      <c r="C433" t="s">
        <v>8</v>
      </c>
      <c r="E433" s="3">
        <f t="shared" si="19"/>
        <v>7</v>
      </c>
      <c r="F433" s="5">
        <v>44262.625</v>
      </c>
      <c r="G433" s="19" t="str">
        <f t="shared" si="20"/>
        <v/>
      </c>
      <c r="J433" s="28">
        <f t="shared" si="21"/>
        <v>-5.2631578947368474E-2</v>
      </c>
    </row>
    <row r="434" spans="1:10">
      <c r="A434" s="3">
        <v>833</v>
      </c>
      <c r="B434" t="s">
        <v>479</v>
      </c>
      <c r="C434" t="s">
        <v>8</v>
      </c>
      <c r="E434" s="3">
        <f t="shared" si="19"/>
        <v>1</v>
      </c>
      <c r="F434" s="5">
        <v>44263.625</v>
      </c>
      <c r="G434" s="19" t="str">
        <f t="shared" si="20"/>
        <v>2021-W10</v>
      </c>
      <c r="H434">
        <f>SUM(A434:A440)</f>
        <v>4938</v>
      </c>
      <c r="I434" s="28">
        <f>H434/H427-1</f>
        <v>0.10866636731028279</v>
      </c>
      <c r="J434" s="28">
        <f t="shared" si="21"/>
        <v>-4.3628013777267549E-2</v>
      </c>
    </row>
    <row r="435" spans="1:10">
      <c r="A435" s="3">
        <v>774</v>
      </c>
      <c r="B435" t="s">
        <v>480</v>
      </c>
      <c r="C435" t="s">
        <v>8</v>
      </c>
      <c r="E435" s="3">
        <f t="shared" si="19"/>
        <v>2</v>
      </c>
      <c r="F435" s="5">
        <v>44264.625</v>
      </c>
      <c r="G435" s="19" t="str">
        <f t="shared" si="20"/>
        <v/>
      </c>
      <c r="J435" s="28">
        <f t="shared" si="21"/>
        <v>2.2457067371202122E-2</v>
      </c>
    </row>
    <row r="436" spans="1:10">
      <c r="A436" s="3">
        <v>817</v>
      </c>
      <c r="B436" t="s">
        <v>481</v>
      </c>
      <c r="C436" t="s">
        <v>8</v>
      </c>
      <c r="E436" s="3">
        <f t="shared" si="19"/>
        <v>3</v>
      </c>
      <c r="F436" s="5">
        <v>44265.625</v>
      </c>
      <c r="G436" s="19" t="str">
        <f t="shared" si="20"/>
        <v/>
      </c>
      <c r="J436" s="28">
        <f t="shared" si="21"/>
        <v>0.11612021857923494</v>
      </c>
    </row>
    <row r="437" spans="1:10">
      <c r="A437" s="3">
        <v>775</v>
      </c>
      <c r="B437" t="s">
        <v>482</v>
      </c>
      <c r="C437" t="s">
        <v>8</v>
      </c>
      <c r="E437" s="3">
        <f t="shared" si="19"/>
        <v>4</v>
      </c>
      <c r="F437" s="5">
        <v>44266.625</v>
      </c>
      <c r="G437" s="19" t="str">
        <f t="shared" si="20"/>
        <v/>
      </c>
      <c r="J437" s="28">
        <f t="shared" si="21"/>
        <v>0.21473354231974917</v>
      </c>
    </row>
    <row r="438" spans="1:10">
      <c r="A438" s="3">
        <v>812</v>
      </c>
      <c r="B438" t="s">
        <v>483</v>
      </c>
      <c r="C438" t="s">
        <v>8</v>
      </c>
      <c r="E438" s="3">
        <f t="shared" si="19"/>
        <v>5</v>
      </c>
      <c r="F438" s="5">
        <v>44267.625</v>
      </c>
      <c r="G438" s="19" t="str">
        <f t="shared" si="20"/>
        <v/>
      </c>
      <c r="J438" s="28">
        <f t="shared" si="21"/>
        <v>0.29093799682034982</v>
      </c>
    </row>
    <row r="439" spans="1:10">
      <c r="A439" s="3">
        <v>492</v>
      </c>
      <c r="B439" t="s">
        <v>484</v>
      </c>
      <c r="C439" t="s">
        <v>8</v>
      </c>
      <c r="E439" s="3">
        <f t="shared" si="19"/>
        <v>6</v>
      </c>
      <c r="F439" s="5">
        <v>44268.625</v>
      </c>
      <c r="G439" s="19" t="str">
        <f t="shared" si="20"/>
        <v/>
      </c>
      <c r="J439" s="28">
        <f t="shared" si="21"/>
        <v>0.14153132250580036</v>
      </c>
    </row>
    <row r="440" spans="1:10">
      <c r="A440" s="3">
        <v>435</v>
      </c>
      <c r="B440" t="s">
        <v>485</v>
      </c>
      <c r="C440" t="s">
        <v>8</v>
      </c>
      <c r="E440" s="3">
        <f t="shared" si="19"/>
        <v>7</v>
      </c>
      <c r="F440" s="5">
        <v>44269.625</v>
      </c>
      <c r="G440" s="19" t="str">
        <f t="shared" si="20"/>
        <v/>
      </c>
      <c r="J440" s="28">
        <f t="shared" si="21"/>
        <v>9.8484848484848397E-2</v>
      </c>
    </row>
    <row r="441" spans="1:10">
      <c r="A441" s="3">
        <v>891</v>
      </c>
      <c r="B441" t="s">
        <v>486</v>
      </c>
      <c r="C441" t="s">
        <v>8</v>
      </c>
      <c r="E441" s="3">
        <f t="shared" si="19"/>
        <v>1</v>
      </c>
      <c r="F441" s="5">
        <v>44270.625</v>
      </c>
      <c r="G441" s="19" t="str">
        <f t="shared" si="20"/>
        <v>2021-W11</v>
      </c>
      <c r="H441">
        <f>SUM(A441:A447)</f>
        <v>4696</v>
      </c>
      <c r="I441" s="28">
        <f>H441/H434-1</f>
        <v>-4.9007695423248232E-2</v>
      </c>
      <c r="J441" s="28">
        <f t="shared" si="21"/>
        <v>6.9627851140456221E-2</v>
      </c>
    </row>
    <row r="442" spans="1:10">
      <c r="A442" s="3">
        <v>763</v>
      </c>
      <c r="B442" t="s">
        <v>487</v>
      </c>
      <c r="C442" t="s">
        <v>8</v>
      </c>
      <c r="E442" s="3">
        <f t="shared" si="19"/>
        <v>2</v>
      </c>
      <c r="F442" s="5">
        <v>44271.625</v>
      </c>
      <c r="G442" s="19" t="str">
        <f t="shared" si="20"/>
        <v/>
      </c>
      <c r="J442" s="28">
        <f t="shared" si="21"/>
        <v>-1.4211886304909549E-2</v>
      </c>
    </row>
    <row r="443" spans="1:10">
      <c r="A443" s="3">
        <v>743</v>
      </c>
      <c r="B443" t="s">
        <v>488</v>
      </c>
      <c r="C443" t="s">
        <v>8</v>
      </c>
      <c r="E443" s="3">
        <f t="shared" si="19"/>
        <v>3</v>
      </c>
      <c r="F443" s="5">
        <v>44272.625</v>
      </c>
      <c r="G443" s="19" t="str">
        <f t="shared" si="20"/>
        <v/>
      </c>
      <c r="J443" s="28">
        <f t="shared" si="21"/>
        <v>-9.0575275397796862E-2</v>
      </c>
    </row>
    <row r="444" spans="1:10">
      <c r="A444" s="3">
        <v>737</v>
      </c>
      <c r="B444" t="s">
        <v>489</v>
      </c>
      <c r="C444" t="s">
        <v>8</v>
      </c>
      <c r="E444" s="3">
        <f t="shared" si="19"/>
        <v>4</v>
      </c>
      <c r="F444" s="5">
        <v>44273.625</v>
      </c>
      <c r="G444" s="19" t="str">
        <f t="shared" si="20"/>
        <v/>
      </c>
      <c r="J444" s="28">
        <f t="shared" si="21"/>
        <v>-4.9032258064516165E-2</v>
      </c>
    </row>
    <row r="445" spans="1:10">
      <c r="A445" s="3">
        <v>743</v>
      </c>
      <c r="B445" t="s">
        <v>490</v>
      </c>
      <c r="C445" t="s">
        <v>8</v>
      </c>
      <c r="E445" s="3">
        <f t="shared" si="19"/>
        <v>5</v>
      </c>
      <c r="F445" s="5">
        <v>44274.625</v>
      </c>
      <c r="G445" s="19" t="str">
        <f t="shared" si="20"/>
        <v/>
      </c>
      <c r="J445" s="28">
        <f t="shared" si="21"/>
        <v>-8.4975369458128114E-2</v>
      </c>
    </row>
    <row r="446" spans="1:10">
      <c r="A446" s="3">
        <v>402</v>
      </c>
      <c r="B446" t="s">
        <v>491</v>
      </c>
      <c r="C446" t="s">
        <v>8</v>
      </c>
      <c r="E446" s="3">
        <f t="shared" si="19"/>
        <v>6</v>
      </c>
      <c r="F446" s="5">
        <v>44275.625</v>
      </c>
      <c r="G446" s="19" t="str">
        <f t="shared" si="20"/>
        <v/>
      </c>
      <c r="J446" s="28">
        <f t="shared" si="21"/>
        <v>-0.18292682926829273</v>
      </c>
    </row>
    <row r="447" spans="1:10">
      <c r="A447" s="3">
        <v>417</v>
      </c>
      <c r="B447" t="s">
        <v>492</v>
      </c>
      <c r="C447" t="s">
        <v>8</v>
      </c>
      <c r="E447" s="3">
        <f t="shared" ref="E447:E510" si="22">WEEKDAY(F447,2)</f>
        <v>7</v>
      </c>
      <c r="F447" s="5">
        <v>44276.625</v>
      </c>
      <c r="G447" s="19" t="str">
        <f t="shared" si="20"/>
        <v/>
      </c>
      <c r="J447" s="28">
        <f t="shared" si="21"/>
        <v>-4.1379310344827558E-2</v>
      </c>
    </row>
    <row r="448" spans="1:10">
      <c r="A448" s="3">
        <v>764</v>
      </c>
      <c r="B448" t="s">
        <v>493</v>
      </c>
      <c r="C448" t="s">
        <v>8</v>
      </c>
      <c r="E448" s="3">
        <f t="shared" si="22"/>
        <v>1</v>
      </c>
      <c r="F448" s="5">
        <v>44277.625</v>
      </c>
      <c r="G448" s="19" t="str">
        <f t="shared" si="20"/>
        <v>2021-W12</v>
      </c>
      <c r="H448">
        <f>SUM(A448:A454)</f>
        <v>4171</v>
      </c>
      <c r="I448" s="28">
        <f>H448/H441-1</f>
        <v>-0.11179727427597952</v>
      </c>
      <c r="J448" s="28">
        <f t="shared" si="21"/>
        <v>-0.14253647586980922</v>
      </c>
    </row>
    <row r="449" spans="1:10">
      <c r="A449" s="3">
        <v>698</v>
      </c>
      <c r="B449" t="s">
        <v>494</v>
      </c>
      <c r="C449" t="s">
        <v>8</v>
      </c>
      <c r="E449" s="3">
        <f t="shared" si="22"/>
        <v>2</v>
      </c>
      <c r="F449" s="5">
        <v>44278.625</v>
      </c>
      <c r="G449" s="19" t="str">
        <f t="shared" si="20"/>
        <v/>
      </c>
      <c r="J449" s="28">
        <f t="shared" si="21"/>
        <v>-8.5190039318479682E-2</v>
      </c>
    </row>
    <row r="450" spans="1:10">
      <c r="A450" s="3">
        <v>699</v>
      </c>
      <c r="B450" t="s">
        <v>495</v>
      </c>
      <c r="C450" t="s">
        <v>8</v>
      </c>
      <c r="E450" s="3">
        <f t="shared" si="22"/>
        <v>3</v>
      </c>
      <c r="F450" s="5">
        <v>44279.625</v>
      </c>
      <c r="G450" s="19" t="str">
        <f t="shared" si="20"/>
        <v/>
      </c>
      <c r="J450" s="28">
        <f t="shared" si="21"/>
        <v>-5.9219380888290707E-2</v>
      </c>
    </row>
    <row r="451" spans="1:10">
      <c r="A451" s="3">
        <v>607</v>
      </c>
      <c r="B451" t="s">
        <v>496</v>
      </c>
      <c r="C451" t="s">
        <v>8</v>
      </c>
      <c r="E451" s="3">
        <f t="shared" si="22"/>
        <v>4</v>
      </c>
      <c r="F451" s="5">
        <v>44280.625</v>
      </c>
      <c r="G451" s="19" t="str">
        <f t="shared" ref="G451:G514" si="23">IF(WEEKDAY(F451,2)=1,YEAR(F451)&amp;"-W"&amp;TEXT(WEEKNUM(F451,14),"00"),"")</f>
        <v/>
      </c>
      <c r="J451" s="28">
        <f t="shared" si="21"/>
        <v>-0.17639077340569875</v>
      </c>
    </row>
    <row r="452" spans="1:10">
      <c r="A452" s="3">
        <v>682</v>
      </c>
      <c r="B452" t="s">
        <v>497</v>
      </c>
      <c r="C452" t="s">
        <v>8</v>
      </c>
      <c r="E452" s="3">
        <f t="shared" si="22"/>
        <v>5</v>
      </c>
      <c r="F452" s="5">
        <v>44281.625</v>
      </c>
      <c r="G452" s="19" t="str">
        <f t="shared" si="23"/>
        <v/>
      </c>
      <c r="J452" s="28">
        <f t="shared" si="21"/>
        <v>-8.2099596231493988E-2</v>
      </c>
    </row>
    <row r="453" spans="1:10">
      <c r="A453" s="3">
        <v>350</v>
      </c>
      <c r="B453" t="s">
        <v>498</v>
      </c>
      <c r="C453" t="s">
        <v>8</v>
      </c>
      <c r="E453" s="3">
        <f t="shared" si="22"/>
        <v>6</v>
      </c>
      <c r="F453" s="5">
        <v>44282.625</v>
      </c>
      <c r="G453" s="19" t="str">
        <f t="shared" si="23"/>
        <v/>
      </c>
      <c r="J453" s="28">
        <f t="shared" si="21"/>
        <v>-0.12935323383084574</v>
      </c>
    </row>
    <row r="454" spans="1:10">
      <c r="A454" s="3">
        <v>371</v>
      </c>
      <c r="B454" t="s">
        <v>499</v>
      </c>
      <c r="C454" t="s">
        <v>8</v>
      </c>
      <c r="E454" s="3">
        <f t="shared" si="22"/>
        <v>7</v>
      </c>
      <c r="F454" s="5">
        <v>44283.625</v>
      </c>
      <c r="G454" s="19" t="str">
        <f t="shared" si="23"/>
        <v/>
      </c>
      <c r="J454" s="28">
        <f t="shared" si="21"/>
        <v>-0.11031175059952036</v>
      </c>
    </row>
    <row r="455" spans="1:10">
      <c r="A455" s="3">
        <v>648</v>
      </c>
      <c r="B455" t="s">
        <v>500</v>
      </c>
      <c r="C455" t="s">
        <v>8</v>
      </c>
      <c r="E455" s="3">
        <f t="shared" si="22"/>
        <v>1</v>
      </c>
      <c r="F455" s="5">
        <v>44284.625</v>
      </c>
      <c r="G455" s="19" t="str">
        <f t="shared" si="23"/>
        <v>2021-W13</v>
      </c>
      <c r="H455">
        <f>SUM(A455:A461)</f>
        <v>2383</v>
      </c>
      <c r="I455" s="28">
        <f>H455/H448-1</f>
        <v>-0.42867417885399184</v>
      </c>
      <c r="J455" s="28">
        <f t="shared" si="21"/>
        <v>-0.15183246073298429</v>
      </c>
    </row>
    <row r="456" spans="1:10">
      <c r="A456" s="3">
        <v>567</v>
      </c>
      <c r="B456" t="s">
        <v>501</v>
      </c>
      <c r="C456" t="s">
        <v>8</v>
      </c>
      <c r="E456" s="3">
        <f t="shared" si="22"/>
        <v>2</v>
      </c>
      <c r="F456" s="5">
        <v>44285.625</v>
      </c>
      <c r="G456" s="19" t="str">
        <f t="shared" si="23"/>
        <v/>
      </c>
      <c r="J456" s="28">
        <f t="shared" si="21"/>
        <v>-0.18767908309455583</v>
      </c>
    </row>
    <row r="457" spans="1:10">
      <c r="A457" s="3">
        <v>530</v>
      </c>
      <c r="B457" t="s">
        <v>502</v>
      </c>
      <c r="C457" t="s">
        <v>8</v>
      </c>
      <c r="E457" s="3">
        <f t="shared" si="22"/>
        <v>3</v>
      </c>
      <c r="F457" s="5">
        <v>44286.625</v>
      </c>
      <c r="G457" s="19" t="str">
        <f t="shared" si="23"/>
        <v/>
      </c>
      <c r="J457" s="28">
        <f t="shared" ref="J457:J520" si="24">A457/A450-1</f>
        <v>-0.24177396280400576</v>
      </c>
    </row>
    <row r="458" spans="1:10">
      <c r="A458" s="3">
        <v>415</v>
      </c>
      <c r="B458" t="s">
        <v>503</v>
      </c>
      <c r="C458" t="s">
        <v>8</v>
      </c>
      <c r="E458" s="3">
        <f t="shared" si="22"/>
        <v>4</v>
      </c>
      <c r="F458" s="5">
        <v>44287.625</v>
      </c>
      <c r="G458" s="19" t="str">
        <f t="shared" si="23"/>
        <v/>
      </c>
      <c r="J458" s="28">
        <f t="shared" si="24"/>
        <v>-0.31630971993410217</v>
      </c>
    </row>
    <row r="459" spans="1:10">
      <c r="A459" s="3">
        <v>223</v>
      </c>
      <c r="B459" t="s">
        <v>504</v>
      </c>
      <c r="C459" t="s">
        <v>8</v>
      </c>
      <c r="E459" s="3">
        <f t="shared" si="22"/>
        <v>5</v>
      </c>
      <c r="F459" s="5">
        <v>44288.625</v>
      </c>
      <c r="G459" s="19" t="str">
        <f t="shared" si="23"/>
        <v/>
      </c>
      <c r="J459" s="28">
        <f t="shared" si="24"/>
        <v>-0.67302052785923761</v>
      </c>
    </row>
    <row r="460" spans="1:10">
      <c r="A460" s="3">
        <v>0</v>
      </c>
      <c r="B460" t="s">
        <v>505</v>
      </c>
      <c r="C460" t="s">
        <v>8</v>
      </c>
      <c r="E460" s="3">
        <f t="shared" si="22"/>
        <v>6</v>
      </c>
      <c r="F460" s="5">
        <v>44289.358842592592</v>
      </c>
      <c r="G460" s="19" t="str">
        <f t="shared" si="23"/>
        <v/>
      </c>
      <c r="J460" s="28">
        <f t="shared" si="24"/>
        <v>-1</v>
      </c>
    </row>
    <row r="461" spans="1:10">
      <c r="E461" s="3">
        <f t="shared" si="22"/>
        <v>6</v>
      </c>
      <c r="G461" s="19" t="str">
        <f t="shared" si="23"/>
        <v/>
      </c>
      <c r="J461" s="28">
        <f t="shared" si="24"/>
        <v>-1</v>
      </c>
    </row>
    <row r="462" spans="1:10">
      <c r="E462" s="3">
        <f t="shared" si="22"/>
        <v>6</v>
      </c>
      <c r="G462" s="19" t="str">
        <f t="shared" si="23"/>
        <v/>
      </c>
      <c r="H462">
        <f>SUM(A462:A468)</f>
        <v>0</v>
      </c>
      <c r="I462" s="28">
        <f>H462/H455-1</f>
        <v>-1</v>
      </c>
      <c r="J462" s="28">
        <f t="shared" si="24"/>
        <v>-1</v>
      </c>
    </row>
    <row r="463" spans="1:10">
      <c r="E463" s="3">
        <f t="shared" si="22"/>
        <v>6</v>
      </c>
      <c r="G463" s="19" t="str">
        <f t="shared" si="23"/>
        <v/>
      </c>
      <c r="J463" s="28">
        <f t="shared" si="24"/>
        <v>-1</v>
      </c>
    </row>
    <row r="464" spans="1:10">
      <c r="E464" s="3">
        <f t="shared" si="22"/>
        <v>6</v>
      </c>
      <c r="G464" s="19" t="str">
        <f t="shared" si="23"/>
        <v/>
      </c>
      <c r="J464" s="28">
        <f t="shared" si="24"/>
        <v>-1</v>
      </c>
    </row>
    <row r="465" spans="5:10">
      <c r="E465" s="3">
        <f t="shared" si="22"/>
        <v>6</v>
      </c>
      <c r="G465" s="19" t="str">
        <f t="shared" si="23"/>
        <v/>
      </c>
      <c r="J465" s="28">
        <f t="shared" si="24"/>
        <v>-1</v>
      </c>
    </row>
    <row r="466" spans="5:10">
      <c r="E466" s="3">
        <f t="shared" si="22"/>
        <v>6</v>
      </c>
      <c r="G466" s="19" t="str">
        <f t="shared" si="23"/>
        <v/>
      </c>
      <c r="J466" s="28">
        <f t="shared" si="24"/>
        <v>-1</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H63 H70 H77 H84"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topLeftCell="C1" workbookViewId="0">
      <pane ySplit="1" topLeftCell="A2" activePane="bottomLeft" state="frozen"/>
      <selection pane="bottomLeft" activeCell="N1" sqref="N1"/>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46644</v>
      </c>
      <c r="J1" s="7">
        <f>MAX(A:A)</f>
        <v>517</v>
      </c>
      <c r="K1" s="15">
        <f>VLOOKUP(J1,A:F,6,FALSE)</f>
        <v>44267.625</v>
      </c>
      <c r="L1" s="7">
        <f>COUNT(DataN)-5</f>
        <v>454</v>
      </c>
      <c r="N1" s="7" t="str">
        <f>"HUS COVID-19 tapauksia vuoden 2020 alusta lähtien "&amp;TEXT(MAX(HUS!F:F)-4,"[$-40B]p.k.vvvv")&amp;" saakka. Suurin arvo "&amp;HUS!J1&amp;", joka "&amp;TEXT(HUS!K1,"[$-40B]p.k.vvvv")&amp;". Uusimpien 4 päivien arvot tulevat viiveellä, joten ne jätetty pois kuvaajasta."</f>
        <v>HUS COVID-19 tapauksia vuoden 2020 alusta lähtien 30.3.2021 saakka. Suurin arvo 517, joka 12.3.2021.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391</v>
      </c>
      <c r="I77" s="28">
        <f>H77/H70-1</f>
        <v>0.99489795918367352</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74</v>
      </c>
      <c r="B80" t="s">
        <v>35</v>
      </c>
      <c r="C80" t="s">
        <v>457</v>
      </c>
      <c r="E80" s="3">
        <f t="shared" si="3"/>
        <v>4</v>
      </c>
      <c r="F80" s="5">
        <v>43909.625</v>
      </c>
      <c r="G80" s="19" t="str">
        <f t="shared" si="4"/>
        <v/>
      </c>
      <c r="J80" s="28">
        <f t="shared" si="5"/>
        <v>1.1142857142857143</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-9.4629156010230142E-2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-0.21621621621621623</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860</v>
      </c>
      <c r="I308" s="28">
        <f>H308/H301-1</f>
        <v>0.12565445026178002</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81</v>
      </c>
      <c r="B314" t="s">
        <v>333</v>
      </c>
      <c r="C314" t="s">
        <v>457</v>
      </c>
      <c r="E314" s="3">
        <f t="shared" si="12"/>
        <v>7</v>
      </c>
      <c r="F314" s="5">
        <v>44143.625</v>
      </c>
      <c r="G314" s="19" t="str">
        <f t="shared" si="13"/>
        <v/>
      </c>
      <c r="J314" s="28">
        <f t="shared" si="14"/>
        <v>-0.11956521739130432</v>
      </c>
    </row>
    <row r="315" spans="1:10">
      <c r="A315" s="3">
        <v>162</v>
      </c>
      <c r="B315" t="s">
        <v>334</v>
      </c>
      <c r="C315" t="s">
        <v>457</v>
      </c>
      <c r="E315" s="3">
        <f t="shared" si="12"/>
        <v>1</v>
      </c>
      <c r="F315" s="5">
        <v>44144.625</v>
      </c>
      <c r="G315" s="19" t="str">
        <f t="shared" si="13"/>
        <v>2020-W46</v>
      </c>
      <c r="H315">
        <f>SUM(A315:A321)</f>
        <v>998</v>
      </c>
      <c r="I315" s="28">
        <f>H315/H308-1</f>
        <v>0.16046511627906979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0.35802469135802473</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1224</v>
      </c>
      <c r="I350" s="28">
        <f>H350/H343-1</f>
        <v>-0.22531645569620251</v>
      </c>
      <c r="J350" s="28">
        <f t="shared" si="17"/>
        <v>-0.17957746478873238</v>
      </c>
    </row>
    <row r="351" spans="1:10">
      <c r="A351" s="3">
        <v>195</v>
      </c>
      <c r="B351" t="s">
        <v>375</v>
      </c>
      <c r="C351" t="s">
        <v>457</v>
      </c>
      <c r="E351" s="3">
        <f t="shared" si="16"/>
        <v>2</v>
      </c>
      <c r="F351" s="5">
        <v>44180.625</v>
      </c>
      <c r="G351" s="19" t="str">
        <f t="shared" si="15"/>
        <v/>
      </c>
      <c r="J351" s="28">
        <f t="shared" si="17"/>
        <v>-0.23228346456692917</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939</v>
      </c>
      <c r="I357" s="28">
        <f>H357/H350-1</f>
        <v>-0.23284313725490191</v>
      </c>
      <c r="J357" s="28">
        <f t="shared" si="17"/>
        <v>-0.13304721030042921</v>
      </c>
    </row>
    <row r="358" spans="1:10">
      <c r="A358" s="3">
        <v>197</v>
      </c>
      <c r="B358" t="s">
        <v>382</v>
      </c>
      <c r="C358" t="s">
        <v>457</v>
      </c>
      <c r="E358" s="3">
        <f t="shared" si="16"/>
        <v>2</v>
      </c>
      <c r="F358" s="5">
        <v>44187.625</v>
      </c>
      <c r="G358" s="19" t="str">
        <f t="shared" si="15"/>
        <v/>
      </c>
      <c r="J358" s="28">
        <f t="shared" si="17"/>
        <v>1.025641025641022E-2</v>
      </c>
    </row>
    <row r="359" spans="1:10">
      <c r="A359" s="3">
        <v>145</v>
      </c>
      <c r="B359" t="s">
        <v>383</v>
      </c>
      <c r="C359" t="s">
        <v>457</v>
      </c>
      <c r="E359" s="3">
        <f t="shared" si="16"/>
        <v>3</v>
      </c>
      <c r="F359" s="5">
        <v>44188.625</v>
      </c>
      <c r="G359" s="19" t="str">
        <f t="shared" si="15"/>
        <v/>
      </c>
      <c r="J359" s="28">
        <f t="shared" si="17"/>
        <v>-0.24479166666666663</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-2.9818956336528202E-2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-0.24137931034482762</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1370</v>
      </c>
      <c r="I392" s="28">
        <f>H392/H385-1</f>
        <v>7.7044025157232632E-2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229</v>
      </c>
      <c r="B395" t="s">
        <v>419</v>
      </c>
      <c r="C395" t="s">
        <v>457</v>
      </c>
      <c r="E395" s="3">
        <f t="shared" si="19"/>
        <v>4</v>
      </c>
      <c r="F395" s="5">
        <v>44224.625</v>
      </c>
      <c r="G395" s="19" t="str">
        <f t="shared" si="18"/>
        <v/>
      </c>
      <c r="J395" s="28">
        <f t="shared" si="20"/>
        <v>0.29378531073446323</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296</v>
      </c>
      <c r="B399" t="s">
        <v>424</v>
      </c>
      <c r="C399" t="s">
        <v>457</v>
      </c>
      <c r="E399" s="3">
        <f t="shared" si="19"/>
        <v>1</v>
      </c>
      <c r="F399" s="5">
        <v>44228.625</v>
      </c>
      <c r="G399" s="19" t="str">
        <f t="shared" si="18"/>
        <v>2021-W05</v>
      </c>
      <c r="H399">
        <f>SUM(A399:A405)</f>
        <v>1574</v>
      </c>
      <c r="I399" s="28">
        <f>H399/H392-1</f>
        <v>0.148905109489051</v>
      </c>
      <c r="J399" s="28">
        <f t="shared" si="20"/>
        <v>0.15625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224</v>
      </c>
      <c r="B402" t="s">
        <v>427</v>
      </c>
      <c r="C402" t="s">
        <v>457</v>
      </c>
      <c r="E402" s="3">
        <f t="shared" si="19"/>
        <v>4</v>
      </c>
      <c r="F402" s="5">
        <v>44231.625</v>
      </c>
      <c r="G402" s="19" t="str">
        <f t="shared" si="18"/>
        <v/>
      </c>
      <c r="J402" s="28">
        <f t="shared" si="20"/>
        <v>-2.183406113537123E-2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1624</v>
      </c>
      <c r="I406" s="28">
        <f>H406/H399-1</f>
        <v>3.1766200762388896E-2</v>
      </c>
      <c r="J406" s="28">
        <f t="shared" si="20"/>
        <v>-1.0135135135135087E-2</v>
      </c>
    </row>
    <row r="407" spans="1:10">
      <c r="A407" s="3">
        <v>239</v>
      </c>
      <c r="B407" t="s">
        <v>439</v>
      </c>
      <c r="C407" t="s">
        <v>457</v>
      </c>
      <c r="E407" s="3">
        <f t="shared" si="19"/>
        <v>2</v>
      </c>
      <c r="F407" s="5">
        <v>44236.625</v>
      </c>
      <c r="G407" s="19" t="str">
        <f t="shared" si="18"/>
        <v/>
      </c>
      <c r="J407" s="28">
        <f t="shared" si="20"/>
        <v>-4.4000000000000039E-2</v>
      </c>
    </row>
    <row r="408" spans="1:10">
      <c r="A408" s="3">
        <v>228</v>
      </c>
      <c r="B408" t="s">
        <v>440</v>
      </c>
      <c r="C408" t="s">
        <v>457</v>
      </c>
      <c r="E408" s="3">
        <f t="shared" si="19"/>
        <v>3</v>
      </c>
      <c r="F408" s="5">
        <v>44237.625</v>
      </c>
      <c r="G408" s="19" t="str">
        <f t="shared" si="18"/>
        <v/>
      </c>
      <c r="J408" s="28">
        <f t="shared" si="20"/>
        <v>-0.13307984790874527</v>
      </c>
    </row>
    <row r="409" spans="1:10">
      <c r="A409" s="3">
        <v>234</v>
      </c>
      <c r="B409" t="s">
        <v>441</v>
      </c>
      <c r="C409" t="s">
        <v>457</v>
      </c>
      <c r="E409" s="3">
        <f t="shared" si="19"/>
        <v>4</v>
      </c>
      <c r="F409" s="5">
        <v>44238.625</v>
      </c>
      <c r="G409" s="19" t="str">
        <f t="shared" si="18"/>
        <v/>
      </c>
      <c r="J409" s="28">
        <f t="shared" si="20"/>
        <v>4.4642857142857206E-2</v>
      </c>
    </row>
    <row r="410" spans="1:10">
      <c r="A410" s="3">
        <v>259</v>
      </c>
      <c r="B410" t="s">
        <v>442</v>
      </c>
      <c r="C410" t="s">
        <v>457</v>
      </c>
      <c r="E410" s="3">
        <f t="shared" si="19"/>
        <v>5</v>
      </c>
      <c r="F410" s="5">
        <v>44239.625</v>
      </c>
      <c r="G410" s="19" t="str">
        <f t="shared" si="18"/>
        <v/>
      </c>
      <c r="J410" s="28">
        <f t="shared" si="20"/>
        <v>0.19907407407407418</v>
      </c>
    </row>
    <row r="411" spans="1:10">
      <c r="A411" s="3">
        <v>189</v>
      </c>
      <c r="B411" t="s">
        <v>443</v>
      </c>
      <c r="C411" t="s">
        <v>457</v>
      </c>
      <c r="E411" s="3">
        <f t="shared" si="19"/>
        <v>6</v>
      </c>
      <c r="F411" s="5">
        <v>44240.625</v>
      </c>
      <c r="G411" s="19" t="str">
        <f t="shared" si="18"/>
        <v/>
      </c>
      <c r="J411" s="28">
        <f t="shared" si="20"/>
        <v>0.23529411764705888</v>
      </c>
    </row>
    <row r="412" spans="1:10">
      <c r="A412" s="3">
        <v>182</v>
      </c>
      <c r="B412" t="s">
        <v>444</v>
      </c>
      <c r="C412" t="s">
        <v>457</v>
      </c>
      <c r="E412" s="3">
        <f t="shared" si="19"/>
        <v>7</v>
      </c>
      <c r="F412" s="5">
        <v>44241.625</v>
      </c>
      <c r="G412" s="19" t="str">
        <f t="shared" si="18"/>
        <v/>
      </c>
      <c r="J412" s="28">
        <f t="shared" si="20"/>
        <v>5.8139534883721034E-2</v>
      </c>
    </row>
    <row r="413" spans="1:10" s="10" customFormat="1">
      <c r="A413" s="14">
        <v>360</v>
      </c>
      <c r="B413" s="10" t="s">
        <v>445</v>
      </c>
      <c r="C413" s="10" t="s">
        <v>457</v>
      </c>
      <c r="E413" s="14">
        <f t="shared" si="19"/>
        <v>1</v>
      </c>
      <c r="F413" s="18">
        <v>44242.625</v>
      </c>
      <c r="G413" s="19" t="str">
        <f t="shared" si="18"/>
        <v>2021-W07</v>
      </c>
      <c r="H413" s="10">
        <f>SUM(A413:A419)</f>
        <v>2053</v>
      </c>
      <c r="I413" s="34">
        <f>H413/H406-1</f>
        <v>0.26416256157635476</v>
      </c>
      <c r="J413" s="28">
        <f t="shared" si="20"/>
        <v>0.22866894197952226</v>
      </c>
    </row>
    <row r="414" spans="1:10">
      <c r="A414" s="3">
        <v>330</v>
      </c>
      <c r="B414" t="s">
        <v>446</v>
      </c>
      <c r="C414" t="s">
        <v>457</v>
      </c>
      <c r="E414" s="3">
        <f t="shared" si="19"/>
        <v>2</v>
      </c>
      <c r="F414" s="5">
        <v>44243.625</v>
      </c>
      <c r="G414" s="19" t="str">
        <f t="shared" si="18"/>
        <v/>
      </c>
      <c r="J414" s="28">
        <f t="shared" si="20"/>
        <v>0.38075313807531375</v>
      </c>
    </row>
    <row r="415" spans="1:10">
      <c r="A415" s="3">
        <v>329</v>
      </c>
      <c r="B415" t="s">
        <v>447</v>
      </c>
      <c r="C415" t="s">
        <v>457</v>
      </c>
      <c r="E415" s="3">
        <f t="shared" si="19"/>
        <v>3</v>
      </c>
      <c r="F415" s="5">
        <v>44244.625</v>
      </c>
      <c r="G415" s="19" t="str">
        <f t="shared" si="18"/>
        <v/>
      </c>
      <c r="J415" s="28">
        <f t="shared" si="20"/>
        <v>0.44298245614035081</v>
      </c>
    </row>
    <row r="416" spans="1:10">
      <c r="A416" s="3">
        <v>325</v>
      </c>
      <c r="B416" t="s">
        <v>448</v>
      </c>
      <c r="C416" t="s">
        <v>457</v>
      </c>
      <c r="E416" s="3">
        <f t="shared" si="19"/>
        <v>4</v>
      </c>
      <c r="F416" s="5">
        <v>44245.625</v>
      </c>
      <c r="G416" s="19" t="str">
        <f t="shared" si="18"/>
        <v/>
      </c>
      <c r="J416" s="28">
        <f t="shared" si="20"/>
        <v>0.38888888888888884</v>
      </c>
    </row>
    <row r="417" spans="1:10">
      <c r="A417" s="3">
        <v>304</v>
      </c>
      <c r="B417" t="s">
        <v>449</v>
      </c>
      <c r="C417" t="s">
        <v>457</v>
      </c>
      <c r="E417" s="3">
        <f t="shared" si="19"/>
        <v>5</v>
      </c>
      <c r="F417" s="5">
        <v>44246.625</v>
      </c>
      <c r="G417" s="19" t="str">
        <f t="shared" si="18"/>
        <v/>
      </c>
      <c r="J417" s="28">
        <f t="shared" si="20"/>
        <v>0.17374517374517384</v>
      </c>
    </row>
    <row r="418" spans="1:10">
      <c r="A418" s="3">
        <v>185</v>
      </c>
      <c r="B418" t="s">
        <v>451</v>
      </c>
      <c r="C418" t="s">
        <v>457</v>
      </c>
      <c r="E418" s="3">
        <f t="shared" si="19"/>
        <v>6</v>
      </c>
      <c r="F418" s="5">
        <v>44247.625</v>
      </c>
      <c r="G418" s="19" t="str">
        <f t="shared" si="18"/>
        <v/>
      </c>
      <c r="J418" s="28">
        <f t="shared" si="20"/>
        <v>-2.1164021164021163E-2</v>
      </c>
    </row>
    <row r="419" spans="1:10">
      <c r="A419" s="3">
        <v>220</v>
      </c>
      <c r="B419" t="s">
        <v>452</v>
      </c>
      <c r="C419" t="s">
        <v>457</v>
      </c>
      <c r="E419" s="3">
        <f t="shared" si="19"/>
        <v>7</v>
      </c>
      <c r="F419" s="5">
        <v>44248.625</v>
      </c>
      <c r="G419" s="19" t="str">
        <f t="shared" si="18"/>
        <v/>
      </c>
      <c r="J419" s="28">
        <f t="shared" si="20"/>
        <v>0.20879120879120872</v>
      </c>
    </row>
    <row r="420" spans="1:10">
      <c r="A420" s="3">
        <v>386</v>
      </c>
      <c r="B420" t="s">
        <v>453</v>
      </c>
      <c r="C420" t="s">
        <v>457</v>
      </c>
      <c r="E420" s="3">
        <f t="shared" si="19"/>
        <v>1</v>
      </c>
      <c r="F420" s="5">
        <v>44249.625</v>
      </c>
      <c r="G420" s="19" t="str">
        <f t="shared" si="18"/>
        <v>2021-W08</v>
      </c>
      <c r="H420">
        <f>SUM(A420:A426)</f>
        <v>2500</v>
      </c>
      <c r="I420" s="28">
        <f>H420/H413-1</f>
        <v>0.21773015099853876</v>
      </c>
      <c r="J420" s="28">
        <f t="shared" si="20"/>
        <v>7.2222222222222188E-2</v>
      </c>
    </row>
    <row r="421" spans="1:10">
      <c r="A421" s="3">
        <v>383</v>
      </c>
      <c r="B421" t="s">
        <v>456</v>
      </c>
      <c r="C421" t="s">
        <v>457</v>
      </c>
      <c r="E421" s="3">
        <f t="shared" si="19"/>
        <v>2</v>
      </c>
      <c r="F421" s="5">
        <v>44250.625</v>
      </c>
      <c r="G421" s="19" t="str">
        <f t="shared" si="18"/>
        <v/>
      </c>
      <c r="J421" s="28">
        <f t="shared" si="20"/>
        <v>0.16060606060606064</v>
      </c>
    </row>
    <row r="422" spans="1:10">
      <c r="A422" s="3">
        <v>417</v>
      </c>
      <c r="B422" t="s">
        <v>462</v>
      </c>
      <c r="C422" t="s">
        <v>457</v>
      </c>
      <c r="E422" s="3">
        <f t="shared" si="19"/>
        <v>3</v>
      </c>
      <c r="F422" s="5">
        <v>44251.625</v>
      </c>
      <c r="G422" s="19" t="str">
        <f t="shared" si="18"/>
        <v/>
      </c>
      <c r="J422" s="28">
        <f t="shared" si="20"/>
        <v>0.26747720364741645</v>
      </c>
    </row>
    <row r="423" spans="1:10">
      <c r="A423" s="3">
        <v>353</v>
      </c>
      <c r="B423" t="s">
        <v>464</v>
      </c>
      <c r="C423" t="s">
        <v>457</v>
      </c>
      <c r="E423" s="3">
        <f t="shared" si="19"/>
        <v>4</v>
      </c>
      <c r="F423" s="5">
        <v>44252.625</v>
      </c>
      <c r="G423" s="19" t="str">
        <f t="shared" si="18"/>
        <v/>
      </c>
      <c r="J423" s="28">
        <f t="shared" si="20"/>
        <v>8.6153846153846247E-2</v>
      </c>
    </row>
    <row r="424" spans="1:10">
      <c r="A424" s="3">
        <v>430</v>
      </c>
      <c r="B424" t="s">
        <v>465</v>
      </c>
      <c r="C424" t="s">
        <v>457</v>
      </c>
      <c r="E424" s="3">
        <f t="shared" si="19"/>
        <v>5</v>
      </c>
      <c r="F424" s="5">
        <v>44253.625</v>
      </c>
      <c r="G424" s="19" t="str">
        <f t="shared" si="18"/>
        <v/>
      </c>
      <c r="J424" s="28">
        <f t="shared" si="20"/>
        <v>0.41447368421052633</v>
      </c>
    </row>
    <row r="425" spans="1:10">
      <c r="A425" s="3">
        <v>266</v>
      </c>
      <c r="B425" t="s">
        <v>470</v>
      </c>
      <c r="C425" t="s">
        <v>457</v>
      </c>
      <c r="E425" s="3">
        <f t="shared" si="19"/>
        <v>6</v>
      </c>
      <c r="F425" s="5">
        <v>44254.625</v>
      </c>
      <c r="G425" s="19" t="str">
        <f t="shared" si="18"/>
        <v/>
      </c>
      <c r="J425" s="28">
        <f t="shared" si="20"/>
        <v>0.43783783783783781</v>
      </c>
    </row>
    <row r="426" spans="1:10">
      <c r="A426" s="3">
        <v>265</v>
      </c>
      <c r="B426" t="s">
        <v>471</v>
      </c>
      <c r="C426" t="s">
        <v>457</v>
      </c>
      <c r="E426" s="3">
        <f t="shared" si="19"/>
        <v>7</v>
      </c>
      <c r="F426" s="5">
        <v>44255.625</v>
      </c>
      <c r="G426" s="19" t="str">
        <f t="shared" si="18"/>
        <v/>
      </c>
      <c r="J426" s="28">
        <f t="shared" si="20"/>
        <v>0.20454545454545459</v>
      </c>
    </row>
    <row r="427" spans="1:10">
      <c r="A427" s="3">
        <v>481</v>
      </c>
      <c r="B427" t="s">
        <v>472</v>
      </c>
      <c r="C427" t="s">
        <v>457</v>
      </c>
      <c r="E427" s="3">
        <f t="shared" si="19"/>
        <v>1</v>
      </c>
      <c r="F427" s="5">
        <v>44256.625</v>
      </c>
      <c r="G427" s="19" t="str">
        <f t="shared" si="18"/>
        <v>2021-W09</v>
      </c>
      <c r="H427">
        <f>SUM(A427:A433)</f>
        <v>2782</v>
      </c>
      <c r="I427" s="28">
        <f>H427/H420-1</f>
        <v>0.11280000000000001</v>
      </c>
      <c r="J427" s="28">
        <f t="shared" si="20"/>
        <v>0.24611398963730569</v>
      </c>
    </row>
    <row r="428" spans="1:10">
      <c r="A428" s="3">
        <v>490</v>
      </c>
      <c r="B428" t="s">
        <v>473</v>
      </c>
      <c r="C428" t="s">
        <v>457</v>
      </c>
      <c r="E428" s="3">
        <f t="shared" si="19"/>
        <v>2</v>
      </c>
      <c r="F428" s="5">
        <v>44257.625</v>
      </c>
      <c r="G428" s="19" t="str">
        <f t="shared" si="18"/>
        <v/>
      </c>
      <c r="J428" s="28">
        <f t="shared" si="20"/>
        <v>0.27937336814621405</v>
      </c>
    </row>
    <row r="429" spans="1:10">
      <c r="A429" s="3">
        <v>474</v>
      </c>
      <c r="B429" t="s">
        <v>474</v>
      </c>
      <c r="C429" t="s">
        <v>457</v>
      </c>
      <c r="E429" s="3">
        <f t="shared" si="19"/>
        <v>3</v>
      </c>
      <c r="F429" s="5">
        <v>44258.625</v>
      </c>
      <c r="G429" s="19" t="str">
        <f t="shared" si="18"/>
        <v/>
      </c>
      <c r="J429" s="28">
        <f t="shared" si="20"/>
        <v>0.13669064748201443</v>
      </c>
    </row>
    <row r="430" spans="1:10">
      <c r="A430" s="3">
        <v>389</v>
      </c>
      <c r="B430" t="s">
        <v>475</v>
      </c>
      <c r="C430" t="s">
        <v>457</v>
      </c>
      <c r="E430" s="3">
        <f t="shared" si="19"/>
        <v>4</v>
      </c>
      <c r="F430" s="5">
        <v>44259.625</v>
      </c>
      <c r="G430" s="19" t="str">
        <f t="shared" si="18"/>
        <v/>
      </c>
      <c r="J430" s="28">
        <f t="shared" si="20"/>
        <v>0.10198300283286121</v>
      </c>
    </row>
    <row r="431" spans="1:10">
      <c r="A431" s="3">
        <v>419</v>
      </c>
      <c r="B431" t="s">
        <v>476</v>
      </c>
      <c r="C431" t="s">
        <v>457</v>
      </c>
      <c r="E431" s="3">
        <f t="shared" si="19"/>
        <v>5</v>
      </c>
      <c r="F431" s="5">
        <v>44260.625</v>
      </c>
      <c r="G431" s="19" t="str">
        <f t="shared" si="18"/>
        <v/>
      </c>
      <c r="J431" s="28">
        <f t="shared" si="20"/>
        <v>-2.5581395348837188E-2</v>
      </c>
    </row>
    <row r="432" spans="1:10">
      <c r="A432" s="3">
        <v>274</v>
      </c>
      <c r="B432" t="s">
        <v>477</v>
      </c>
      <c r="C432" t="s">
        <v>457</v>
      </c>
      <c r="E432" s="3">
        <f t="shared" si="19"/>
        <v>6</v>
      </c>
      <c r="F432" s="5">
        <v>44261.625</v>
      </c>
      <c r="G432" s="19" t="str">
        <f t="shared" si="18"/>
        <v/>
      </c>
      <c r="J432" s="28">
        <f t="shared" si="20"/>
        <v>3.007518796992481E-2</v>
      </c>
    </row>
    <row r="433" spans="1:10">
      <c r="A433" s="3">
        <v>255</v>
      </c>
      <c r="B433" t="s">
        <v>478</v>
      </c>
      <c r="C433" t="s">
        <v>457</v>
      </c>
      <c r="E433" s="3">
        <f t="shared" si="19"/>
        <v>7</v>
      </c>
      <c r="F433" s="5">
        <v>44262.625</v>
      </c>
      <c r="G433" s="19" t="str">
        <f t="shared" si="18"/>
        <v/>
      </c>
      <c r="J433" s="28">
        <f t="shared" si="20"/>
        <v>-3.7735849056603765E-2</v>
      </c>
    </row>
    <row r="434" spans="1:10">
      <c r="A434" s="3">
        <v>503</v>
      </c>
      <c r="B434" t="s">
        <v>479</v>
      </c>
      <c r="C434" t="s">
        <v>457</v>
      </c>
      <c r="E434" s="3">
        <f t="shared" si="19"/>
        <v>1</v>
      </c>
      <c r="F434" s="5">
        <v>44263.625</v>
      </c>
      <c r="G434" s="19" t="str">
        <f t="shared" si="18"/>
        <v>2021-W10</v>
      </c>
      <c r="H434">
        <f>SUM(A434:A440)</f>
        <v>3093</v>
      </c>
      <c r="I434" s="28">
        <f>H434/H427-1</f>
        <v>0.11179007907979877</v>
      </c>
      <c r="J434" s="28">
        <f t="shared" si="20"/>
        <v>4.573804573804563E-2</v>
      </c>
    </row>
    <row r="435" spans="1:10">
      <c r="A435" s="3">
        <v>507</v>
      </c>
      <c r="B435" t="s">
        <v>480</v>
      </c>
      <c r="C435" t="s">
        <v>457</v>
      </c>
      <c r="E435" s="3">
        <f t="shared" si="19"/>
        <v>2</v>
      </c>
      <c r="F435" s="5">
        <v>44264.625</v>
      </c>
      <c r="G435" s="19" t="str">
        <f t="shared" si="18"/>
        <v/>
      </c>
      <c r="J435" s="28">
        <f t="shared" si="20"/>
        <v>3.469387755102038E-2</v>
      </c>
    </row>
    <row r="436" spans="1:10">
      <c r="A436" s="3">
        <v>501</v>
      </c>
      <c r="B436" t="s">
        <v>481</v>
      </c>
      <c r="C436" t="s">
        <v>457</v>
      </c>
      <c r="E436" s="3">
        <f t="shared" si="19"/>
        <v>3</v>
      </c>
      <c r="F436" s="5">
        <v>44265.625</v>
      </c>
      <c r="G436" s="19" t="str">
        <f t="shared" si="18"/>
        <v/>
      </c>
      <c r="J436" s="28">
        <f t="shared" si="20"/>
        <v>5.6962025316455778E-2</v>
      </c>
    </row>
    <row r="437" spans="1:10">
      <c r="A437" s="3">
        <v>476</v>
      </c>
      <c r="B437" t="s">
        <v>482</v>
      </c>
      <c r="C437" t="s">
        <v>457</v>
      </c>
      <c r="E437" s="3">
        <f t="shared" si="19"/>
        <v>4</v>
      </c>
      <c r="F437" s="5">
        <v>44266.625</v>
      </c>
      <c r="G437" s="19" t="str">
        <f t="shared" si="18"/>
        <v/>
      </c>
      <c r="J437" s="28">
        <f t="shared" si="20"/>
        <v>0.22365038560411321</v>
      </c>
    </row>
    <row r="438" spans="1:10">
      <c r="A438" s="3">
        <v>517</v>
      </c>
      <c r="B438" t="s">
        <v>483</v>
      </c>
      <c r="C438" t="s">
        <v>457</v>
      </c>
      <c r="E438" s="3">
        <f t="shared" si="19"/>
        <v>5</v>
      </c>
      <c r="F438" s="5">
        <v>44267.625</v>
      </c>
      <c r="G438" s="19" t="str">
        <f t="shared" si="18"/>
        <v/>
      </c>
      <c r="J438" s="28">
        <f t="shared" si="20"/>
        <v>0.23389021479713601</v>
      </c>
    </row>
    <row r="439" spans="1:10">
      <c r="A439" s="3">
        <v>327</v>
      </c>
      <c r="B439" t="s">
        <v>484</v>
      </c>
      <c r="C439" t="s">
        <v>457</v>
      </c>
      <c r="E439" s="3">
        <f t="shared" si="19"/>
        <v>6</v>
      </c>
      <c r="F439" s="5">
        <v>44268.625</v>
      </c>
      <c r="G439" s="19" t="str">
        <f t="shared" si="18"/>
        <v/>
      </c>
      <c r="J439" s="28">
        <f t="shared" si="20"/>
        <v>0.1934306569343065</v>
      </c>
    </row>
    <row r="440" spans="1:10">
      <c r="A440" s="3">
        <v>262</v>
      </c>
      <c r="B440" t="s">
        <v>485</v>
      </c>
      <c r="C440" t="s">
        <v>457</v>
      </c>
      <c r="E440" s="3">
        <f t="shared" si="19"/>
        <v>7</v>
      </c>
      <c r="F440" s="5">
        <v>44269.625</v>
      </c>
      <c r="G440" s="19" t="str">
        <f t="shared" si="18"/>
        <v/>
      </c>
      <c r="J440" s="28">
        <f t="shared" si="20"/>
        <v>2.7450980392156765E-2</v>
      </c>
    </row>
    <row r="441" spans="1:10">
      <c r="A441" s="3">
        <v>508</v>
      </c>
      <c r="B441" t="s">
        <v>486</v>
      </c>
      <c r="C441" t="s">
        <v>457</v>
      </c>
      <c r="E441" s="3">
        <f t="shared" si="19"/>
        <v>1</v>
      </c>
      <c r="F441" s="5">
        <v>44270.625</v>
      </c>
      <c r="G441" s="19" t="str">
        <f t="shared" si="18"/>
        <v>2021-W11</v>
      </c>
      <c r="H441">
        <f>SUM(A441:A447)</f>
        <v>2848</v>
      </c>
      <c r="I441" s="28">
        <f>H441/H434-1</f>
        <v>-7.9211121888134506E-2</v>
      </c>
      <c r="J441" s="28">
        <f t="shared" si="20"/>
        <v>9.9403578528827197E-3</v>
      </c>
    </row>
    <row r="442" spans="1:10">
      <c r="A442" s="3">
        <v>452</v>
      </c>
      <c r="B442" t="s">
        <v>487</v>
      </c>
      <c r="C442" t="s">
        <v>457</v>
      </c>
      <c r="E442" s="3">
        <f t="shared" si="19"/>
        <v>2</v>
      </c>
      <c r="F442" s="5">
        <v>44271.625</v>
      </c>
      <c r="G442" s="19" t="str">
        <f t="shared" si="18"/>
        <v/>
      </c>
      <c r="J442" s="28">
        <f t="shared" si="20"/>
        <v>-0.10848126232741617</v>
      </c>
    </row>
    <row r="443" spans="1:10">
      <c r="A443" s="3">
        <v>417</v>
      </c>
      <c r="B443" t="s">
        <v>488</v>
      </c>
      <c r="C443" t="s">
        <v>457</v>
      </c>
      <c r="E443" s="3">
        <f t="shared" si="19"/>
        <v>3</v>
      </c>
      <c r="F443" s="5">
        <v>44272.625</v>
      </c>
      <c r="G443" s="19" t="str">
        <f t="shared" si="18"/>
        <v/>
      </c>
      <c r="J443" s="28">
        <f t="shared" si="20"/>
        <v>-0.16766467065868262</v>
      </c>
    </row>
    <row r="444" spans="1:10">
      <c r="A444" s="3">
        <v>456</v>
      </c>
      <c r="B444" t="s">
        <v>489</v>
      </c>
      <c r="C444" t="s">
        <v>457</v>
      </c>
      <c r="E444" s="3">
        <f t="shared" si="19"/>
        <v>4</v>
      </c>
      <c r="F444" s="5">
        <v>44273.625</v>
      </c>
      <c r="G444" s="19" t="str">
        <f t="shared" si="18"/>
        <v/>
      </c>
      <c r="J444" s="28">
        <f t="shared" si="20"/>
        <v>-4.2016806722689037E-2</v>
      </c>
    </row>
    <row r="445" spans="1:10">
      <c r="A445" s="3">
        <v>443</v>
      </c>
      <c r="B445" t="s">
        <v>490</v>
      </c>
      <c r="C445" t="s">
        <v>457</v>
      </c>
      <c r="E445" s="3">
        <f t="shared" si="19"/>
        <v>5</v>
      </c>
      <c r="F445" s="5">
        <v>44274.625</v>
      </c>
      <c r="G445" s="19" t="str">
        <f t="shared" si="18"/>
        <v/>
      </c>
      <c r="J445" s="28">
        <f t="shared" si="20"/>
        <v>-0.14313346228239843</v>
      </c>
    </row>
    <row r="446" spans="1:10">
      <c r="A446" s="3">
        <v>286</v>
      </c>
      <c r="B446" t="s">
        <v>491</v>
      </c>
      <c r="C446" t="s">
        <v>457</v>
      </c>
      <c r="E446" s="3">
        <f t="shared" si="19"/>
        <v>6</v>
      </c>
      <c r="F446" s="5">
        <v>44275.625</v>
      </c>
      <c r="G446" s="19" t="str">
        <f t="shared" si="18"/>
        <v/>
      </c>
      <c r="J446" s="28">
        <f t="shared" si="20"/>
        <v>-0.12538226299694188</v>
      </c>
    </row>
    <row r="447" spans="1:10">
      <c r="A447" s="3">
        <v>286</v>
      </c>
      <c r="B447" t="s">
        <v>492</v>
      </c>
      <c r="C447" t="s">
        <v>457</v>
      </c>
      <c r="E447" s="3">
        <f t="shared" si="19"/>
        <v>7</v>
      </c>
      <c r="F447" s="5">
        <v>44276.625</v>
      </c>
      <c r="G447" s="19" t="str">
        <f t="shared" si="18"/>
        <v/>
      </c>
      <c r="J447" s="28">
        <f t="shared" si="20"/>
        <v>9.1603053435114434E-2</v>
      </c>
    </row>
    <row r="448" spans="1:10">
      <c r="A448" s="3">
        <v>448</v>
      </c>
      <c r="B448" t="s">
        <v>493</v>
      </c>
      <c r="C448" t="s">
        <v>457</v>
      </c>
      <c r="E448" s="3">
        <f t="shared" si="19"/>
        <v>1</v>
      </c>
      <c r="F448" s="5">
        <v>44277.625</v>
      </c>
      <c r="G448" s="19" t="str">
        <f t="shared" si="18"/>
        <v>2021-W12</v>
      </c>
      <c r="H448">
        <f>SUM(A448:A454)</f>
        <v>2495</v>
      </c>
      <c r="I448" s="28">
        <f>H448/H441-1</f>
        <v>-0.12394662921348309</v>
      </c>
      <c r="J448" s="28">
        <f t="shared" si="20"/>
        <v>-0.11811023622047245</v>
      </c>
    </row>
    <row r="449" spans="1:10">
      <c r="A449" s="3">
        <v>451</v>
      </c>
      <c r="B449" t="s">
        <v>494</v>
      </c>
      <c r="C449" t="s">
        <v>457</v>
      </c>
      <c r="E449" s="3">
        <f t="shared" si="19"/>
        <v>2</v>
      </c>
      <c r="F449" s="5">
        <v>44278.625</v>
      </c>
      <c r="G449" s="19" t="str">
        <f t="shared" si="18"/>
        <v/>
      </c>
      <c r="J449" s="28">
        <f t="shared" si="20"/>
        <v>-2.2123893805309214E-3</v>
      </c>
    </row>
    <row r="450" spans="1:10">
      <c r="A450" s="3">
        <v>392</v>
      </c>
      <c r="B450" t="s">
        <v>495</v>
      </c>
      <c r="C450" t="s">
        <v>457</v>
      </c>
      <c r="E450" s="3">
        <f t="shared" si="19"/>
        <v>3</v>
      </c>
      <c r="F450" s="5">
        <v>44279.625</v>
      </c>
      <c r="G450" s="19" t="str">
        <f t="shared" si="18"/>
        <v/>
      </c>
      <c r="J450" s="28">
        <f t="shared" si="20"/>
        <v>-5.9952038369304517E-2</v>
      </c>
    </row>
    <row r="451" spans="1:10">
      <c r="A451" s="3">
        <v>355</v>
      </c>
      <c r="B451" t="s">
        <v>496</v>
      </c>
      <c r="C451" t="s">
        <v>457</v>
      </c>
      <c r="E451" s="3">
        <f t="shared" si="19"/>
        <v>4</v>
      </c>
      <c r="F451" s="5">
        <v>44280.625</v>
      </c>
      <c r="G451" s="19" t="str">
        <f t="shared" ref="G451:G514" si="21">IF(WEEKDAY(F451,2)=1,YEAR(F451)&amp;"-W"&amp;TEXT(WEEKNUM(F451,14),"00"),"")</f>
        <v/>
      </c>
      <c r="J451" s="28">
        <f t="shared" si="20"/>
        <v>-0.22149122807017541</v>
      </c>
    </row>
    <row r="452" spans="1:10">
      <c r="A452" s="3">
        <v>404</v>
      </c>
      <c r="B452" t="s">
        <v>497</v>
      </c>
      <c r="C452" t="s">
        <v>457</v>
      </c>
      <c r="E452" s="3">
        <f t="shared" si="19"/>
        <v>5</v>
      </c>
      <c r="F452" s="5">
        <v>44281.625</v>
      </c>
      <c r="G452" s="19" t="str">
        <f t="shared" si="21"/>
        <v/>
      </c>
      <c r="J452" s="28">
        <f t="shared" si="20"/>
        <v>-8.8036117381489865E-2</v>
      </c>
    </row>
    <row r="453" spans="1:10">
      <c r="A453" s="3">
        <v>199</v>
      </c>
      <c r="B453" t="s">
        <v>498</v>
      </c>
      <c r="C453" t="s">
        <v>457</v>
      </c>
      <c r="E453" s="3">
        <f t="shared" ref="E453:E516" si="22">WEEKDAY(F453,2)</f>
        <v>6</v>
      </c>
      <c r="F453" s="5">
        <v>44282.625</v>
      </c>
      <c r="G453" s="19" t="str">
        <f t="shared" si="21"/>
        <v/>
      </c>
      <c r="J453" s="28">
        <f t="shared" si="20"/>
        <v>-0.30419580419580416</v>
      </c>
    </row>
    <row r="454" spans="1:10">
      <c r="A454" s="3">
        <v>246</v>
      </c>
      <c r="B454" t="s">
        <v>499</v>
      </c>
      <c r="C454" t="s">
        <v>457</v>
      </c>
      <c r="E454" s="3">
        <f t="shared" si="22"/>
        <v>7</v>
      </c>
      <c r="F454" s="5">
        <v>44283.625</v>
      </c>
      <c r="G454" s="19" t="str">
        <f t="shared" si="21"/>
        <v/>
      </c>
      <c r="J454" s="28">
        <f t="shared" si="20"/>
        <v>-0.1398601398601399</v>
      </c>
    </row>
    <row r="455" spans="1:10">
      <c r="A455" s="3">
        <v>375</v>
      </c>
      <c r="B455" t="s">
        <v>500</v>
      </c>
      <c r="C455" t="s">
        <v>457</v>
      </c>
      <c r="E455" s="3">
        <f t="shared" si="22"/>
        <v>1</v>
      </c>
      <c r="F455" s="5">
        <v>44284.625</v>
      </c>
      <c r="G455" s="19" t="str">
        <f t="shared" si="21"/>
        <v>2021-W13</v>
      </c>
      <c r="H455">
        <f>SUM(A455:A461)</f>
        <v>1470</v>
      </c>
      <c r="I455" s="28">
        <f>H455/H448-1</f>
        <v>-0.41082164328657311</v>
      </c>
      <c r="J455" s="28">
        <f t="shared" si="20"/>
        <v>-0.1629464285714286</v>
      </c>
    </row>
    <row r="456" spans="1:10">
      <c r="A456" s="3">
        <v>323</v>
      </c>
      <c r="B456" t="s">
        <v>501</v>
      </c>
      <c r="C456" t="s">
        <v>457</v>
      </c>
      <c r="E456" s="3">
        <f t="shared" si="22"/>
        <v>2</v>
      </c>
      <c r="F456" s="5">
        <v>44285.625</v>
      </c>
      <c r="G456" s="19" t="str">
        <f t="shared" si="21"/>
        <v/>
      </c>
      <c r="J456" s="28">
        <f t="shared" si="20"/>
        <v>-0.28381374722838137</v>
      </c>
    </row>
    <row r="457" spans="1:10">
      <c r="A457" s="3">
        <v>321</v>
      </c>
      <c r="B457" t="s">
        <v>502</v>
      </c>
      <c r="C457" t="s">
        <v>457</v>
      </c>
      <c r="E457" s="3">
        <f t="shared" si="22"/>
        <v>3</v>
      </c>
      <c r="F457" s="5">
        <v>44286.625</v>
      </c>
      <c r="G457" s="19" t="str">
        <f t="shared" si="21"/>
        <v/>
      </c>
      <c r="J457" s="28">
        <f t="shared" ref="J457:J520" si="23">A457/A450-1</f>
        <v>-0.18112244897959184</v>
      </c>
    </row>
    <row r="458" spans="1:10">
      <c r="A458" s="3">
        <v>247</v>
      </c>
      <c r="B458" t="s">
        <v>503</v>
      </c>
      <c r="C458" t="s">
        <v>457</v>
      </c>
      <c r="E458" s="3">
        <f t="shared" si="22"/>
        <v>4</v>
      </c>
      <c r="F458" s="5">
        <v>44287.625</v>
      </c>
      <c r="G458" s="19" t="str">
        <f t="shared" si="21"/>
        <v/>
      </c>
      <c r="J458" s="28">
        <f t="shared" si="23"/>
        <v>-0.3042253521126761</v>
      </c>
    </row>
    <row r="459" spans="1:10">
      <c r="A459" s="3">
        <v>204</v>
      </c>
      <c r="B459" t="s">
        <v>504</v>
      </c>
      <c r="C459" t="s">
        <v>457</v>
      </c>
      <c r="E459" s="3">
        <f t="shared" si="22"/>
        <v>5</v>
      </c>
      <c r="F459" s="5">
        <v>44288.625</v>
      </c>
      <c r="G459" s="19" t="str">
        <f t="shared" si="21"/>
        <v/>
      </c>
      <c r="J459" s="28">
        <f t="shared" si="23"/>
        <v>-0.49504950495049505</v>
      </c>
    </row>
    <row r="460" spans="1:10">
      <c r="A460" s="3">
        <v>0</v>
      </c>
      <c r="B460" t="s">
        <v>505</v>
      </c>
      <c r="C460" t="s">
        <v>457</v>
      </c>
      <c r="E460" s="3">
        <f t="shared" si="22"/>
        <v>6</v>
      </c>
      <c r="F460" s="5">
        <v>44289.358842592592</v>
      </c>
      <c r="G460" s="19" t="str">
        <f t="shared" si="21"/>
        <v/>
      </c>
      <c r="J460" s="28">
        <f t="shared" si="23"/>
        <v>-1</v>
      </c>
    </row>
    <row r="461" spans="1:10">
      <c r="E461" s="3">
        <f t="shared" si="22"/>
        <v>6</v>
      </c>
      <c r="G461" s="19" t="str">
        <f t="shared" si="21"/>
        <v/>
      </c>
      <c r="J461" s="28">
        <f t="shared" si="23"/>
        <v>-1</v>
      </c>
    </row>
    <row r="462" spans="1:10">
      <c r="E462" s="3">
        <f t="shared" si="22"/>
        <v>6</v>
      </c>
      <c r="G462" s="19" t="str">
        <f t="shared" si="21"/>
        <v/>
      </c>
      <c r="H462">
        <f>SUM(A462:A468)</f>
        <v>0</v>
      </c>
      <c r="I462" s="28">
        <f>H462/H455-1</f>
        <v>-1</v>
      </c>
      <c r="J462" s="28">
        <f t="shared" si="23"/>
        <v>-1</v>
      </c>
    </row>
    <row r="463" spans="1:10">
      <c r="E463" s="3">
        <f t="shared" si="22"/>
        <v>6</v>
      </c>
      <c r="G463" s="19" t="str">
        <f t="shared" si="21"/>
        <v/>
      </c>
      <c r="J463" s="28">
        <f t="shared" si="23"/>
        <v>-1</v>
      </c>
    </row>
    <row r="464" spans="1:10">
      <c r="E464" s="3">
        <f t="shared" si="22"/>
        <v>6</v>
      </c>
      <c r="G464" s="19" t="str">
        <f t="shared" si="21"/>
        <v/>
      </c>
      <c r="J464" s="28">
        <f t="shared" si="23"/>
        <v>-1</v>
      </c>
    </row>
    <row r="465" spans="5:10">
      <c r="E465" s="3">
        <f t="shared" si="22"/>
        <v>6</v>
      </c>
      <c r="G465" s="19" t="str">
        <f t="shared" si="21"/>
        <v/>
      </c>
      <c r="J465" s="28">
        <f t="shared" si="23"/>
        <v>-1</v>
      </c>
    </row>
    <row r="466" spans="5:10">
      <c r="E466" s="3">
        <f t="shared" si="22"/>
        <v>6</v>
      </c>
      <c r="G466" s="19" t="str">
        <f t="shared" si="21"/>
        <v/>
      </c>
      <c r="J466" s="28">
        <f t="shared" si="23"/>
        <v>-1</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99</v>
      </c>
      <c r="D80">
        <f>HUS!A80</f>
        <v>74</v>
      </c>
      <c r="E80" s="38">
        <f t="shared" si="1"/>
        <v>0.74747474747474751</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128</v>
      </c>
      <c r="D270">
        <f>HUS!A270</f>
        <v>85</v>
      </c>
      <c r="E270" s="38">
        <f t="shared" si="4"/>
        <v>0.6640625</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132</v>
      </c>
      <c r="D314">
        <f>HUS!A314</f>
        <v>81</v>
      </c>
      <c r="E314" s="38">
        <f t="shared" si="4"/>
        <v>0.61363636363636365</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195</v>
      </c>
      <c r="E351" s="38">
        <f t="shared" si="5"/>
        <v>0.54317548746518107</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276</v>
      </c>
      <c r="D359">
        <f>HUS!A359</f>
        <v>145</v>
      </c>
      <c r="E359" s="38">
        <f t="shared" si="5"/>
        <v>0.52536231884057971</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361</v>
      </c>
      <c r="D389">
        <f>HUS!A389</f>
        <v>196</v>
      </c>
      <c r="E389" s="38">
        <f t="shared" si="6"/>
        <v>0.54293628808864269</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246</v>
      </c>
      <c r="D391">
        <f>HUS!A391</f>
        <v>152</v>
      </c>
      <c r="E391" s="38">
        <f t="shared" si="6"/>
        <v>0.61788617886178865</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382</v>
      </c>
      <c r="D394">
        <f>HUS!A394</f>
        <v>188</v>
      </c>
      <c r="E394" s="38">
        <f t="shared" si="6"/>
        <v>0.49214659685863876</v>
      </c>
    </row>
    <row r="395" spans="1:5">
      <c r="A395" s="30">
        <f>Kaikki!F395</f>
        <v>44224.625</v>
      </c>
      <c r="B395" s="37" t="str">
        <f>Kaikki!G395</f>
        <v/>
      </c>
      <c r="C395">
        <f>Kaikki!A395</f>
        <v>435</v>
      </c>
      <c r="D395">
        <f>HUS!A395</f>
        <v>229</v>
      </c>
      <c r="E395" s="38">
        <f t="shared" si="6"/>
        <v>0.52643678160919538</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533</v>
      </c>
      <c r="D399">
        <f>HUS!A399</f>
        <v>296</v>
      </c>
      <c r="E399" s="38">
        <f t="shared" si="6"/>
        <v>0.55534709193245779</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372</v>
      </c>
      <c r="D402">
        <f>HUS!A402</f>
        <v>224</v>
      </c>
      <c r="E402" s="38">
        <f t="shared" si="6"/>
        <v>0.60215053763440862</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383</v>
      </c>
      <c r="D408">
        <f>HUS!A408</f>
        <v>228</v>
      </c>
      <c r="E408" s="38">
        <f t="shared" si="6"/>
        <v>0.59530026109660572</v>
      </c>
    </row>
    <row r="409" spans="1:5">
      <c r="A409" s="30">
        <f>Kaikki!F409</f>
        <v>44238.625</v>
      </c>
      <c r="B409" s="37" t="str">
        <f>Kaikki!G409</f>
        <v/>
      </c>
      <c r="C409">
        <f>Kaikki!A409</f>
        <v>356</v>
      </c>
      <c r="D409">
        <f>HUS!A409</f>
        <v>234</v>
      </c>
      <c r="E409" s="38">
        <f t="shared" si="6"/>
        <v>0.65730337078651691</v>
      </c>
    </row>
    <row r="410" spans="1:5">
      <c r="A410" s="30">
        <f>Kaikki!F410</f>
        <v>44239.625</v>
      </c>
      <c r="B410" s="37" t="str">
        <f>Kaikki!G410</f>
        <v/>
      </c>
      <c r="C410">
        <f>Kaikki!A410</f>
        <v>418</v>
      </c>
      <c r="D410">
        <f>HUS!A410</f>
        <v>259</v>
      </c>
      <c r="E410" s="38">
        <f t="shared" si="6"/>
        <v>0.61961722488038273</v>
      </c>
    </row>
    <row r="411" spans="1:5">
      <c r="A411" s="30">
        <f>Kaikki!F411</f>
        <v>44240.625</v>
      </c>
      <c r="B411" s="37" t="str">
        <f>Kaikki!G411</f>
        <v/>
      </c>
      <c r="C411">
        <f>Kaikki!A411</f>
        <v>277</v>
      </c>
      <c r="D411">
        <f>HUS!A411</f>
        <v>189</v>
      </c>
      <c r="E411" s="38">
        <f t="shared" si="6"/>
        <v>0.68231046931407946</v>
      </c>
    </row>
    <row r="412" spans="1:5">
      <c r="A412" s="30">
        <f>Kaikki!F412</f>
        <v>44241.625</v>
      </c>
      <c r="B412" s="37" t="str">
        <f>Kaikki!G412</f>
        <v/>
      </c>
      <c r="C412">
        <f>Kaikki!A412</f>
        <v>281</v>
      </c>
      <c r="D412">
        <f>HUS!A412</f>
        <v>182</v>
      </c>
      <c r="E412" s="38">
        <f t="shared" si="6"/>
        <v>0.64768683274021355</v>
      </c>
    </row>
    <row r="413" spans="1:5">
      <c r="A413" s="30">
        <f>Kaikki!F413</f>
        <v>44242.625</v>
      </c>
      <c r="B413" s="37" t="str">
        <f>Kaikki!G413</f>
        <v>2021-W07</v>
      </c>
      <c r="C413">
        <f>Kaikki!A413</f>
        <v>616</v>
      </c>
      <c r="D413">
        <f>HUS!A413</f>
        <v>360</v>
      </c>
      <c r="E413" s="38">
        <f t="shared" si="6"/>
        <v>0.58441558441558439</v>
      </c>
    </row>
    <row r="414" spans="1:5">
      <c r="A414" s="30">
        <f>Kaikki!F414</f>
        <v>44243.625</v>
      </c>
      <c r="B414" s="37" t="str">
        <f>Kaikki!G414</f>
        <v/>
      </c>
      <c r="C414">
        <f>Kaikki!A414</f>
        <v>516</v>
      </c>
      <c r="D414">
        <f>HUS!A414</f>
        <v>330</v>
      </c>
      <c r="E414" s="38">
        <f t="shared" si="6"/>
        <v>0.63953488372093026</v>
      </c>
    </row>
    <row r="415" spans="1:5">
      <c r="A415" s="30">
        <f>Kaikki!F415</f>
        <v>44244.625</v>
      </c>
      <c r="B415" s="37" t="str">
        <f>Kaikki!G415</f>
        <v/>
      </c>
      <c r="C415">
        <f>Kaikki!A415</f>
        <v>553</v>
      </c>
      <c r="D415">
        <f>HUS!A415</f>
        <v>329</v>
      </c>
      <c r="E415" s="38">
        <f t="shared" si="6"/>
        <v>0.59493670886075944</v>
      </c>
    </row>
    <row r="416" spans="1:5">
      <c r="A416" s="30">
        <f>Kaikki!F416</f>
        <v>44245.625</v>
      </c>
      <c r="B416" s="37" t="str">
        <f>Kaikki!G416</f>
        <v/>
      </c>
      <c r="C416">
        <f>Kaikki!A416</f>
        <v>611</v>
      </c>
      <c r="D416">
        <f>HUS!A416</f>
        <v>325</v>
      </c>
      <c r="E416" s="38">
        <f t="shared" si="6"/>
        <v>0.53191489361702127</v>
      </c>
    </row>
    <row r="417" spans="1:5">
      <c r="A417" s="30">
        <f>Kaikki!F417</f>
        <v>44246.625</v>
      </c>
      <c r="B417" s="37" t="str">
        <f>Kaikki!G417</f>
        <v/>
      </c>
      <c r="C417">
        <f>Kaikki!A417</f>
        <v>571</v>
      </c>
      <c r="D417">
        <f>HUS!A417</f>
        <v>304</v>
      </c>
      <c r="E417" s="38">
        <f t="shared" si="6"/>
        <v>0.53239929947460596</v>
      </c>
    </row>
    <row r="418" spans="1:5">
      <c r="A418" s="30">
        <f>Kaikki!F418</f>
        <v>44247.625</v>
      </c>
      <c r="B418" s="37" t="str">
        <f>Kaikki!G418</f>
        <v/>
      </c>
      <c r="C418">
        <f>Kaikki!A418</f>
        <v>318</v>
      </c>
      <c r="D418">
        <f>HUS!A418</f>
        <v>185</v>
      </c>
      <c r="E418" s="38">
        <f t="shared" si="6"/>
        <v>0.58176100628930816</v>
      </c>
    </row>
    <row r="419" spans="1:5">
      <c r="A419" s="30">
        <f>Kaikki!F419</f>
        <v>44248.625</v>
      </c>
      <c r="B419" s="37" t="str">
        <f>Kaikki!G419</f>
        <v/>
      </c>
      <c r="C419">
        <f>Kaikki!A419</f>
        <v>356</v>
      </c>
      <c r="D419">
        <f>HUS!A419</f>
        <v>220</v>
      </c>
      <c r="E419" s="38">
        <f t="shared" si="6"/>
        <v>0.6179775280898876</v>
      </c>
    </row>
    <row r="420" spans="1:5">
      <c r="A420" s="30">
        <f>Kaikki!F420</f>
        <v>44249.625</v>
      </c>
      <c r="B420" s="37" t="str">
        <f>Kaikki!G420</f>
        <v>2021-W08</v>
      </c>
      <c r="C420">
        <f>Kaikki!A420</f>
        <v>623</v>
      </c>
      <c r="D420">
        <f>HUS!A420</f>
        <v>386</v>
      </c>
      <c r="E420" s="38">
        <f t="shared" si="6"/>
        <v>0.61958266452648481</v>
      </c>
    </row>
    <row r="421" spans="1:5">
      <c r="A421" s="30">
        <f>Kaikki!F421</f>
        <v>44250.625</v>
      </c>
      <c r="B421" s="37" t="str">
        <f>Kaikki!G421</f>
        <v/>
      </c>
      <c r="C421">
        <f>Kaikki!A421</f>
        <v>626</v>
      </c>
      <c r="D421">
        <f>HUS!A421</f>
        <v>383</v>
      </c>
      <c r="E421" s="38">
        <f t="shared" si="6"/>
        <v>0.61182108626198084</v>
      </c>
    </row>
    <row r="422" spans="1:5">
      <c r="A422" s="30">
        <f>Kaikki!F422</f>
        <v>44251.625</v>
      </c>
      <c r="B422" s="37" t="str">
        <f>Kaikki!G422</f>
        <v/>
      </c>
      <c r="C422">
        <f>Kaikki!A422</f>
        <v>598</v>
      </c>
      <c r="D422">
        <f>HUS!A422</f>
        <v>417</v>
      </c>
      <c r="E422" s="38">
        <f t="shared" si="6"/>
        <v>0.69732441471571904</v>
      </c>
    </row>
    <row r="423" spans="1:5">
      <c r="A423" s="30">
        <f>Kaikki!F423</f>
        <v>44252.625</v>
      </c>
      <c r="B423" s="37" t="str">
        <f>Kaikki!G423</f>
        <v/>
      </c>
      <c r="C423">
        <f>Kaikki!A423</f>
        <v>618</v>
      </c>
      <c r="D423">
        <f>HUS!A423</f>
        <v>353</v>
      </c>
      <c r="E423" s="38">
        <f t="shared" si="6"/>
        <v>0.57119741100323629</v>
      </c>
    </row>
    <row r="424" spans="1:5">
      <c r="A424" s="30">
        <f>Kaikki!F424</f>
        <v>44253.625</v>
      </c>
      <c r="B424" s="37" t="str">
        <f>Kaikki!G424</f>
        <v/>
      </c>
      <c r="C424">
        <f>Kaikki!A424</f>
        <v>690</v>
      </c>
      <c r="D424">
        <f>HUS!A424</f>
        <v>430</v>
      </c>
      <c r="E424" s="38">
        <f t="shared" si="6"/>
        <v>0.62318840579710144</v>
      </c>
    </row>
    <row r="425" spans="1:5">
      <c r="A425" s="30">
        <f>Kaikki!F425</f>
        <v>44254.625</v>
      </c>
      <c r="B425" s="37" t="str">
        <f>Kaikki!G425</f>
        <v/>
      </c>
      <c r="C425">
        <f>Kaikki!A425</f>
        <v>401</v>
      </c>
      <c r="D425">
        <f>HUS!A425</f>
        <v>266</v>
      </c>
      <c r="E425" s="38">
        <f t="shared" si="6"/>
        <v>0.66334164588528677</v>
      </c>
    </row>
    <row r="426" spans="1:5">
      <c r="A426" s="30">
        <f>Kaikki!F426</f>
        <v>44255.625</v>
      </c>
      <c r="B426" s="37" t="str">
        <f>Kaikki!G426</f>
        <v/>
      </c>
      <c r="C426">
        <f>Kaikki!A426</f>
        <v>418</v>
      </c>
      <c r="D426">
        <f>HUS!A426</f>
        <v>265</v>
      </c>
      <c r="E426" s="38">
        <f t="shared" si="6"/>
        <v>0.63397129186602874</v>
      </c>
    </row>
    <row r="427" spans="1:5">
      <c r="A427" s="30">
        <f>Kaikki!F427</f>
        <v>44256.625</v>
      </c>
      <c r="B427" s="37" t="str">
        <f>Kaikki!G427</f>
        <v>2021-W09</v>
      </c>
      <c r="C427">
        <f>Kaikki!A427</f>
        <v>871</v>
      </c>
      <c r="D427">
        <f>HUS!A427</f>
        <v>481</v>
      </c>
      <c r="E427" s="38">
        <f t="shared" si="6"/>
        <v>0.55223880597014929</v>
      </c>
    </row>
    <row r="428" spans="1:5">
      <c r="A428" s="30">
        <f>Kaikki!F428</f>
        <v>44257.625</v>
      </c>
      <c r="B428" s="37" t="str">
        <f>Kaikki!G428</f>
        <v/>
      </c>
      <c r="C428">
        <f>Kaikki!A428</f>
        <v>757</v>
      </c>
      <c r="D428">
        <f>HUS!A428</f>
        <v>490</v>
      </c>
      <c r="E428" s="38">
        <f t="shared" si="6"/>
        <v>0.64729194187582562</v>
      </c>
    </row>
    <row r="429" spans="1:5">
      <c r="A429" s="30">
        <f>Kaikki!F429</f>
        <v>44258.625</v>
      </c>
      <c r="B429" s="37" t="str">
        <f>Kaikki!G429</f>
        <v/>
      </c>
      <c r="C429">
        <f>Kaikki!A429</f>
        <v>732</v>
      </c>
      <c r="D429">
        <f>HUS!A429</f>
        <v>474</v>
      </c>
      <c r="E429" s="38">
        <f t="shared" si="6"/>
        <v>0.64754098360655743</v>
      </c>
    </row>
    <row r="430" spans="1:5">
      <c r="A430" s="30">
        <f>Kaikki!F430</f>
        <v>44259.625</v>
      </c>
      <c r="B430" s="37" t="str">
        <f>Kaikki!G430</f>
        <v/>
      </c>
      <c r="C430">
        <f>Kaikki!A430</f>
        <v>638</v>
      </c>
      <c r="D430">
        <f>HUS!A430</f>
        <v>389</v>
      </c>
      <c r="E430" s="38">
        <f t="shared" si="6"/>
        <v>0.60971786833855801</v>
      </c>
    </row>
    <row r="431" spans="1:5">
      <c r="A431" s="30">
        <f>Kaikki!F431</f>
        <v>44260.625</v>
      </c>
      <c r="B431" s="37" t="str">
        <f>Kaikki!G431</f>
        <v/>
      </c>
      <c r="C431">
        <f>Kaikki!A431</f>
        <v>629</v>
      </c>
      <c r="D431">
        <f>HUS!A431</f>
        <v>419</v>
      </c>
      <c r="E431" s="38">
        <f t="shared" si="6"/>
        <v>0.66613672496025433</v>
      </c>
    </row>
    <row r="432" spans="1:5">
      <c r="A432" s="30">
        <f>Kaikki!F432</f>
        <v>44261.625</v>
      </c>
      <c r="B432" s="37" t="str">
        <f>Kaikki!G432</f>
        <v/>
      </c>
      <c r="C432">
        <f>Kaikki!A432</f>
        <v>431</v>
      </c>
      <c r="D432">
        <f>HUS!A432</f>
        <v>274</v>
      </c>
      <c r="E432" s="38">
        <f t="shared" si="6"/>
        <v>0.6357308584686775</v>
      </c>
    </row>
    <row r="433" spans="1:5">
      <c r="A433" s="30">
        <f>Kaikki!F433</f>
        <v>44262.625</v>
      </c>
      <c r="B433" s="37" t="str">
        <f>Kaikki!G433</f>
        <v/>
      </c>
      <c r="C433">
        <f>Kaikki!A433</f>
        <v>396</v>
      </c>
      <c r="D433">
        <f>HUS!A433</f>
        <v>255</v>
      </c>
      <c r="E433" s="38">
        <f t="shared" si="6"/>
        <v>0.64393939393939392</v>
      </c>
    </row>
    <row r="434" spans="1:5">
      <c r="A434" s="30">
        <f>Kaikki!F434</f>
        <v>44263.625</v>
      </c>
      <c r="B434" s="37" t="str">
        <f>Kaikki!G434</f>
        <v>2021-W10</v>
      </c>
      <c r="C434">
        <f>Kaikki!A434</f>
        <v>833</v>
      </c>
      <c r="D434">
        <f>HUS!A434</f>
        <v>503</v>
      </c>
      <c r="E434" s="38">
        <f t="shared" si="6"/>
        <v>0.6038415366146459</v>
      </c>
    </row>
    <row r="435" spans="1:5">
      <c r="A435" s="30">
        <f>Kaikki!F435</f>
        <v>44264.625</v>
      </c>
      <c r="B435" s="37" t="str">
        <f>Kaikki!G435</f>
        <v/>
      </c>
      <c r="C435">
        <f>Kaikki!A435</f>
        <v>774</v>
      </c>
      <c r="D435">
        <f>HUS!A435</f>
        <v>507</v>
      </c>
      <c r="E435" s="38">
        <f t="shared" si="6"/>
        <v>0.65503875968992253</v>
      </c>
    </row>
    <row r="436" spans="1:5">
      <c r="A436" s="30">
        <f>Kaikki!F436</f>
        <v>44265.625</v>
      </c>
      <c r="B436" s="37" t="str">
        <f>Kaikki!G436</f>
        <v/>
      </c>
      <c r="C436">
        <f>Kaikki!A436</f>
        <v>817</v>
      </c>
      <c r="D436">
        <f>HUS!A436</f>
        <v>501</v>
      </c>
      <c r="E436" s="38">
        <f t="shared" si="6"/>
        <v>0.61321909424724608</v>
      </c>
    </row>
    <row r="437" spans="1:5">
      <c r="A437" s="30">
        <f>Kaikki!F437</f>
        <v>44266.625</v>
      </c>
      <c r="B437" s="37" t="str">
        <f>Kaikki!G437</f>
        <v/>
      </c>
      <c r="C437">
        <f>Kaikki!A437</f>
        <v>775</v>
      </c>
      <c r="D437">
        <f>HUS!A437</f>
        <v>476</v>
      </c>
      <c r="E437" s="38">
        <f t="shared" si="6"/>
        <v>0.61419354838709672</v>
      </c>
    </row>
    <row r="438" spans="1:5">
      <c r="A438" s="30">
        <f>Kaikki!F438</f>
        <v>44267.625</v>
      </c>
      <c r="B438" s="37" t="str">
        <f>Kaikki!G438</f>
        <v/>
      </c>
      <c r="C438">
        <f>Kaikki!A438</f>
        <v>812</v>
      </c>
      <c r="D438">
        <f>HUS!A438</f>
        <v>517</v>
      </c>
      <c r="E438" s="38">
        <f t="shared" si="6"/>
        <v>0.63669950738916259</v>
      </c>
    </row>
    <row r="439" spans="1:5">
      <c r="A439" s="30">
        <f>Kaikki!F439</f>
        <v>44268.625</v>
      </c>
      <c r="B439" s="37" t="str">
        <f>Kaikki!G439</f>
        <v/>
      </c>
      <c r="C439">
        <f>Kaikki!A439</f>
        <v>492</v>
      </c>
      <c r="D439">
        <f>HUS!A439</f>
        <v>327</v>
      </c>
      <c r="E439" s="38">
        <f t="shared" si="6"/>
        <v>0.66463414634146345</v>
      </c>
    </row>
    <row r="440" spans="1:5">
      <c r="A440" s="30">
        <f>Kaikki!F440</f>
        <v>44269.625</v>
      </c>
      <c r="B440" s="37" t="str">
        <f>Kaikki!G440</f>
        <v/>
      </c>
      <c r="C440">
        <f>Kaikki!A440</f>
        <v>435</v>
      </c>
      <c r="D440">
        <f>HUS!A440</f>
        <v>262</v>
      </c>
      <c r="E440" s="38">
        <f t="shared" si="6"/>
        <v>0.60229885057471266</v>
      </c>
    </row>
    <row r="441" spans="1:5">
      <c r="A441" s="30">
        <f>Kaikki!F441</f>
        <v>44270.625</v>
      </c>
      <c r="B441" s="37" t="str">
        <f>Kaikki!G441</f>
        <v>2021-W11</v>
      </c>
      <c r="C441">
        <f>Kaikki!A441</f>
        <v>891</v>
      </c>
      <c r="D441">
        <f>HUS!A441</f>
        <v>508</v>
      </c>
      <c r="E441" s="38">
        <f t="shared" si="6"/>
        <v>0.57014590347923677</v>
      </c>
    </row>
    <row r="442" spans="1:5">
      <c r="A442" s="30">
        <f>Kaikki!F442</f>
        <v>44271.625</v>
      </c>
      <c r="B442" s="37" t="str">
        <f>Kaikki!G442</f>
        <v/>
      </c>
      <c r="C442">
        <f>Kaikki!A442</f>
        <v>763</v>
      </c>
      <c r="D442">
        <f>HUS!A442</f>
        <v>452</v>
      </c>
      <c r="E442" s="38">
        <f t="shared" si="6"/>
        <v>0.5923984272608126</v>
      </c>
    </row>
    <row r="443" spans="1:5">
      <c r="A443" s="30">
        <f>Kaikki!F443</f>
        <v>44272.625</v>
      </c>
      <c r="B443" s="37" t="str">
        <f>Kaikki!G443</f>
        <v/>
      </c>
      <c r="C443">
        <f>Kaikki!A443</f>
        <v>743</v>
      </c>
      <c r="D443">
        <f>HUS!A443</f>
        <v>417</v>
      </c>
      <c r="E443" s="38">
        <f t="shared" si="6"/>
        <v>0.56123822341857332</v>
      </c>
    </row>
    <row r="444" spans="1:5">
      <c r="A444" s="30">
        <f>Kaikki!F444</f>
        <v>44273.625</v>
      </c>
      <c r="B444" s="37" t="str">
        <f>Kaikki!G444</f>
        <v/>
      </c>
      <c r="C444">
        <f>Kaikki!A444</f>
        <v>737</v>
      </c>
      <c r="D444">
        <f>HUS!A444</f>
        <v>456</v>
      </c>
      <c r="E444" s="38">
        <f t="shared" si="6"/>
        <v>0.61872455902306644</v>
      </c>
    </row>
    <row r="445" spans="1:5">
      <c r="A445" s="30">
        <f>Kaikki!F445</f>
        <v>44274.625</v>
      </c>
      <c r="B445" s="37" t="str">
        <f>Kaikki!G445</f>
        <v/>
      </c>
      <c r="C445">
        <f>Kaikki!A445</f>
        <v>743</v>
      </c>
      <c r="D445">
        <f>HUS!A445</f>
        <v>443</v>
      </c>
      <c r="E445" s="38">
        <f t="shared" si="6"/>
        <v>0.59623149394347241</v>
      </c>
    </row>
    <row r="446" spans="1:5">
      <c r="A446" s="30">
        <f>Kaikki!F446</f>
        <v>44275.625</v>
      </c>
      <c r="B446" s="37" t="str">
        <f>Kaikki!G446</f>
        <v/>
      </c>
      <c r="C446">
        <f>Kaikki!A446</f>
        <v>402</v>
      </c>
      <c r="D446">
        <f>HUS!A446</f>
        <v>286</v>
      </c>
      <c r="E446" s="38">
        <f t="shared" si="6"/>
        <v>0.71144278606965172</v>
      </c>
    </row>
    <row r="447" spans="1:5">
      <c r="A447" s="30">
        <f>Kaikki!F447</f>
        <v>44276.625</v>
      </c>
      <c r="B447" s="37" t="str">
        <f>Kaikki!G447</f>
        <v/>
      </c>
      <c r="C447">
        <f>Kaikki!A447</f>
        <v>417</v>
      </c>
      <c r="D447">
        <f>HUS!A447</f>
        <v>286</v>
      </c>
      <c r="E447" s="38">
        <f t="shared" si="6"/>
        <v>0.68585131894484408</v>
      </c>
    </row>
    <row r="448" spans="1:5">
      <c r="A448" s="30">
        <f>Kaikki!F448</f>
        <v>44277.625</v>
      </c>
      <c r="B448" s="37" t="str">
        <f>Kaikki!G448</f>
        <v>2021-W12</v>
      </c>
      <c r="C448">
        <f>Kaikki!A448</f>
        <v>764</v>
      </c>
      <c r="D448">
        <f>HUS!A448</f>
        <v>448</v>
      </c>
      <c r="E448" s="38">
        <f t="shared" si="6"/>
        <v>0.58638743455497377</v>
      </c>
    </row>
    <row r="449" spans="1:5">
      <c r="A449" s="30">
        <f>Kaikki!F449</f>
        <v>44278.625</v>
      </c>
      <c r="B449" s="37" t="str">
        <f>Kaikki!G449</f>
        <v/>
      </c>
      <c r="C449">
        <f>Kaikki!A449</f>
        <v>698</v>
      </c>
      <c r="D449">
        <f>HUS!A449</f>
        <v>451</v>
      </c>
      <c r="E449" s="38">
        <f t="shared" si="6"/>
        <v>0.64613180515759316</v>
      </c>
    </row>
    <row r="450" spans="1:5">
      <c r="A450" s="30">
        <f>Kaikki!F450</f>
        <v>44279.625</v>
      </c>
      <c r="B450" s="37" t="str">
        <f>Kaikki!G450</f>
        <v/>
      </c>
      <c r="C450">
        <f>Kaikki!A450</f>
        <v>699</v>
      </c>
      <c r="D450">
        <f>HUS!A450</f>
        <v>392</v>
      </c>
      <c r="E450" s="38">
        <f t="shared" si="6"/>
        <v>0.56080114449213159</v>
      </c>
    </row>
    <row r="451" spans="1:5">
      <c r="A451" s="30">
        <f>Kaikki!F451</f>
        <v>44280.625</v>
      </c>
      <c r="B451" s="37" t="str">
        <f>Kaikki!G451</f>
        <v/>
      </c>
      <c r="C451">
        <f>Kaikki!A451</f>
        <v>607</v>
      </c>
      <c r="D451">
        <f>HUS!A451</f>
        <v>355</v>
      </c>
      <c r="E451" s="38">
        <f t="shared" ref="E451:E514" si="7">D451/C451</f>
        <v>0.58484349258649093</v>
      </c>
    </row>
    <row r="452" spans="1:5">
      <c r="A452" s="30">
        <f>Kaikki!F452</f>
        <v>44281.625</v>
      </c>
      <c r="B452" s="37" t="str">
        <f>Kaikki!G452</f>
        <v/>
      </c>
      <c r="C452">
        <f>Kaikki!A452</f>
        <v>682</v>
      </c>
      <c r="D452">
        <f>HUS!A452</f>
        <v>404</v>
      </c>
      <c r="E452" s="38">
        <f t="shared" si="7"/>
        <v>0.59237536656891498</v>
      </c>
    </row>
    <row r="453" spans="1:5">
      <c r="A453" s="30">
        <f>Kaikki!F453</f>
        <v>44282.625</v>
      </c>
      <c r="B453" s="37" t="str">
        <f>Kaikki!G453</f>
        <v/>
      </c>
      <c r="C453">
        <f>Kaikki!A453</f>
        <v>350</v>
      </c>
      <c r="D453">
        <f>HUS!A453</f>
        <v>199</v>
      </c>
      <c r="E453" s="38">
        <f t="shared" si="7"/>
        <v>0.56857142857142862</v>
      </c>
    </row>
    <row r="454" spans="1:5">
      <c r="A454" s="30">
        <f>Kaikki!F454</f>
        <v>44283.625</v>
      </c>
      <c r="B454" s="37" t="str">
        <f>Kaikki!G454</f>
        <v/>
      </c>
      <c r="C454">
        <f>Kaikki!A454</f>
        <v>371</v>
      </c>
      <c r="D454">
        <f>HUS!A454</f>
        <v>246</v>
      </c>
      <c r="E454" s="38">
        <f t="shared" si="7"/>
        <v>0.66307277628032346</v>
      </c>
    </row>
    <row r="455" spans="1:5">
      <c r="A455" s="30">
        <f>Kaikki!F455</f>
        <v>44284.625</v>
      </c>
      <c r="B455" s="37" t="str">
        <f>Kaikki!G455</f>
        <v>2021-W13</v>
      </c>
      <c r="C455">
        <f>Kaikki!A455</f>
        <v>648</v>
      </c>
      <c r="D455">
        <f>HUS!A455</f>
        <v>375</v>
      </c>
      <c r="E455" s="38">
        <f t="shared" si="7"/>
        <v>0.57870370370370372</v>
      </c>
    </row>
    <row r="456" spans="1:5">
      <c r="A456" s="30">
        <f>Kaikki!F456</f>
        <v>44285.625</v>
      </c>
      <c r="B456" s="37" t="str">
        <f>Kaikki!G456</f>
        <v/>
      </c>
      <c r="C456">
        <f>Kaikki!A456</f>
        <v>567</v>
      </c>
      <c r="D456">
        <f>HUS!A456</f>
        <v>323</v>
      </c>
      <c r="E456" s="38">
        <f t="shared" si="7"/>
        <v>0.56966490299823636</v>
      </c>
    </row>
    <row r="457" spans="1:5">
      <c r="A457" s="30">
        <f>Kaikki!F457</f>
        <v>44286.625</v>
      </c>
      <c r="B457" s="37" t="str">
        <f>Kaikki!G457</f>
        <v/>
      </c>
      <c r="C457">
        <f>Kaikki!A457</f>
        <v>530</v>
      </c>
      <c r="D457">
        <f>HUS!A457</f>
        <v>321</v>
      </c>
      <c r="E457" s="38">
        <f t="shared" si="7"/>
        <v>0.60566037735849054</v>
      </c>
    </row>
    <row r="458" spans="1:5">
      <c r="A458" s="30">
        <f>Kaikki!F458</f>
        <v>44287.625</v>
      </c>
      <c r="B458" s="37" t="str">
        <f>Kaikki!G458</f>
        <v/>
      </c>
      <c r="C458">
        <f>Kaikki!A458</f>
        <v>415</v>
      </c>
      <c r="D458">
        <f>HUS!A458</f>
        <v>247</v>
      </c>
      <c r="E458" s="38">
        <f t="shared" si="7"/>
        <v>0.59518072289156632</v>
      </c>
    </row>
    <row r="459" spans="1:5">
      <c r="A459" s="30">
        <f>Kaikki!F459</f>
        <v>44288.625</v>
      </c>
      <c r="B459" s="37" t="str">
        <f>Kaikki!G459</f>
        <v/>
      </c>
      <c r="C459">
        <f>Kaikki!A459</f>
        <v>223</v>
      </c>
      <c r="D459">
        <f>HUS!A459</f>
        <v>204</v>
      </c>
      <c r="E459" s="38">
        <f t="shared" si="7"/>
        <v>0.91479820627802688</v>
      </c>
    </row>
    <row r="460" spans="1:5">
      <c r="A460" s="30">
        <f>Kaikki!F460</f>
        <v>44289.358842592592</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topLeftCell="NE30" zoomScaleNormal="100" workbookViewId="0">
      <selection activeCell="NO36" sqref="NO36"/>
    </sheetView>
  </sheetViews>
  <sheetFormatPr defaultRowHeight="15"/>
  <cols>
    <col min="2" max="2" width="10.140625" bestFit="1" customWidth="1"/>
    <col min="3" max="3" width="10.140625" customWidth="1"/>
    <col min="4" max="4" width="10.85546875" bestFit="1" customWidth="1"/>
    <col min="6" max="6" width="9.71093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423</v>
      </c>
      <c r="G5" t="s">
        <v>228</v>
      </c>
      <c r="H5" t="s">
        <v>346</v>
      </c>
      <c r="J5" t="s">
        <v>347</v>
      </c>
      <c r="K5" t="s">
        <v>346</v>
      </c>
      <c r="N5" s="16" t="s">
        <v>303</v>
      </c>
      <c r="Q5" s="16" t="s">
        <v>304</v>
      </c>
      <c r="T5" s="16" t="s">
        <v>305</v>
      </c>
    </row>
    <row r="6" spans="1:485">
      <c r="B6" t="str">
        <f ca="1">IF(WEEKDAY(C6,2)=1,"Ma "&amp;TEXT(C6,"p"),TEXT(C6,"p.k"))</f>
        <v>5.3</v>
      </c>
      <c r="C6" s="4">
        <f t="shared" ref="C6:C34" ca="1" si="0">C7-1</f>
        <v>44260</v>
      </c>
      <c r="D6" s="11">
        <f t="shared" ref="D6:D35" ca="1" si="1">SUMIF(aika,"&lt;"&amp;(C6+1),DataN)</f>
        <v>62079</v>
      </c>
      <c r="P6" s="10">
        <v>244</v>
      </c>
    </row>
    <row r="7" spans="1:485" s="10" customFormat="1">
      <c r="B7" t="str">
        <f t="shared" ref="B7:B35" ca="1" si="2">IF(WEEKDAY(C7,2)=1,"Ma "&amp;TEXT(C7,"p"),TEXT(C7,"p.k"))</f>
        <v>6.3</v>
      </c>
      <c r="C7" s="9">
        <f t="shared" ca="1" si="0"/>
        <v>44261</v>
      </c>
      <c r="D7" s="10">
        <f t="shared" ca="1" si="1"/>
        <v>62510</v>
      </c>
      <c r="E7" s="10">
        <f t="shared" ref="E7:E35" ca="1" si="3">D7-D6</f>
        <v>431</v>
      </c>
      <c r="F7" s="10">
        <f t="shared" ref="F7:F35" ca="1" si="4">_xlfn.IFNA(E7-G7,"")</f>
        <v>0</v>
      </c>
      <c r="G7" s="10">
        <f ca="1">VLOOKUP(C7,Previous,3,FALSE)</f>
        <v>431</v>
      </c>
      <c r="H7" s="10">
        <f ca="1">SUM(E7:E13)</f>
        <v>4838</v>
      </c>
      <c r="J7" s="10">
        <f ca="1">SUM(E7:E20)</f>
        <v>9642</v>
      </c>
      <c r="L7" s="14"/>
      <c r="N7" s="17">
        <v>44261</v>
      </c>
      <c r="O7" s="10">
        <v>62511</v>
      </c>
      <c r="P7">
        <v>431</v>
      </c>
      <c r="Q7" s="17">
        <v>44261</v>
      </c>
      <c r="R7" s="10">
        <v>62511</v>
      </c>
      <c r="S7" s="10">
        <v>431</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v>44234</v>
      </c>
      <c r="NZ7" s="10">
        <v>48390</v>
      </c>
      <c r="OA7" s="10">
        <v>263</v>
      </c>
      <c r="OB7" s="17">
        <v>44235</v>
      </c>
      <c r="OC7" s="10">
        <v>48850</v>
      </c>
      <c r="OD7" s="10">
        <v>459</v>
      </c>
      <c r="OE7" s="17">
        <v>44236</v>
      </c>
      <c r="OF7" s="10">
        <v>49221</v>
      </c>
      <c r="OG7" s="10">
        <v>371</v>
      </c>
      <c r="OH7" s="17">
        <v>44237</v>
      </c>
      <c r="OI7" s="10">
        <v>49603</v>
      </c>
      <c r="OJ7" s="10">
        <v>382</v>
      </c>
      <c r="OK7" s="17">
        <v>44238</v>
      </c>
      <c r="OL7" s="10">
        <v>49960</v>
      </c>
      <c r="OM7" s="10">
        <v>357</v>
      </c>
      <c r="ON7" s="17">
        <v>44239</v>
      </c>
      <c r="OO7" s="10">
        <v>50377</v>
      </c>
      <c r="OP7" s="10">
        <v>418</v>
      </c>
      <c r="OQ7" s="17">
        <v>44240</v>
      </c>
      <c r="OR7" s="10">
        <v>50654</v>
      </c>
      <c r="OS7" s="10">
        <v>277</v>
      </c>
      <c r="OT7" s="17">
        <v>44241</v>
      </c>
      <c r="OU7" s="10">
        <v>50936</v>
      </c>
      <c r="OV7" s="10">
        <v>281</v>
      </c>
      <c r="OW7" s="17">
        <v>44242</v>
      </c>
      <c r="OX7" s="10">
        <v>51551</v>
      </c>
      <c r="OY7" s="10">
        <v>616</v>
      </c>
      <c r="OZ7" s="17">
        <v>44243</v>
      </c>
      <c r="PA7" s="10">
        <v>52066</v>
      </c>
      <c r="PB7" s="10">
        <v>515</v>
      </c>
      <c r="PC7" s="17">
        <v>44244</v>
      </c>
      <c r="PD7" s="10">
        <v>52615</v>
      </c>
      <c r="PE7" s="10">
        <v>550</v>
      </c>
      <c r="PF7" s="17">
        <v>44245</v>
      </c>
      <c r="PG7" s="10">
        <v>53226</v>
      </c>
      <c r="PH7" s="10">
        <v>611</v>
      </c>
      <c r="PI7" s="17">
        <v>44245</v>
      </c>
      <c r="PJ7" s="10">
        <v>53801</v>
      </c>
      <c r="PK7" s="10">
        <v>573</v>
      </c>
      <c r="PL7" s="17">
        <v>44247</v>
      </c>
      <c r="PM7" s="10">
        <v>54119</v>
      </c>
      <c r="PN7" s="10">
        <v>319</v>
      </c>
      <c r="PO7" s="17">
        <v>44248</v>
      </c>
      <c r="PP7" s="10">
        <v>54474</v>
      </c>
      <c r="PQ7" s="10">
        <v>355</v>
      </c>
      <c r="PR7" s="17">
        <v>44249</v>
      </c>
      <c r="PS7" s="10">
        <v>55098</v>
      </c>
      <c r="PT7" s="10">
        <v>624</v>
      </c>
      <c r="PU7" s="17">
        <v>44250</v>
      </c>
      <c r="PV7" s="10">
        <v>55722</v>
      </c>
      <c r="PW7" s="10">
        <v>625</v>
      </c>
      <c r="PX7" s="17">
        <v>44251</v>
      </c>
      <c r="PY7" s="10">
        <v>56320</v>
      </c>
      <c r="PZ7" s="10">
        <v>599</v>
      </c>
      <c r="QA7" s="17">
        <v>44252</v>
      </c>
      <c r="QB7" s="10">
        <v>56940</v>
      </c>
      <c r="QC7" s="10">
        <v>618</v>
      </c>
      <c r="QD7" s="17">
        <v>44253</v>
      </c>
      <c r="QE7" s="10">
        <v>57634</v>
      </c>
      <c r="QF7" s="10">
        <v>690</v>
      </c>
      <c r="QG7" s="17">
        <v>44254</v>
      </c>
      <c r="QH7" s="10">
        <v>58035</v>
      </c>
      <c r="QI7" s="10">
        <v>400</v>
      </c>
      <c r="QJ7" s="17">
        <v>44255</v>
      </c>
      <c r="QK7" s="10">
        <v>58456</v>
      </c>
      <c r="QL7" s="10">
        <v>418</v>
      </c>
      <c r="QM7" s="17">
        <v>44256</v>
      </c>
      <c r="QN7" s="10">
        <v>59326</v>
      </c>
      <c r="QO7" s="10">
        <v>870</v>
      </c>
      <c r="QP7" s="17">
        <v>44257</v>
      </c>
      <c r="QQ7" s="10">
        <v>60083</v>
      </c>
      <c r="QR7" s="10">
        <v>757</v>
      </c>
      <c r="QS7" s="17">
        <v>44258</v>
      </c>
      <c r="QT7" s="10">
        <v>60815</v>
      </c>
      <c r="QU7" s="10">
        <v>732</v>
      </c>
      <c r="QV7" s="17">
        <v>44259</v>
      </c>
      <c r="QW7" s="10">
        <v>61454</v>
      </c>
      <c r="QX7" s="10">
        <v>638</v>
      </c>
      <c r="QY7" s="17">
        <v>44260</v>
      </c>
      <c r="QZ7" s="10">
        <v>62079</v>
      </c>
      <c r="RA7" s="10">
        <v>629</v>
      </c>
      <c r="RB7" s="17">
        <v>44261</v>
      </c>
      <c r="RC7" s="10">
        <v>62511</v>
      </c>
      <c r="RD7" s="10">
        <v>431</v>
      </c>
      <c r="RE7" s="17"/>
      <c r="RH7" s="17"/>
      <c r="RK7" s="17"/>
      <c r="RN7" s="17"/>
      <c r="RQ7" s="17"/>
    </row>
    <row r="8" spans="1:485">
      <c r="B8" t="str">
        <f t="shared" ca="1" si="2"/>
        <v>7.3</v>
      </c>
      <c r="C8" s="4">
        <f t="shared" ca="1" si="0"/>
        <v>44262</v>
      </c>
      <c r="D8" s="11">
        <f t="shared" ca="1" si="1"/>
        <v>62906</v>
      </c>
      <c r="E8">
        <f t="shared" ca="1" si="3"/>
        <v>396</v>
      </c>
      <c r="F8" s="11">
        <f t="shared" ca="1" si="4"/>
        <v>0</v>
      </c>
      <c r="G8" s="11">
        <f t="shared" ref="G8:G35" ca="1" si="5">VLOOKUP(C8,Previous,3,FALSE)</f>
        <v>396</v>
      </c>
      <c r="L8" s="3"/>
      <c r="N8" s="16">
        <v>44262</v>
      </c>
      <c r="O8">
        <v>62907</v>
      </c>
      <c r="P8">
        <v>396</v>
      </c>
      <c r="Q8" s="16">
        <v>44262</v>
      </c>
      <c r="R8">
        <v>62907</v>
      </c>
      <c r="S8">
        <v>396</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v>44235</v>
      </c>
      <c r="NZ8">
        <v>48849</v>
      </c>
      <c r="OA8">
        <v>459</v>
      </c>
      <c r="OB8" s="16">
        <v>44236</v>
      </c>
      <c r="OC8">
        <v>49221</v>
      </c>
      <c r="OD8">
        <v>371</v>
      </c>
      <c r="OE8" s="16">
        <v>44237</v>
      </c>
      <c r="OF8">
        <v>49603</v>
      </c>
      <c r="OG8">
        <v>382</v>
      </c>
      <c r="OH8" s="16">
        <v>44238</v>
      </c>
      <c r="OI8">
        <v>49960</v>
      </c>
      <c r="OJ8">
        <v>357</v>
      </c>
      <c r="OK8" s="16">
        <v>44239</v>
      </c>
      <c r="OL8">
        <v>50378</v>
      </c>
      <c r="OM8">
        <v>418</v>
      </c>
      <c r="ON8" s="16">
        <v>44240</v>
      </c>
      <c r="OO8">
        <v>50654</v>
      </c>
      <c r="OP8">
        <v>277</v>
      </c>
      <c r="OQ8" s="16">
        <v>44241</v>
      </c>
      <c r="OR8">
        <v>50935</v>
      </c>
      <c r="OS8">
        <v>281</v>
      </c>
      <c r="OT8" s="16">
        <v>44242</v>
      </c>
      <c r="OU8">
        <v>51552</v>
      </c>
      <c r="OV8">
        <v>616</v>
      </c>
      <c r="OW8" s="16">
        <v>44243</v>
      </c>
      <c r="OX8">
        <v>52064</v>
      </c>
      <c r="OY8">
        <v>513</v>
      </c>
      <c r="OZ8" s="16">
        <v>44244</v>
      </c>
      <c r="PA8">
        <v>52616</v>
      </c>
      <c r="PB8">
        <v>550</v>
      </c>
      <c r="PC8" s="16">
        <v>44245</v>
      </c>
      <c r="PD8">
        <v>53226</v>
      </c>
      <c r="PE8">
        <v>611</v>
      </c>
      <c r="PF8" s="16">
        <v>44246</v>
      </c>
      <c r="PG8">
        <v>53799</v>
      </c>
      <c r="PH8">
        <v>573</v>
      </c>
      <c r="PI8" s="16">
        <v>44247</v>
      </c>
      <c r="PJ8">
        <v>54120</v>
      </c>
      <c r="PK8">
        <v>319</v>
      </c>
      <c r="PL8" s="16">
        <v>44248</v>
      </c>
      <c r="PM8">
        <v>54474</v>
      </c>
      <c r="PN8">
        <v>355</v>
      </c>
      <c r="PO8" s="16">
        <v>44249</v>
      </c>
      <c r="PP8">
        <v>55098</v>
      </c>
      <c r="PQ8">
        <v>624</v>
      </c>
      <c r="PR8" s="16">
        <v>44250</v>
      </c>
      <c r="PS8">
        <v>55723</v>
      </c>
      <c r="PT8">
        <v>625</v>
      </c>
      <c r="PU8" s="16">
        <v>44251</v>
      </c>
      <c r="PV8">
        <v>56321</v>
      </c>
      <c r="PW8">
        <v>599</v>
      </c>
      <c r="PX8" s="16">
        <v>44252</v>
      </c>
      <c r="PY8">
        <v>56938</v>
      </c>
      <c r="PZ8">
        <v>618</v>
      </c>
      <c r="QA8" s="16">
        <v>44253</v>
      </c>
      <c r="QB8">
        <v>57631</v>
      </c>
      <c r="QC8">
        <v>691</v>
      </c>
      <c r="QD8" s="16">
        <v>44254</v>
      </c>
      <c r="QE8">
        <v>58034</v>
      </c>
      <c r="QF8">
        <v>400</v>
      </c>
      <c r="QG8" s="16">
        <v>44255</v>
      </c>
      <c r="QH8">
        <v>58453</v>
      </c>
      <c r="QI8">
        <v>418</v>
      </c>
      <c r="QJ8" s="16">
        <v>44256</v>
      </c>
      <c r="QK8">
        <v>59326</v>
      </c>
      <c r="QL8">
        <v>870</v>
      </c>
      <c r="QM8" s="16">
        <v>44257</v>
      </c>
      <c r="QN8">
        <v>60083</v>
      </c>
      <c r="QO8">
        <v>757</v>
      </c>
      <c r="QP8" s="16">
        <v>44258</v>
      </c>
      <c r="QQ8">
        <v>60814</v>
      </c>
      <c r="QR8">
        <v>731</v>
      </c>
      <c r="QS8" s="16">
        <v>44259</v>
      </c>
      <c r="QT8">
        <v>61454</v>
      </c>
      <c r="QU8">
        <v>639</v>
      </c>
      <c r="QV8" s="16">
        <v>44260</v>
      </c>
      <c r="QW8">
        <v>62083</v>
      </c>
      <c r="QX8">
        <v>629</v>
      </c>
      <c r="QY8" s="16">
        <v>44261</v>
      </c>
      <c r="QZ8">
        <v>62510</v>
      </c>
      <c r="RA8">
        <v>431</v>
      </c>
      <c r="RB8" s="16">
        <v>44262</v>
      </c>
      <c r="RC8">
        <v>62907</v>
      </c>
      <c r="RD8">
        <v>396</v>
      </c>
      <c r="RE8" s="16"/>
      <c r="RH8" s="16"/>
      <c r="RK8" s="16"/>
      <c r="RN8" s="16"/>
      <c r="RQ8" s="16"/>
    </row>
    <row r="9" spans="1:485">
      <c r="B9" t="str">
        <f t="shared" ca="1" si="2"/>
        <v>Ma 8</v>
      </c>
      <c r="C9" s="4">
        <f t="shared" ca="1" si="0"/>
        <v>44263</v>
      </c>
      <c r="D9" s="11">
        <f t="shared" ca="1" si="1"/>
        <v>63739</v>
      </c>
      <c r="E9">
        <f t="shared" ca="1" si="3"/>
        <v>833</v>
      </c>
      <c r="F9" s="11">
        <f t="shared" ca="1" si="4"/>
        <v>0</v>
      </c>
      <c r="G9" s="11">
        <f t="shared" ca="1" si="5"/>
        <v>833</v>
      </c>
      <c r="L9" s="3"/>
      <c r="N9" s="16">
        <v>44263</v>
      </c>
      <c r="O9">
        <v>63740</v>
      </c>
      <c r="P9">
        <v>833</v>
      </c>
      <c r="Q9" s="16">
        <v>44263</v>
      </c>
      <c r="R9">
        <v>63740</v>
      </c>
      <c r="S9">
        <v>833</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v>44236</v>
      </c>
      <c r="NZ9">
        <v>49220</v>
      </c>
      <c r="OA9">
        <v>371</v>
      </c>
      <c r="OB9" s="16">
        <v>44237</v>
      </c>
      <c r="OC9">
        <v>49603</v>
      </c>
      <c r="OD9">
        <v>382</v>
      </c>
      <c r="OE9" s="16">
        <v>44238</v>
      </c>
      <c r="OF9">
        <v>49961</v>
      </c>
      <c r="OG9">
        <v>358</v>
      </c>
      <c r="OH9" s="16">
        <v>44239</v>
      </c>
      <c r="OI9">
        <v>50377</v>
      </c>
      <c r="OJ9">
        <v>417</v>
      </c>
      <c r="OK9" s="16">
        <v>44240</v>
      </c>
      <c r="OL9">
        <v>50655</v>
      </c>
      <c r="OM9">
        <v>277</v>
      </c>
      <c r="ON9" s="16">
        <v>44241</v>
      </c>
      <c r="OO9">
        <v>50935</v>
      </c>
      <c r="OP9">
        <v>281</v>
      </c>
      <c r="OQ9" s="16">
        <v>44242</v>
      </c>
      <c r="OR9">
        <v>51551</v>
      </c>
      <c r="OS9">
        <v>616</v>
      </c>
      <c r="OT9" s="16">
        <v>44243</v>
      </c>
      <c r="OU9">
        <v>52065</v>
      </c>
      <c r="OV9">
        <v>513</v>
      </c>
      <c r="OW9" s="16">
        <v>44244</v>
      </c>
      <c r="OX9">
        <v>52614</v>
      </c>
      <c r="OY9">
        <v>550</v>
      </c>
      <c r="OZ9" s="16">
        <v>44245</v>
      </c>
      <c r="PA9">
        <v>53227</v>
      </c>
      <c r="PB9">
        <v>611</v>
      </c>
      <c r="PC9" s="16">
        <v>44246</v>
      </c>
      <c r="PD9">
        <v>53799</v>
      </c>
      <c r="PE9">
        <v>573</v>
      </c>
      <c r="PF9" s="16">
        <v>44247</v>
      </c>
      <c r="PG9">
        <v>54116</v>
      </c>
      <c r="PH9">
        <v>317</v>
      </c>
      <c r="PI9" s="16">
        <v>44248</v>
      </c>
      <c r="PJ9">
        <v>54475</v>
      </c>
      <c r="PK9">
        <v>355</v>
      </c>
      <c r="PL9" s="16">
        <v>44249</v>
      </c>
      <c r="PM9">
        <v>55097</v>
      </c>
      <c r="PN9">
        <v>623</v>
      </c>
      <c r="PO9" s="16">
        <v>44250</v>
      </c>
      <c r="PP9">
        <v>55723</v>
      </c>
      <c r="PQ9">
        <v>625</v>
      </c>
      <c r="PR9" s="16">
        <v>44251</v>
      </c>
      <c r="PS9">
        <v>56322</v>
      </c>
      <c r="PT9">
        <v>599</v>
      </c>
      <c r="PU9" s="16">
        <v>44252</v>
      </c>
      <c r="PV9">
        <v>56939</v>
      </c>
      <c r="PW9">
        <v>618</v>
      </c>
      <c r="PX9" s="16">
        <v>44253</v>
      </c>
      <c r="PY9">
        <v>57629</v>
      </c>
      <c r="PZ9">
        <v>691</v>
      </c>
      <c r="QA9" s="16">
        <v>44254</v>
      </c>
      <c r="QB9">
        <v>58031</v>
      </c>
      <c r="QC9">
        <v>400</v>
      </c>
      <c r="QD9" s="16">
        <v>44255</v>
      </c>
      <c r="QE9">
        <v>58453</v>
      </c>
      <c r="QF9">
        <v>419</v>
      </c>
      <c r="QG9" s="16">
        <v>44256</v>
      </c>
      <c r="QH9">
        <v>59322</v>
      </c>
      <c r="QI9">
        <v>869</v>
      </c>
      <c r="QJ9" s="16">
        <v>44257</v>
      </c>
      <c r="QK9">
        <v>60083</v>
      </c>
      <c r="QL9">
        <v>757</v>
      </c>
      <c r="QM9" s="16">
        <v>44258</v>
      </c>
      <c r="QN9">
        <v>60814</v>
      </c>
      <c r="QO9">
        <v>731</v>
      </c>
      <c r="QP9" s="16">
        <v>44259</v>
      </c>
      <c r="QQ9">
        <v>61453</v>
      </c>
      <c r="QR9">
        <v>639</v>
      </c>
      <c r="QS9" s="16">
        <v>44260</v>
      </c>
      <c r="QT9">
        <v>62083</v>
      </c>
      <c r="QU9">
        <v>629</v>
      </c>
      <c r="QV9" s="16">
        <v>44261</v>
      </c>
      <c r="QW9">
        <v>62514</v>
      </c>
      <c r="QX9">
        <v>431</v>
      </c>
      <c r="QY9" s="16">
        <v>44262</v>
      </c>
      <c r="QZ9">
        <v>62906</v>
      </c>
      <c r="RA9">
        <v>396</v>
      </c>
      <c r="RB9" s="16">
        <v>44263</v>
      </c>
      <c r="RC9">
        <v>63740</v>
      </c>
      <c r="RD9">
        <v>833</v>
      </c>
      <c r="RE9" s="16"/>
      <c r="RH9" s="16"/>
      <c r="RK9" s="16"/>
      <c r="RN9" s="16"/>
      <c r="RQ9" s="16"/>
    </row>
    <row r="10" spans="1:485">
      <c r="B10" t="str">
        <f t="shared" ca="1" si="2"/>
        <v>9.3</v>
      </c>
      <c r="C10" s="4">
        <f t="shared" ca="1" si="0"/>
        <v>44264</v>
      </c>
      <c r="D10" s="11">
        <f t="shared" ca="1" si="1"/>
        <v>64513</v>
      </c>
      <c r="E10">
        <f t="shared" ca="1" si="3"/>
        <v>774</v>
      </c>
      <c r="F10" s="11">
        <f t="shared" ca="1" si="4"/>
        <v>0</v>
      </c>
      <c r="G10" s="11">
        <f t="shared" ca="1" si="5"/>
        <v>774</v>
      </c>
      <c r="L10" s="10"/>
      <c r="N10" s="16">
        <v>44264</v>
      </c>
      <c r="O10">
        <v>64514</v>
      </c>
      <c r="P10">
        <v>774</v>
      </c>
      <c r="Q10" s="16">
        <v>44264</v>
      </c>
      <c r="R10">
        <v>64514</v>
      </c>
      <c r="S10">
        <v>774</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v>44237</v>
      </c>
      <c r="NZ10">
        <v>49602</v>
      </c>
      <c r="OA10">
        <v>382</v>
      </c>
      <c r="OB10" s="16">
        <v>44238</v>
      </c>
      <c r="OC10">
        <v>49961</v>
      </c>
      <c r="OD10">
        <v>358</v>
      </c>
      <c r="OE10" s="16">
        <v>44239</v>
      </c>
      <c r="OF10">
        <v>50378</v>
      </c>
      <c r="OG10">
        <v>417</v>
      </c>
      <c r="OH10" s="16">
        <v>44240</v>
      </c>
      <c r="OI10">
        <v>50654</v>
      </c>
      <c r="OJ10">
        <v>277</v>
      </c>
      <c r="OK10" s="16">
        <v>44241</v>
      </c>
      <c r="OL10">
        <v>50936</v>
      </c>
      <c r="OM10">
        <v>281</v>
      </c>
      <c r="ON10" s="16">
        <v>44242</v>
      </c>
      <c r="OO10">
        <v>51551</v>
      </c>
      <c r="OP10">
        <v>616</v>
      </c>
      <c r="OQ10" s="16">
        <v>44243</v>
      </c>
      <c r="OR10">
        <v>52064</v>
      </c>
      <c r="OS10">
        <v>513</v>
      </c>
      <c r="OT10" s="16">
        <v>44244</v>
      </c>
      <c r="OU10">
        <v>52615</v>
      </c>
      <c r="OV10">
        <v>550</v>
      </c>
      <c r="OW10" s="16">
        <v>44245</v>
      </c>
      <c r="OX10">
        <v>53225</v>
      </c>
      <c r="OY10">
        <v>611</v>
      </c>
      <c r="OZ10" s="16">
        <v>44246</v>
      </c>
      <c r="PA10">
        <v>53798</v>
      </c>
      <c r="PB10">
        <v>571</v>
      </c>
      <c r="PC10" s="16">
        <v>44247</v>
      </c>
      <c r="PD10">
        <v>54116</v>
      </c>
      <c r="PE10">
        <v>317</v>
      </c>
      <c r="PF10" s="16">
        <v>44248</v>
      </c>
      <c r="PG10">
        <v>54471</v>
      </c>
      <c r="PH10">
        <v>355</v>
      </c>
      <c r="PI10" s="16">
        <v>44249</v>
      </c>
      <c r="PJ10">
        <v>55098</v>
      </c>
      <c r="PK10">
        <v>623</v>
      </c>
      <c r="PL10" s="16">
        <v>44250</v>
      </c>
      <c r="PM10">
        <v>55722</v>
      </c>
      <c r="PN10">
        <v>625</v>
      </c>
      <c r="PO10" s="16">
        <v>44251</v>
      </c>
      <c r="PP10">
        <v>56322</v>
      </c>
      <c r="PQ10">
        <v>599</v>
      </c>
      <c r="PR10" s="16">
        <v>44252</v>
      </c>
      <c r="PS10">
        <v>56940</v>
      </c>
      <c r="PT10">
        <v>618</v>
      </c>
      <c r="PU10" s="16">
        <v>44253</v>
      </c>
      <c r="PV10">
        <v>57629</v>
      </c>
      <c r="PW10">
        <v>690</v>
      </c>
      <c r="PX10" s="16">
        <v>44254</v>
      </c>
      <c r="PY10">
        <v>58029</v>
      </c>
      <c r="PZ10">
        <v>400</v>
      </c>
      <c r="QA10" s="16">
        <v>44255</v>
      </c>
      <c r="QB10">
        <v>58450</v>
      </c>
      <c r="QC10">
        <v>419</v>
      </c>
      <c r="QD10" s="16">
        <v>44256</v>
      </c>
      <c r="QE10">
        <v>59322</v>
      </c>
      <c r="QF10">
        <v>869</v>
      </c>
      <c r="QG10" s="16">
        <v>44257</v>
      </c>
      <c r="QH10">
        <v>60080</v>
      </c>
      <c r="QI10">
        <v>758</v>
      </c>
      <c r="QJ10" s="16">
        <v>44258</v>
      </c>
      <c r="QK10">
        <v>60814</v>
      </c>
      <c r="QL10">
        <v>731</v>
      </c>
      <c r="QM10" s="16">
        <v>44259</v>
      </c>
      <c r="QN10">
        <v>61453</v>
      </c>
      <c r="QO10">
        <v>639</v>
      </c>
      <c r="QP10" s="16">
        <v>44260</v>
      </c>
      <c r="QQ10">
        <v>62081</v>
      </c>
      <c r="QR10">
        <v>628</v>
      </c>
      <c r="QS10" s="16">
        <v>44261</v>
      </c>
      <c r="QT10">
        <v>62514</v>
      </c>
      <c r="QU10">
        <v>431</v>
      </c>
      <c r="QV10" s="16">
        <v>44262</v>
      </c>
      <c r="QW10">
        <v>62910</v>
      </c>
      <c r="QX10">
        <v>396</v>
      </c>
      <c r="QY10" s="16">
        <v>44263</v>
      </c>
      <c r="QZ10">
        <v>63737</v>
      </c>
      <c r="RA10">
        <v>831</v>
      </c>
      <c r="RB10" s="16">
        <v>44264</v>
      </c>
      <c r="RC10">
        <v>64514</v>
      </c>
      <c r="RD10">
        <v>774</v>
      </c>
      <c r="RE10" s="16"/>
      <c r="RH10" s="16"/>
      <c r="RK10" s="16"/>
      <c r="RN10" s="16"/>
      <c r="RQ10" s="16"/>
    </row>
    <row r="11" spans="1:485">
      <c r="B11" t="str">
        <f t="shared" ca="1" si="2"/>
        <v>10.3</v>
      </c>
      <c r="C11" s="4">
        <f t="shared" ca="1" si="0"/>
        <v>44265</v>
      </c>
      <c r="D11" s="11">
        <f t="shared" ca="1" si="1"/>
        <v>65330</v>
      </c>
      <c r="E11">
        <f t="shared" ca="1" si="3"/>
        <v>817</v>
      </c>
      <c r="F11" s="11">
        <f t="shared" ca="1" si="4"/>
        <v>0</v>
      </c>
      <c r="G11" s="11">
        <f t="shared" ca="1" si="5"/>
        <v>817</v>
      </c>
      <c r="K11" s="10">
        <f ca="1">SUM(E11:E17)</f>
        <v>4985</v>
      </c>
      <c r="L11" s="3"/>
      <c r="N11" s="16">
        <v>44265</v>
      </c>
      <c r="O11">
        <v>65331</v>
      </c>
      <c r="P11">
        <v>817</v>
      </c>
      <c r="Q11" s="16">
        <v>44265</v>
      </c>
      <c r="R11">
        <v>65331</v>
      </c>
      <c r="S11">
        <v>817</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v>44238</v>
      </c>
      <c r="NZ11">
        <v>49960</v>
      </c>
      <c r="OA11">
        <v>358</v>
      </c>
      <c r="OB11" s="16">
        <v>44239</v>
      </c>
      <c r="OC11">
        <v>50378</v>
      </c>
      <c r="OD11">
        <v>417</v>
      </c>
      <c r="OE11" s="16">
        <v>44240</v>
      </c>
      <c r="OF11">
        <v>50654</v>
      </c>
      <c r="OG11">
        <v>276</v>
      </c>
      <c r="OH11" s="16">
        <v>44241</v>
      </c>
      <c r="OI11">
        <v>50935</v>
      </c>
      <c r="OJ11">
        <v>281</v>
      </c>
      <c r="OK11" s="16">
        <v>44242</v>
      </c>
      <c r="OL11">
        <v>51551</v>
      </c>
      <c r="OM11">
        <v>615</v>
      </c>
      <c r="ON11" s="16">
        <v>44243</v>
      </c>
      <c r="OO11">
        <v>52064</v>
      </c>
      <c r="OP11">
        <v>513</v>
      </c>
      <c r="OQ11" s="16">
        <v>44244</v>
      </c>
      <c r="OR11">
        <v>52614</v>
      </c>
      <c r="OS11">
        <v>550</v>
      </c>
      <c r="OT11" s="16">
        <v>44245</v>
      </c>
      <c r="OU11">
        <v>53226</v>
      </c>
      <c r="OV11">
        <v>611</v>
      </c>
      <c r="OW11" s="16">
        <v>44246</v>
      </c>
      <c r="OX11">
        <v>53796</v>
      </c>
      <c r="OY11">
        <v>571</v>
      </c>
      <c r="OZ11" s="16">
        <v>44247</v>
      </c>
      <c r="PA11">
        <v>54115</v>
      </c>
      <c r="PB11">
        <v>317</v>
      </c>
      <c r="PC11" s="16">
        <v>44248</v>
      </c>
      <c r="PD11">
        <v>54471</v>
      </c>
      <c r="PE11">
        <v>355</v>
      </c>
      <c r="PF11" s="16">
        <v>44249</v>
      </c>
      <c r="PG11">
        <v>55094</v>
      </c>
      <c r="PH11">
        <v>623</v>
      </c>
      <c r="PI11" s="16">
        <v>44250</v>
      </c>
      <c r="PJ11">
        <v>55723</v>
      </c>
      <c r="PK11">
        <v>625</v>
      </c>
      <c r="PL11" s="16">
        <v>44251</v>
      </c>
      <c r="PM11">
        <v>56321</v>
      </c>
      <c r="PN11">
        <v>599</v>
      </c>
      <c r="PO11" s="16">
        <v>44252</v>
      </c>
      <c r="PP11">
        <v>56940</v>
      </c>
      <c r="PQ11">
        <v>618</v>
      </c>
      <c r="PR11" s="16">
        <v>44253</v>
      </c>
      <c r="PS11">
        <v>57630</v>
      </c>
      <c r="PT11">
        <v>690</v>
      </c>
      <c r="PU11" s="16">
        <v>44254</v>
      </c>
      <c r="PV11">
        <v>58029</v>
      </c>
      <c r="PW11">
        <v>400</v>
      </c>
      <c r="PX11" s="16">
        <v>44255</v>
      </c>
      <c r="PY11">
        <v>58448</v>
      </c>
      <c r="PZ11">
        <v>419</v>
      </c>
      <c r="QA11" s="16">
        <v>44256</v>
      </c>
      <c r="QB11">
        <v>59320</v>
      </c>
      <c r="QC11">
        <v>870</v>
      </c>
      <c r="QD11" s="16">
        <v>44257</v>
      </c>
      <c r="QE11">
        <v>60080</v>
      </c>
      <c r="QF11">
        <v>758</v>
      </c>
      <c r="QG11" s="16">
        <v>44258</v>
      </c>
      <c r="QH11">
        <v>60811</v>
      </c>
      <c r="QI11">
        <v>731</v>
      </c>
      <c r="QJ11" s="16">
        <v>44259</v>
      </c>
      <c r="QK11">
        <v>61453</v>
      </c>
      <c r="QL11">
        <v>639</v>
      </c>
      <c r="QM11" s="16">
        <v>44260</v>
      </c>
      <c r="QN11">
        <v>62081</v>
      </c>
      <c r="QO11">
        <v>628</v>
      </c>
      <c r="QP11" s="16">
        <v>44261</v>
      </c>
      <c r="QQ11">
        <v>62513</v>
      </c>
      <c r="QR11">
        <v>432</v>
      </c>
      <c r="QS11" s="16">
        <v>44262</v>
      </c>
      <c r="QT11">
        <v>62910</v>
      </c>
      <c r="QU11">
        <v>396</v>
      </c>
      <c r="QV11" s="16">
        <v>44263</v>
      </c>
      <c r="QW11">
        <v>63743</v>
      </c>
      <c r="QX11">
        <v>833</v>
      </c>
      <c r="QY11" s="16">
        <v>44264</v>
      </c>
      <c r="QZ11">
        <v>64511</v>
      </c>
      <c r="RA11">
        <v>774</v>
      </c>
      <c r="RB11" s="16">
        <v>44265</v>
      </c>
      <c r="RC11">
        <v>65331</v>
      </c>
      <c r="RD11">
        <v>817</v>
      </c>
      <c r="RE11" s="16"/>
      <c r="RH11" s="16"/>
      <c r="RK11" s="16"/>
      <c r="RN11" s="16"/>
      <c r="RQ11" s="16"/>
    </row>
    <row r="12" spans="1:485">
      <c r="B12" t="str">
        <f t="shared" ca="1" si="2"/>
        <v>11.3</v>
      </c>
      <c r="C12" s="4">
        <f t="shared" ca="1" si="0"/>
        <v>44266</v>
      </c>
      <c r="D12" s="11">
        <f t="shared" ca="1" si="1"/>
        <v>66105</v>
      </c>
      <c r="E12">
        <f t="shared" ca="1" si="3"/>
        <v>775</v>
      </c>
      <c r="F12" s="11">
        <f t="shared" ca="1" si="4"/>
        <v>0</v>
      </c>
      <c r="G12" s="11">
        <f t="shared" ca="1" si="5"/>
        <v>775</v>
      </c>
      <c r="L12" s="3"/>
      <c r="N12" s="16">
        <v>44266</v>
      </c>
      <c r="O12">
        <v>66106</v>
      </c>
      <c r="P12">
        <v>775</v>
      </c>
      <c r="Q12" s="16">
        <v>44266</v>
      </c>
      <c r="R12">
        <v>66106</v>
      </c>
      <c r="S12">
        <v>775</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v>44239</v>
      </c>
      <c r="NZ12">
        <v>50377</v>
      </c>
      <c r="OA12">
        <v>417</v>
      </c>
      <c r="OB12" s="16">
        <v>44240</v>
      </c>
      <c r="OC12">
        <v>50654</v>
      </c>
      <c r="OD12">
        <v>276</v>
      </c>
      <c r="OE12" s="16">
        <v>44241</v>
      </c>
      <c r="OF12">
        <v>50935</v>
      </c>
      <c r="OG12">
        <v>281</v>
      </c>
      <c r="OH12" s="16">
        <v>44242</v>
      </c>
      <c r="OI12">
        <v>51550</v>
      </c>
      <c r="OJ12">
        <v>615</v>
      </c>
      <c r="OK12" s="16">
        <v>44243</v>
      </c>
      <c r="OL12">
        <v>52065</v>
      </c>
      <c r="OM12">
        <v>514</v>
      </c>
      <c r="ON12" s="16">
        <v>44244</v>
      </c>
      <c r="OO12">
        <v>52613</v>
      </c>
      <c r="OP12">
        <v>549</v>
      </c>
      <c r="OQ12" s="16">
        <v>44245</v>
      </c>
      <c r="OR12">
        <v>53225</v>
      </c>
      <c r="OS12">
        <v>611</v>
      </c>
      <c r="OT12" s="16">
        <v>44246</v>
      </c>
      <c r="OU12">
        <v>53797</v>
      </c>
      <c r="OV12">
        <v>571</v>
      </c>
      <c r="OW12" s="16">
        <v>44247</v>
      </c>
      <c r="OX12">
        <v>54114</v>
      </c>
      <c r="OY12">
        <v>318</v>
      </c>
      <c r="OZ12" s="16">
        <v>44248</v>
      </c>
      <c r="PA12">
        <v>54470</v>
      </c>
      <c r="PB12">
        <v>355</v>
      </c>
      <c r="PC12" s="16">
        <v>44249</v>
      </c>
      <c r="PD12">
        <v>55094</v>
      </c>
      <c r="PE12">
        <v>623</v>
      </c>
      <c r="PF12" s="16">
        <v>44250</v>
      </c>
      <c r="PG12">
        <v>55719</v>
      </c>
      <c r="PH12">
        <v>625</v>
      </c>
      <c r="PI12" s="16">
        <v>44251</v>
      </c>
      <c r="PJ12">
        <v>56322</v>
      </c>
      <c r="PK12">
        <v>599</v>
      </c>
      <c r="PL12" s="16">
        <v>44252</v>
      </c>
      <c r="PM12">
        <v>56939</v>
      </c>
      <c r="PN12">
        <v>618</v>
      </c>
      <c r="PO12" s="16">
        <v>44253</v>
      </c>
      <c r="PP12">
        <v>57630</v>
      </c>
      <c r="PQ12">
        <v>690</v>
      </c>
      <c r="PR12" s="16">
        <v>44254</v>
      </c>
      <c r="PS12">
        <v>58030</v>
      </c>
      <c r="PT12">
        <v>400</v>
      </c>
      <c r="PU12" s="16">
        <v>44255</v>
      </c>
      <c r="PV12">
        <v>58449</v>
      </c>
      <c r="PW12">
        <v>420</v>
      </c>
      <c r="PX12" s="16">
        <v>44256</v>
      </c>
      <c r="PY12">
        <v>59316</v>
      </c>
      <c r="PZ12">
        <v>868</v>
      </c>
      <c r="QA12" s="16">
        <v>44257</v>
      </c>
      <c r="QB12">
        <v>60078</v>
      </c>
      <c r="QC12">
        <v>758</v>
      </c>
      <c r="QD12" s="16">
        <v>44258</v>
      </c>
      <c r="QE12">
        <v>60811</v>
      </c>
      <c r="QF12">
        <v>731</v>
      </c>
      <c r="QG12" s="16">
        <v>44259</v>
      </c>
      <c r="QH12">
        <v>61449</v>
      </c>
      <c r="QI12">
        <v>638</v>
      </c>
      <c r="QJ12" s="16">
        <v>44260</v>
      </c>
      <c r="QK12">
        <v>62081</v>
      </c>
      <c r="QL12">
        <v>628</v>
      </c>
      <c r="QM12" s="16">
        <v>44261</v>
      </c>
      <c r="QN12">
        <v>62513</v>
      </c>
      <c r="QO12">
        <v>432</v>
      </c>
      <c r="QP12" s="16">
        <v>44262</v>
      </c>
      <c r="QQ12">
        <v>62909</v>
      </c>
      <c r="QR12">
        <v>396</v>
      </c>
      <c r="QS12" s="16">
        <v>44263</v>
      </c>
      <c r="QT12">
        <v>63743</v>
      </c>
      <c r="QU12">
        <v>833</v>
      </c>
      <c r="QV12" s="16">
        <v>44264</v>
      </c>
      <c r="QW12">
        <v>64516</v>
      </c>
      <c r="QX12">
        <v>773</v>
      </c>
      <c r="QY12" s="16">
        <v>44265</v>
      </c>
      <c r="QZ12">
        <v>65328</v>
      </c>
      <c r="RA12">
        <v>817</v>
      </c>
      <c r="RB12" s="16">
        <v>44266</v>
      </c>
      <c r="RC12">
        <v>66106</v>
      </c>
      <c r="RD12">
        <v>775</v>
      </c>
      <c r="RE12" s="16"/>
      <c r="RH12" s="16"/>
      <c r="RK12" s="16"/>
      <c r="RN12" s="16"/>
      <c r="RQ12" s="16"/>
    </row>
    <row r="13" spans="1:485">
      <c r="B13" t="str">
        <f t="shared" ca="1" si="2"/>
        <v>12.3</v>
      </c>
      <c r="C13" s="4">
        <f t="shared" ca="1" si="0"/>
        <v>44267</v>
      </c>
      <c r="D13" s="11">
        <f t="shared" ca="1" si="1"/>
        <v>66917</v>
      </c>
      <c r="E13">
        <f t="shared" ca="1" si="3"/>
        <v>812</v>
      </c>
      <c r="F13" s="11">
        <f t="shared" ca="1" si="4"/>
        <v>-2</v>
      </c>
      <c r="G13" s="11">
        <f t="shared" ca="1" si="5"/>
        <v>814</v>
      </c>
      <c r="H13" s="10"/>
      <c r="L13" s="3"/>
      <c r="N13" s="16">
        <v>44267</v>
      </c>
      <c r="O13">
        <v>66920</v>
      </c>
      <c r="P13" s="10">
        <v>814</v>
      </c>
      <c r="Q13" s="16">
        <v>44267</v>
      </c>
      <c r="R13">
        <v>66920</v>
      </c>
      <c r="S13">
        <v>814</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v>44240</v>
      </c>
      <c r="NZ13">
        <v>50653</v>
      </c>
      <c r="OA13">
        <v>276</v>
      </c>
      <c r="OB13" s="16">
        <v>44241</v>
      </c>
      <c r="OC13">
        <v>50935</v>
      </c>
      <c r="OD13">
        <v>281</v>
      </c>
      <c r="OE13" s="16">
        <v>44242</v>
      </c>
      <c r="OF13">
        <v>51552</v>
      </c>
      <c r="OG13">
        <v>617</v>
      </c>
      <c r="OH13" s="16">
        <v>44243</v>
      </c>
      <c r="OI13">
        <v>52064</v>
      </c>
      <c r="OJ13">
        <v>514</v>
      </c>
      <c r="OK13" s="16">
        <v>44244</v>
      </c>
      <c r="OL13">
        <v>52614</v>
      </c>
      <c r="OM13">
        <v>549</v>
      </c>
      <c r="ON13" s="16">
        <v>44245</v>
      </c>
      <c r="OO13">
        <v>53223</v>
      </c>
      <c r="OP13">
        <v>610</v>
      </c>
      <c r="OQ13" s="16">
        <v>44246</v>
      </c>
      <c r="OR13">
        <v>53797</v>
      </c>
      <c r="OS13">
        <v>572</v>
      </c>
      <c r="OT13" s="16">
        <v>44247</v>
      </c>
      <c r="OU13">
        <v>54115</v>
      </c>
      <c r="OV13">
        <v>318</v>
      </c>
      <c r="OW13" s="16">
        <v>44248</v>
      </c>
      <c r="OX13">
        <v>54469</v>
      </c>
      <c r="OY13">
        <v>355</v>
      </c>
      <c r="OZ13" s="16">
        <v>44249</v>
      </c>
      <c r="PA13">
        <v>55093</v>
      </c>
      <c r="PB13">
        <v>623</v>
      </c>
      <c r="PC13" s="16">
        <v>44250</v>
      </c>
      <c r="PD13">
        <v>55719</v>
      </c>
      <c r="PE13">
        <v>625</v>
      </c>
      <c r="PF13" s="16">
        <v>44251</v>
      </c>
      <c r="PG13">
        <v>56318</v>
      </c>
      <c r="PH13">
        <v>599</v>
      </c>
      <c r="PI13" s="16">
        <v>44252</v>
      </c>
      <c r="PJ13">
        <v>56940</v>
      </c>
      <c r="PK13">
        <v>618</v>
      </c>
      <c r="PL13" s="16">
        <v>44253</v>
      </c>
      <c r="PM13">
        <v>57630</v>
      </c>
      <c r="PN13">
        <v>691</v>
      </c>
      <c r="PO13" s="16">
        <v>44254</v>
      </c>
      <c r="PP13">
        <v>58030</v>
      </c>
      <c r="PQ13">
        <v>400</v>
      </c>
      <c r="PR13" s="16">
        <v>44255</v>
      </c>
      <c r="PS13">
        <v>58450</v>
      </c>
      <c r="PT13">
        <v>420</v>
      </c>
      <c r="PU13" s="16">
        <v>44256</v>
      </c>
      <c r="PV13">
        <v>59318</v>
      </c>
      <c r="PW13">
        <v>869</v>
      </c>
      <c r="PX13" s="16">
        <v>44257</v>
      </c>
      <c r="PY13">
        <v>60073</v>
      </c>
      <c r="PZ13">
        <v>757</v>
      </c>
      <c r="QA13" s="16">
        <v>44258</v>
      </c>
      <c r="QB13">
        <v>60809</v>
      </c>
      <c r="QC13">
        <v>731</v>
      </c>
      <c r="QD13" s="16">
        <v>44259</v>
      </c>
      <c r="QE13">
        <v>61449</v>
      </c>
      <c r="QF13">
        <v>638</v>
      </c>
      <c r="QG13" s="16">
        <v>44260</v>
      </c>
      <c r="QH13">
        <v>62077</v>
      </c>
      <c r="QI13">
        <v>628</v>
      </c>
      <c r="QJ13" s="16">
        <v>44261</v>
      </c>
      <c r="QK13">
        <v>62513</v>
      </c>
      <c r="QL13">
        <v>432</v>
      </c>
      <c r="QM13" s="16">
        <v>44262</v>
      </c>
      <c r="QN13">
        <v>62909</v>
      </c>
      <c r="QO13">
        <v>396</v>
      </c>
      <c r="QP13" s="16">
        <v>44263</v>
      </c>
      <c r="QQ13">
        <v>63744</v>
      </c>
      <c r="QR13">
        <v>835</v>
      </c>
      <c r="QS13" s="16">
        <v>44264</v>
      </c>
      <c r="QT13">
        <v>64516</v>
      </c>
      <c r="QU13">
        <v>773</v>
      </c>
      <c r="QV13" s="16">
        <v>44265</v>
      </c>
      <c r="QW13">
        <v>65333</v>
      </c>
      <c r="QX13">
        <v>817</v>
      </c>
      <c r="QY13" s="16">
        <v>44266</v>
      </c>
      <c r="QZ13">
        <v>66103</v>
      </c>
      <c r="RA13">
        <v>775</v>
      </c>
      <c r="RB13" s="16">
        <v>44267</v>
      </c>
      <c r="RC13">
        <v>66920</v>
      </c>
      <c r="RD13">
        <v>814</v>
      </c>
      <c r="RE13" s="16"/>
      <c r="RH13" s="16"/>
      <c r="RK13" s="16"/>
      <c r="RN13" s="16"/>
      <c r="RQ13" s="16"/>
    </row>
    <row r="14" spans="1:485" s="10" customFormat="1">
      <c r="B14" t="str">
        <f t="shared" ca="1" si="2"/>
        <v>13.3</v>
      </c>
      <c r="C14" s="9">
        <f t="shared" ca="1" si="0"/>
        <v>44268</v>
      </c>
      <c r="D14" s="10">
        <f t="shared" ca="1" si="1"/>
        <v>67409</v>
      </c>
      <c r="E14" s="10">
        <f t="shared" ca="1" si="3"/>
        <v>492</v>
      </c>
      <c r="F14" s="10">
        <f t="shared" ca="1" si="4"/>
        <v>0</v>
      </c>
      <c r="G14" s="10">
        <f t="shared" ca="1" si="5"/>
        <v>492</v>
      </c>
      <c r="H14" s="10">
        <f ca="1">SUM(E14:E20)</f>
        <v>4804</v>
      </c>
      <c r="I14" s="10" t="str">
        <f ca="1">TEXT(H14/H7-1,"0 %")</f>
        <v>-1 %</v>
      </c>
      <c r="L14" s="14"/>
      <c r="M14"/>
      <c r="N14" s="17">
        <v>44268</v>
      </c>
      <c r="O14" s="10">
        <v>67412</v>
      </c>
      <c r="P14">
        <v>492</v>
      </c>
      <c r="Q14" s="17">
        <v>44268</v>
      </c>
      <c r="R14" s="10">
        <v>67412</v>
      </c>
      <c r="S14" s="10">
        <v>492</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v>44241</v>
      </c>
      <c r="NZ14" s="10">
        <v>50934</v>
      </c>
      <c r="OA14" s="10">
        <v>281</v>
      </c>
      <c r="OB14" s="17">
        <v>44242</v>
      </c>
      <c r="OC14" s="10">
        <v>51552</v>
      </c>
      <c r="OD14" s="10">
        <v>617</v>
      </c>
      <c r="OE14" s="17">
        <v>44243</v>
      </c>
      <c r="OF14" s="10">
        <v>52068</v>
      </c>
      <c r="OG14" s="10">
        <v>516</v>
      </c>
      <c r="OH14" s="17">
        <v>44244</v>
      </c>
      <c r="OI14" s="10">
        <v>52613</v>
      </c>
      <c r="OJ14" s="10">
        <v>549</v>
      </c>
      <c r="OK14" s="17">
        <v>44245</v>
      </c>
      <c r="OL14" s="10">
        <v>53223</v>
      </c>
      <c r="OM14" s="10">
        <v>609</v>
      </c>
      <c r="ON14" s="17">
        <v>44246</v>
      </c>
      <c r="OO14" s="10">
        <v>53795</v>
      </c>
      <c r="OP14" s="10">
        <v>572</v>
      </c>
      <c r="OQ14" s="17">
        <v>44247</v>
      </c>
      <c r="OR14" s="10">
        <v>54115</v>
      </c>
      <c r="OS14" s="10">
        <v>318</v>
      </c>
      <c r="OT14" s="17">
        <v>44248</v>
      </c>
      <c r="OU14" s="10">
        <v>54470</v>
      </c>
      <c r="OV14" s="10">
        <v>355</v>
      </c>
      <c r="OW14" s="17">
        <v>44249</v>
      </c>
      <c r="OX14" s="10">
        <v>55092</v>
      </c>
      <c r="OY14" s="10">
        <v>623</v>
      </c>
      <c r="OZ14" s="17">
        <v>44250</v>
      </c>
      <c r="PA14" s="10">
        <v>55717</v>
      </c>
      <c r="PB14" s="10">
        <v>624</v>
      </c>
      <c r="PC14" s="17">
        <v>44251</v>
      </c>
      <c r="PD14" s="10">
        <v>56318</v>
      </c>
      <c r="PE14" s="10">
        <v>599</v>
      </c>
      <c r="PF14" s="17">
        <v>44252</v>
      </c>
      <c r="PG14" s="10">
        <v>56936</v>
      </c>
      <c r="PH14" s="10">
        <v>618</v>
      </c>
      <c r="PI14" s="17">
        <v>44253</v>
      </c>
      <c r="PJ14" s="10">
        <v>57631</v>
      </c>
      <c r="PK14" s="10">
        <v>691</v>
      </c>
      <c r="PL14" s="17">
        <v>44254</v>
      </c>
      <c r="PM14" s="10">
        <v>58030</v>
      </c>
      <c r="PN14" s="10">
        <v>400</v>
      </c>
      <c r="PO14" s="17">
        <v>44255</v>
      </c>
      <c r="PP14" s="10">
        <v>58450</v>
      </c>
      <c r="PQ14" s="10">
        <v>420</v>
      </c>
      <c r="PR14" s="17">
        <v>44256</v>
      </c>
      <c r="PS14" s="10">
        <v>59319</v>
      </c>
      <c r="PT14" s="10">
        <v>869</v>
      </c>
      <c r="PU14" s="17">
        <v>44257</v>
      </c>
      <c r="PV14" s="10">
        <v>60077</v>
      </c>
      <c r="PW14" s="10">
        <v>759</v>
      </c>
      <c r="PX14" s="17">
        <v>44258</v>
      </c>
      <c r="PY14" s="10">
        <v>60805</v>
      </c>
      <c r="PZ14" s="10">
        <v>732</v>
      </c>
      <c r="QA14" s="17">
        <v>44259</v>
      </c>
      <c r="QB14" s="10">
        <v>61447</v>
      </c>
      <c r="QC14" s="10">
        <v>638</v>
      </c>
      <c r="QD14" s="17">
        <v>44260</v>
      </c>
      <c r="QE14" s="10">
        <v>62079</v>
      </c>
      <c r="QF14" s="10">
        <v>630</v>
      </c>
      <c r="QG14" s="17">
        <v>44261</v>
      </c>
      <c r="QH14" s="10">
        <v>62509</v>
      </c>
      <c r="QI14" s="10">
        <v>432</v>
      </c>
      <c r="QJ14" s="17">
        <v>44262</v>
      </c>
      <c r="QK14" s="10">
        <v>62909</v>
      </c>
      <c r="QL14" s="10">
        <v>396</v>
      </c>
      <c r="QM14" s="17">
        <v>44263</v>
      </c>
      <c r="QN14" s="10">
        <v>63744</v>
      </c>
      <c r="QO14" s="10">
        <v>835</v>
      </c>
      <c r="QP14" s="17">
        <v>44264</v>
      </c>
      <c r="QQ14" s="10">
        <v>64517</v>
      </c>
      <c r="QR14" s="10">
        <v>773</v>
      </c>
      <c r="QS14" s="17">
        <v>44265</v>
      </c>
      <c r="QT14" s="10">
        <v>65333</v>
      </c>
      <c r="QU14" s="10">
        <v>817</v>
      </c>
      <c r="QV14" s="17">
        <v>44266</v>
      </c>
      <c r="QW14" s="10">
        <v>66107</v>
      </c>
      <c r="QX14" s="10">
        <v>774</v>
      </c>
      <c r="QY14" s="17">
        <v>44267</v>
      </c>
      <c r="QZ14" s="10">
        <v>66917</v>
      </c>
      <c r="RA14" s="10">
        <v>814</v>
      </c>
      <c r="RB14" s="17">
        <v>44268</v>
      </c>
      <c r="RC14" s="10">
        <v>67412</v>
      </c>
      <c r="RD14" s="10">
        <v>492</v>
      </c>
      <c r="RE14" s="17"/>
      <c r="RH14" s="17"/>
      <c r="RK14" s="17"/>
      <c r="RN14" s="17"/>
      <c r="RQ14" s="17"/>
    </row>
    <row r="15" spans="1:485">
      <c r="B15" t="str">
        <f t="shared" ca="1" si="2"/>
        <v>14.3</v>
      </c>
      <c r="C15" s="4">
        <f t="shared" ca="1" si="0"/>
        <v>44269</v>
      </c>
      <c r="D15" s="11">
        <f t="shared" ca="1" si="1"/>
        <v>67844</v>
      </c>
      <c r="E15">
        <f t="shared" ca="1" si="3"/>
        <v>435</v>
      </c>
      <c r="F15" s="11">
        <f t="shared" ca="1" si="4"/>
        <v>0</v>
      </c>
      <c r="G15" s="11">
        <f t="shared" ca="1" si="5"/>
        <v>435</v>
      </c>
      <c r="L15" s="3"/>
      <c r="N15" s="16">
        <v>44269</v>
      </c>
      <c r="O15">
        <v>67847</v>
      </c>
      <c r="P15">
        <v>435</v>
      </c>
      <c r="Q15" s="16">
        <v>44269</v>
      </c>
      <c r="R15">
        <v>67847</v>
      </c>
      <c r="S15">
        <v>435</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v>44242</v>
      </c>
      <c r="NZ15">
        <v>51548</v>
      </c>
      <c r="OA15">
        <v>614</v>
      </c>
      <c r="OB15" s="16">
        <v>44243</v>
      </c>
      <c r="OC15">
        <v>52067</v>
      </c>
      <c r="OD15">
        <v>515</v>
      </c>
      <c r="OE15" s="16">
        <v>44244</v>
      </c>
      <c r="OF15">
        <v>52617</v>
      </c>
      <c r="OG15">
        <v>549</v>
      </c>
      <c r="OH15" s="16">
        <v>44245</v>
      </c>
      <c r="OI15">
        <v>53222</v>
      </c>
      <c r="OJ15">
        <v>609</v>
      </c>
      <c r="OK15" s="16">
        <v>44246</v>
      </c>
      <c r="OL15">
        <v>53795</v>
      </c>
      <c r="OM15">
        <v>572</v>
      </c>
      <c r="ON15" s="16">
        <v>44247</v>
      </c>
      <c r="OO15">
        <v>54113</v>
      </c>
      <c r="OP15">
        <v>318</v>
      </c>
      <c r="OQ15" s="16">
        <v>44248</v>
      </c>
      <c r="OR15">
        <v>54470</v>
      </c>
      <c r="OS15">
        <v>355</v>
      </c>
      <c r="OT15" s="16">
        <v>44249</v>
      </c>
      <c r="OU15">
        <v>55092</v>
      </c>
      <c r="OV15">
        <v>622</v>
      </c>
      <c r="OW15" s="16">
        <v>44250</v>
      </c>
      <c r="OX15">
        <v>55716</v>
      </c>
      <c r="OY15">
        <v>624</v>
      </c>
      <c r="OZ15" s="16">
        <v>44251</v>
      </c>
      <c r="PA15">
        <v>56316</v>
      </c>
      <c r="PB15">
        <v>599</v>
      </c>
      <c r="PC15" s="16">
        <v>44252</v>
      </c>
      <c r="PD15">
        <v>56936</v>
      </c>
      <c r="PE15">
        <v>618</v>
      </c>
      <c r="PF15" s="16">
        <v>44253</v>
      </c>
      <c r="PG15">
        <v>57626</v>
      </c>
      <c r="PH15">
        <v>690</v>
      </c>
      <c r="PI15" s="16">
        <v>44254</v>
      </c>
      <c r="PJ15">
        <v>58031</v>
      </c>
      <c r="PK15">
        <v>400</v>
      </c>
      <c r="PL15" s="16">
        <v>44255</v>
      </c>
      <c r="PM15">
        <v>58450</v>
      </c>
      <c r="PN15">
        <v>420</v>
      </c>
      <c r="PO15" s="16">
        <v>44256</v>
      </c>
      <c r="PP15">
        <v>59319</v>
      </c>
      <c r="PQ15">
        <v>869</v>
      </c>
      <c r="PR15" s="16">
        <v>44257</v>
      </c>
      <c r="PS15">
        <v>60078</v>
      </c>
      <c r="PT15">
        <v>759</v>
      </c>
      <c r="PU15" s="16">
        <v>44258</v>
      </c>
      <c r="PV15">
        <v>60812</v>
      </c>
      <c r="PW15">
        <v>735</v>
      </c>
      <c r="PX15" s="16">
        <v>44259</v>
      </c>
      <c r="PY15">
        <v>61443</v>
      </c>
      <c r="PZ15">
        <v>638</v>
      </c>
      <c r="QA15" s="16">
        <v>44260</v>
      </c>
      <c r="QB15">
        <v>62077</v>
      </c>
      <c r="QC15">
        <v>630</v>
      </c>
      <c r="QD15" s="16">
        <v>44261</v>
      </c>
      <c r="QE15">
        <v>62511</v>
      </c>
      <c r="QF15">
        <v>432</v>
      </c>
      <c r="QG15" s="16">
        <v>44262</v>
      </c>
      <c r="QH15">
        <v>62905</v>
      </c>
      <c r="QI15">
        <v>396</v>
      </c>
      <c r="QJ15" s="16">
        <v>44263</v>
      </c>
      <c r="QK15">
        <v>63744</v>
      </c>
      <c r="QL15">
        <v>835</v>
      </c>
      <c r="QM15" s="16">
        <v>44264</v>
      </c>
      <c r="QN15">
        <v>64517</v>
      </c>
      <c r="QO15">
        <v>773</v>
      </c>
      <c r="QP15" s="16">
        <v>44265</v>
      </c>
      <c r="QQ15">
        <v>65331</v>
      </c>
      <c r="QR15">
        <v>814</v>
      </c>
      <c r="QS15" s="16">
        <v>44266</v>
      </c>
      <c r="QT15">
        <v>66107</v>
      </c>
      <c r="QU15">
        <v>774</v>
      </c>
      <c r="QV15" s="16">
        <v>44267</v>
      </c>
      <c r="QW15">
        <v>66918</v>
      </c>
      <c r="QX15">
        <v>811</v>
      </c>
      <c r="QY15" s="16">
        <v>44268</v>
      </c>
      <c r="QZ15">
        <v>67410</v>
      </c>
      <c r="RA15">
        <v>493</v>
      </c>
      <c r="RB15" s="16">
        <v>44269</v>
      </c>
      <c r="RC15">
        <v>67847</v>
      </c>
      <c r="RD15">
        <v>435</v>
      </c>
      <c r="RE15" s="16"/>
      <c r="RH15" s="16"/>
      <c r="RK15" s="16"/>
      <c r="RN15" s="16"/>
      <c r="RQ15" s="16"/>
    </row>
    <row r="16" spans="1:485">
      <c r="B16" t="str">
        <f t="shared" ca="1" si="2"/>
        <v>Ma 15</v>
      </c>
      <c r="C16" s="4">
        <f t="shared" ca="1" si="0"/>
        <v>44270</v>
      </c>
      <c r="D16" s="11">
        <f t="shared" ca="1" si="1"/>
        <v>68735</v>
      </c>
      <c r="E16">
        <f t="shared" ca="1" si="3"/>
        <v>891</v>
      </c>
      <c r="F16" s="11">
        <f t="shared" ca="1" si="4"/>
        <v>0</v>
      </c>
      <c r="G16" s="11">
        <f t="shared" ca="1" si="5"/>
        <v>891</v>
      </c>
      <c r="L16" s="3"/>
      <c r="N16" s="16">
        <v>44270</v>
      </c>
      <c r="O16">
        <v>68738</v>
      </c>
      <c r="P16">
        <v>891</v>
      </c>
      <c r="Q16" s="16">
        <v>44270</v>
      </c>
      <c r="R16">
        <v>68738</v>
      </c>
      <c r="S16">
        <v>891</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v>44243</v>
      </c>
      <c r="NZ16">
        <v>52062</v>
      </c>
      <c r="OA16">
        <v>514</v>
      </c>
      <c r="OB16" s="16">
        <v>44244</v>
      </c>
      <c r="OC16">
        <v>52616</v>
      </c>
      <c r="OD16">
        <v>549</v>
      </c>
      <c r="OE16" s="16">
        <v>44245</v>
      </c>
      <c r="OF16">
        <v>53226</v>
      </c>
      <c r="OG16">
        <v>609</v>
      </c>
      <c r="OH16" s="16">
        <v>44246</v>
      </c>
      <c r="OI16">
        <v>53794</v>
      </c>
      <c r="OJ16">
        <v>572</v>
      </c>
      <c r="OK16" s="16">
        <v>44247</v>
      </c>
      <c r="OL16">
        <v>54112</v>
      </c>
      <c r="OM16">
        <v>317</v>
      </c>
      <c r="ON16" s="16">
        <v>44248</v>
      </c>
      <c r="OO16">
        <v>54468</v>
      </c>
      <c r="OP16">
        <v>355</v>
      </c>
      <c r="OQ16" s="16">
        <v>44249</v>
      </c>
      <c r="OR16">
        <v>55092</v>
      </c>
      <c r="OS16">
        <v>622</v>
      </c>
      <c r="OT16" s="16">
        <v>44250</v>
      </c>
      <c r="OU16">
        <v>55716</v>
      </c>
      <c r="OV16">
        <v>624</v>
      </c>
      <c r="OW16" s="16">
        <v>44251</v>
      </c>
      <c r="OX16">
        <v>56315</v>
      </c>
      <c r="OY16">
        <v>599</v>
      </c>
      <c r="OZ16" s="16">
        <v>44252</v>
      </c>
      <c r="PA16">
        <v>56934</v>
      </c>
      <c r="PB16">
        <v>618</v>
      </c>
      <c r="PC16" s="16">
        <v>44253</v>
      </c>
      <c r="PD16">
        <v>57627</v>
      </c>
      <c r="PE16">
        <v>691</v>
      </c>
      <c r="PF16" s="16">
        <v>44254</v>
      </c>
      <c r="PG16">
        <v>58026</v>
      </c>
      <c r="PH16">
        <v>400</v>
      </c>
      <c r="PI16" s="16">
        <v>44255</v>
      </c>
      <c r="PJ16">
        <v>58451</v>
      </c>
      <c r="PK16">
        <v>420</v>
      </c>
      <c r="PL16" s="16">
        <v>44256</v>
      </c>
      <c r="PM16">
        <v>59319</v>
      </c>
      <c r="PN16">
        <v>869</v>
      </c>
      <c r="PO16" s="16">
        <v>44257</v>
      </c>
      <c r="PP16">
        <v>60078</v>
      </c>
      <c r="PQ16">
        <v>759</v>
      </c>
      <c r="PR16" s="16">
        <v>44258</v>
      </c>
      <c r="PS16">
        <v>60813</v>
      </c>
      <c r="PT16">
        <v>735</v>
      </c>
      <c r="PU16" s="16">
        <v>44259</v>
      </c>
      <c r="PV16">
        <v>61448</v>
      </c>
      <c r="PW16">
        <v>636</v>
      </c>
      <c r="PX16" s="16">
        <v>44260</v>
      </c>
      <c r="PY16">
        <v>62073</v>
      </c>
      <c r="PZ16">
        <v>630</v>
      </c>
      <c r="QA16" s="16">
        <v>44261</v>
      </c>
      <c r="QB16">
        <v>62509</v>
      </c>
      <c r="QC16">
        <v>432</v>
      </c>
      <c r="QD16" s="16">
        <v>44262</v>
      </c>
      <c r="QE16">
        <v>62909</v>
      </c>
      <c r="QF16">
        <v>398</v>
      </c>
      <c r="QG16" s="16">
        <v>44263</v>
      </c>
      <c r="QH16">
        <v>63740</v>
      </c>
      <c r="QI16">
        <v>835</v>
      </c>
      <c r="QJ16" s="16">
        <v>44264</v>
      </c>
      <c r="QK16">
        <v>64517</v>
      </c>
      <c r="QL16">
        <v>773</v>
      </c>
      <c r="QM16" s="16">
        <v>44265</v>
      </c>
      <c r="QN16">
        <v>65331</v>
      </c>
      <c r="QO16">
        <v>814</v>
      </c>
      <c r="QP16" s="16">
        <v>44266</v>
      </c>
      <c r="QQ16">
        <v>66105</v>
      </c>
      <c r="QR16">
        <v>774</v>
      </c>
      <c r="QS16" s="16">
        <v>44267</v>
      </c>
      <c r="QT16">
        <v>66918</v>
      </c>
      <c r="QU16">
        <v>811</v>
      </c>
      <c r="QV16" s="16">
        <v>44268</v>
      </c>
      <c r="QW16">
        <v>67411</v>
      </c>
      <c r="QX16">
        <v>493</v>
      </c>
      <c r="QY16" s="16">
        <v>44269</v>
      </c>
      <c r="QZ16">
        <v>67845</v>
      </c>
      <c r="RA16">
        <v>435</v>
      </c>
      <c r="RB16" s="16">
        <v>44270</v>
      </c>
      <c r="RC16">
        <v>68738</v>
      </c>
      <c r="RD16">
        <v>891</v>
      </c>
      <c r="RE16" s="16"/>
      <c r="RH16" s="16"/>
      <c r="RK16" s="16"/>
      <c r="RN16" s="16"/>
      <c r="RQ16" s="16"/>
    </row>
    <row r="17" spans="2:485">
      <c r="B17" t="str">
        <f t="shared" ca="1" si="2"/>
        <v>16.3</v>
      </c>
      <c r="C17" s="4">
        <f t="shared" ca="1" si="0"/>
        <v>44271</v>
      </c>
      <c r="D17" s="11">
        <f t="shared" ca="1" si="1"/>
        <v>69498</v>
      </c>
      <c r="E17">
        <f t="shared" ca="1" si="3"/>
        <v>763</v>
      </c>
      <c r="F17" s="11">
        <f t="shared" ca="1" si="4"/>
        <v>0</v>
      </c>
      <c r="G17" s="11">
        <f t="shared" ca="1" si="5"/>
        <v>763</v>
      </c>
      <c r="N17" s="16">
        <v>44271</v>
      </c>
      <c r="O17">
        <v>69501</v>
      </c>
      <c r="P17">
        <v>763</v>
      </c>
      <c r="Q17" s="16">
        <v>44271</v>
      </c>
      <c r="R17">
        <v>69501</v>
      </c>
      <c r="S17">
        <v>763</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v>44244</v>
      </c>
      <c r="NZ17">
        <v>52610</v>
      </c>
      <c r="OA17">
        <v>548</v>
      </c>
      <c r="OB17" s="16">
        <v>44245</v>
      </c>
      <c r="OC17">
        <v>53225</v>
      </c>
      <c r="OD17">
        <v>609</v>
      </c>
      <c r="OE17" s="16">
        <v>44246</v>
      </c>
      <c r="OF17">
        <v>53798</v>
      </c>
      <c r="OG17">
        <v>572</v>
      </c>
      <c r="OH17" s="16">
        <v>44247</v>
      </c>
      <c r="OI17">
        <v>54111</v>
      </c>
      <c r="OJ17">
        <v>317</v>
      </c>
      <c r="OK17" s="16">
        <v>44248</v>
      </c>
      <c r="OL17">
        <v>54467</v>
      </c>
      <c r="OM17">
        <v>355</v>
      </c>
      <c r="ON17" s="16">
        <v>44249</v>
      </c>
      <c r="OO17">
        <v>55090</v>
      </c>
      <c r="OP17">
        <v>622</v>
      </c>
      <c r="OQ17" s="16">
        <v>44250</v>
      </c>
      <c r="OR17">
        <v>55716</v>
      </c>
      <c r="OS17">
        <v>624</v>
      </c>
      <c r="OT17" s="16">
        <v>44251</v>
      </c>
      <c r="OU17">
        <v>56315</v>
      </c>
      <c r="OV17">
        <v>599</v>
      </c>
      <c r="OW17" s="16">
        <v>44252</v>
      </c>
      <c r="OX17">
        <v>56933</v>
      </c>
      <c r="OY17">
        <v>618</v>
      </c>
      <c r="OZ17" s="16">
        <v>44253</v>
      </c>
      <c r="PA17">
        <v>57625</v>
      </c>
      <c r="PB17">
        <v>691</v>
      </c>
      <c r="PC17" s="16">
        <v>44254</v>
      </c>
      <c r="PD17">
        <v>58027</v>
      </c>
      <c r="PE17">
        <v>400</v>
      </c>
      <c r="PF17" s="16">
        <v>44255</v>
      </c>
      <c r="PG17">
        <v>58446</v>
      </c>
      <c r="PH17">
        <v>420</v>
      </c>
      <c r="PI17" s="16">
        <v>44256</v>
      </c>
      <c r="PJ17">
        <v>59320</v>
      </c>
      <c r="PK17">
        <v>869</v>
      </c>
      <c r="PL17" s="16">
        <v>44257</v>
      </c>
      <c r="PM17">
        <v>60077</v>
      </c>
      <c r="PN17">
        <v>758</v>
      </c>
      <c r="PO17" s="16">
        <v>44258</v>
      </c>
      <c r="PP17">
        <v>60813</v>
      </c>
      <c r="PQ17">
        <v>735</v>
      </c>
      <c r="PR17" s="16">
        <v>44259</v>
      </c>
      <c r="PS17">
        <v>61448</v>
      </c>
      <c r="PT17">
        <v>635</v>
      </c>
      <c r="PU17" s="16">
        <v>44260</v>
      </c>
      <c r="PV17">
        <v>62056</v>
      </c>
      <c r="PW17">
        <v>608</v>
      </c>
      <c r="PX17" s="16">
        <v>44261</v>
      </c>
      <c r="PY17">
        <v>62506</v>
      </c>
      <c r="PZ17">
        <v>433</v>
      </c>
      <c r="QA17" s="16">
        <v>44262</v>
      </c>
      <c r="QB17">
        <v>62907</v>
      </c>
      <c r="QC17">
        <v>398</v>
      </c>
      <c r="QD17" s="16">
        <v>44263</v>
      </c>
      <c r="QE17">
        <v>63742</v>
      </c>
      <c r="QF17">
        <v>833</v>
      </c>
      <c r="QG17" s="16">
        <v>44264</v>
      </c>
      <c r="QH17">
        <v>64513</v>
      </c>
      <c r="QI17">
        <v>773</v>
      </c>
      <c r="QJ17" s="16">
        <v>44265</v>
      </c>
      <c r="QK17">
        <v>65331</v>
      </c>
      <c r="QL17">
        <v>814</v>
      </c>
      <c r="QM17" s="16">
        <v>44266</v>
      </c>
      <c r="QN17">
        <v>66105</v>
      </c>
      <c r="QO17">
        <v>774</v>
      </c>
      <c r="QP17" s="16">
        <v>44267</v>
      </c>
      <c r="QQ17">
        <v>66912</v>
      </c>
      <c r="QR17">
        <v>807</v>
      </c>
      <c r="QS17" s="16">
        <v>44268</v>
      </c>
      <c r="QT17">
        <v>67411</v>
      </c>
      <c r="QU17">
        <v>493</v>
      </c>
      <c r="QV17" s="16">
        <v>44269</v>
      </c>
      <c r="QW17">
        <v>67846</v>
      </c>
      <c r="QX17">
        <v>435</v>
      </c>
      <c r="QY17" s="16">
        <v>44270</v>
      </c>
      <c r="QZ17">
        <v>68736</v>
      </c>
      <c r="RA17">
        <v>891</v>
      </c>
      <c r="RB17" s="16">
        <v>44271</v>
      </c>
      <c r="RC17">
        <v>69501</v>
      </c>
      <c r="RD17">
        <v>763</v>
      </c>
      <c r="RE17" s="16"/>
      <c r="RH17" s="16"/>
      <c r="RK17" s="16"/>
      <c r="RN17" s="16"/>
      <c r="RQ17" s="16"/>
    </row>
    <row r="18" spans="2:485">
      <c r="B18" t="str">
        <f t="shared" ca="1" si="2"/>
        <v>17.3</v>
      </c>
      <c r="C18" s="4">
        <f t="shared" ca="1" si="0"/>
        <v>44272</v>
      </c>
      <c r="D18" s="11">
        <f t="shared" ca="1" si="1"/>
        <v>70241</v>
      </c>
      <c r="E18">
        <f t="shared" ca="1" si="3"/>
        <v>743</v>
      </c>
      <c r="F18" s="11">
        <f t="shared" ca="1" si="4"/>
        <v>0</v>
      </c>
      <c r="G18" s="11">
        <f t="shared" ca="1" si="5"/>
        <v>743</v>
      </c>
      <c r="K18" s="10">
        <f ca="1">SUM(E18:E24)</f>
        <v>4504</v>
      </c>
      <c r="L18" s="10" t="str">
        <f ca="1">TEXT(K18/K11-1,"0 %")</f>
        <v>-10 %</v>
      </c>
      <c r="N18" s="16">
        <v>44272</v>
      </c>
      <c r="O18">
        <v>70244</v>
      </c>
      <c r="P18">
        <v>743</v>
      </c>
      <c r="Q18" s="16">
        <v>44272</v>
      </c>
      <c r="R18">
        <v>70244</v>
      </c>
      <c r="S18">
        <v>743</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v>44245</v>
      </c>
      <c r="NZ18">
        <v>53219</v>
      </c>
      <c r="OA18">
        <v>609</v>
      </c>
      <c r="OB18" s="16">
        <v>44246</v>
      </c>
      <c r="OC18">
        <v>53797</v>
      </c>
      <c r="OD18">
        <v>572</v>
      </c>
      <c r="OE18" s="16">
        <v>44247</v>
      </c>
      <c r="OF18">
        <v>54115</v>
      </c>
      <c r="OG18">
        <v>317</v>
      </c>
      <c r="OH18" s="16">
        <v>44248</v>
      </c>
      <c r="OI18">
        <v>54466</v>
      </c>
      <c r="OJ18">
        <v>355</v>
      </c>
      <c r="OK18" s="16">
        <v>44249</v>
      </c>
      <c r="OL18">
        <v>55089</v>
      </c>
      <c r="OM18">
        <v>622</v>
      </c>
      <c r="ON18" s="16">
        <v>44250</v>
      </c>
      <c r="OO18">
        <v>55714</v>
      </c>
      <c r="OP18">
        <v>624</v>
      </c>
      <c r="OQ18" s="16">
        <v>44251</v>
      </c>
      <c r="OR18">
        <v>56315</v>
      </c>
      <c r="OS18">
        <v>599</v>
      </c>
      <c r="OT18" s="16">
        <v>44252</v>
      </c>
      <c r="OU18">
        <v>56934</v>
      </c>
      <c r="OV18">
        <v>619</v>
      </c>
      <c r="OW18" s="16">
        <v>44253</v>
      </c>
      <c r="OX18">
        <v>57623</v>
      </c>
      <c r="OY18">
        <v>690</v>
      </c>
      <c r="OZ18" s="16">
        <v>44254</v>
      </c>
      <c r="PA18">
        <v>58025</v>
      </c>
      <c r="PB18">
        <v>400</v>
      </c>
      <c r="PC18" s="16">
        <v>44255</v>
      </c>
      <c r="PD18">
        <v>58447</v>
      </c>
      <c r="PE18">
        <v>420</v>
      </c>
      <c r="PF18" s="16">
        <v>44256</v>
      </c>
      <c r="PG18">
        <v>59315</v>
      </c>
      <c r="PH18">
        <v>869</v>
      </c>
      <c r="PI18" s="16">
        <v>44257</v>
      </c>
      <c r="PJ18">
        <v>60078</v>
      </c>
      <c r="PK18">
        <v>758</v>
      </c>
      <c r="PL18" s="16">
        <v>44258</v>
      </c>
      <c r="PM18">
        <v>60812</v>
      </c>
      <c r="PN18">
        <v>735</v>
      </c>
      <c r="PO18" s="16">
        <v>44259</v>
      </c>
      <c r="PP18">
        <v>61448</v>
      </c>
      <c r="PQ18">
        <v>635</v>
      </c>
      <c r="PR18" s="16">
        <v>44260</v>
      </c>
      <c r="PS18">
        <v>62056</v>
      </c>
      <c r="PT18">
        <v>608</v>
      </c>
      <c r="PU18" s="16">
        <v>44261</v>
      </c>
      <c r="PV18">
        <v>62491</v>
      </c>
      <c r="PW18">
        <v>435</v>
      </c>
      <c r="PX18" s="16">
        <v>44262</v>
      </c>
      <c r="PY18">
        <v>62904</v>
      </c>
      <c r="PZ18">
        <v>398</v>
      </c>
      <c r="QA18" s="16">
        <v>44263</v>
      </c>
      <c r="QB18">
        <v>63739</v>
      </c>
      <c r="QC18">
        <v>832</v>
      </c>
      <c r="QD18" s="16">
        <v>44264</v>
      </c>
      <c r="QE18">
        <v>64518</v>
      </c>
      <c r="QF18">
        <v>776</v>
      </c>
      <c r="QG18" s="16">
        <v>44265</v>
      </c>
      <c r="QH18">
        <v>65327</v>
      </c>
      <c r="QI18">
        <v>814</v>
      </c>
      <c r="QJ18" s="16">
        <v>44266</v>
      </c>
      <c r="QK18">
        <v>66105</v>
      </c>
      <c r="QL18">
        <v>774</v>
      </c>
      <c r="QM18" s="16">
        <v>44267</v>
      </c>
      <c r="QN18">
        <v>66912</v>
      </c>
      <c r="QO18">
        <v>807</v>
      </c>
      <c r="QP18" s="16">
        <v>44268</v>
      </c>
      <c r="QQ18">
        <v>67404</v>
      </c>
      <c r="QR18">
        <v>492</v>
      </c>
      <c r="QS18" s="16">
        <v>44269</v>
      </c>
      <c r="QT18">
        <v>67846</v>
      </c>
      <c r="QU18">
        <v>435</v>
      </c>
      <c r="QV18" s="16">
        <v>44270</v>
      </c>
      <c r="QW18">
        <v>68737</v>
      </c>
      <c r="QX18">
        <v>891</v>
      </c>
      <c r="QY18" s="16">
        <v>44271</v>
      </c>
      <c r="QZ18">
        <v>69498</v>
      </c>
      <c r="RA18">
        <v>762</v>
      </c>
      <c r="RB18" s="16">
        <v>44272</v>
      </c>
      <c r="RC18">
        <v>70244</v>
      </c>
      <c r="RD18">
        <v>743</v>
      </c>
      <c r="RE18" s="16"/>
      <c r="RH18" s="16"/>
      <c r="RK18" s="16"/>
      <c r="RN18" s="16"/>
      <c r="RQ18" s="16"/>
    </row>
    <row r="19" spans="2:485">
      <c r="B19" t="str">
        <f t="shared" ca="1" si="2"/>
        <v>18.3</v>
      </c>
      <c r="C19" s="4">
        <f t="shared" ca="1" si="0"/>
        <v>44273</v>
      </c>
      <c r="D19" s="11">
        <f t="shared" ca="1" si="1"/>
        <v>70978</v>
      </c>
      <c r="E19">
        <f t="shared" ca="1" si="3"/>
        <v>737</v>
      </c>
      <c r="F19" s="11">
        <f t="shared" ca="1" si="4"/>
        <v>0</v>
      </c>
      <c r="G19" s="11">
        <f t="shared" ca="1" si="5"/>
        <v>737</v>
      </c>
      <c r="L19" s="3"/>
      <c r="N19" s="16">
        <v>44273</v>
      </c>
      <c r="O19">
        <v>70981</v>
      </c>
      <c r="P19">
        <v>737</v>
      </c>
      <c r="Q19" s="16">
        <v>44273</v>
      </c>
      <c r="R19">
        <v>70981</v>
      </c>
      <c r="S19">
        <v>737</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v>44246</v>
      </c>
      <c r="NZ19">
        <v>53791</v>
      </c>
      <c r="OA19">
        <v>572</v>
      </c>
      <c r="OB19" s="16">
        <v>44247</v>
      </c>
      <c r="OC19">
        <v>54114</v>
      </c>
      <c r="OD19">
        <v>317</v>
      </c>
      <c r="OE19" s="16">
        <v>44248</v>
      </c>
      <c r="OF19">
        <v>54470</v>
      </c>
      <c r="OG19">
        <v>355</v>
      </c>
      <c r="OH19" s="16">
        <v>44249</v>
      </c>
      <c r="OI19">
        <v>55088</v>
      </c>
      <c r="OJ19">
        <v>622</v>
      </c>
      <c r="OK19" s="16">
        <v>44250</v>
      </c>
      <c r="OL19">
        <v>55713</v>
      </c>
      <c r="OM19">
        <v>624</v>
      </c>
      <c r="ON19" s="16">
        <v>44251</v>
      </c>
      <c r="OO19">
        <v>56313</v>
      </c>
      <c r="OP19">
        <v>599</v>
      </c>
      <c r="OQ19" s="16">
        <v>44252</v>
      </c>
      <c r="OR19">
        <v>56934</v>
      </c>
      <c r="OS19">
        <v>619</v>
      </c>
      <c r="OT19" s="16">
        <v>44253</v>
      </c>
      <c r="OU19">
        <v>57624</v>
      </c>
      <c r="OV19">
        <v>690</v>
      </c>
      <c r="OW19" s="16">
        <v>44254</v>
      </c>
      <c r="OX19">
        <v>58023</v>
      </c>
      <c r="OY19">
        <v>400</v>
      </c>
      <c r="OZ19" s="16">
        <v>44255</v>
      </c>
      <c r="PA19">
        <v>58445</v>
      </c>
      <c r="PB19">
        <v>420</v>
      </c>
      <c r="PC19" s="16">
        <v>44256</v>
      </c>
      <c r="PD19">
        <v>59316</v>
      </c>
      <c r="PE19">
        <v>869</v>
      </c>
      <c r="PF19" s="16">
        <v>44257</v>
      </c>
      <c r="PG19">
        <v>60072</v>
      </c>
      <c r="PH19">
        <v>757</v>
      </c>
      <c r="PI19" s="16">
        <v>44258</v>
      </c>
      <c r="PJ19">
        <v>60815</v>
      </c>
      <c r="PK19">
        <v>737</v>
      </c>
      <c r="PL19" s="16">
        <v>44259</v>
      </c>
      <c r="PM19">
        <v>61440</v>
      </c>
      <c r="PN19">
        <v>628</v>
      </c>
      <c r="PO19" s="16">
        <v>44260</v>
      </c>
      <c r="PP19">
        <v>62056</v>
      </c>
      <c r="PQ19">
        <v>608</v>
      </c>
      <c r="PR19" s="16">
        <v>44261</v>
      </c>
      <c r="PS19">
        <v>62491</v>
      </c>
      <c r="PT19">
        <v>435</v>
      </c>
      <c r="PU19" s="16">
        <v>44262</v>
      </c>
      <c r="PV19">
        <v>62885</v>
      </c>
      <c r="PW19">
        <v>394</v>
      </c>
      <c r="PX19" s="16">
        <v>44263</v>
      </c>
      <c r="PY19">
        <v>63734</v>
      </c>
      <c r="PZ19">
        <v>830</v>
      </c>
      <c r="QA19" s="16">
        <v>44264</v>
      </c>
      <c r="QB19">
        <v>64515</v>
      </c>
      <c r="QC19">
        <v>776</v>
      </c>
      <c r="QD19" s="16">
        <v>44265</v>
      </c>
      <c r="QE19">
        <v>65330</v>
      </c>
      <c r="QF19">
        <v>812</v>
      </c>
      <c r="QG19" s="16">
        <v>44266</v>
      </c>
      <c r="QH19">
        <v>66101</v>
      </c>
      <c r="QI19">
        <v>774</v>
      </c>
      <c r="QJ19" s="16">
        <v>44267</v>
      </c>
      <c r="QK19">
        <v>66913</v>
      </c>
      <c r="QL19">
        <v>808</v>
      </c>
      <c r="QM19" s="16">
        <v>44268</v>
      </c>
      <c r="QN19">
        <v>67404</v>
      </c>
      <c r="QO19">
        <v>492</v>
      </c>
      <c r="QP19" s="16">
        <v>44269</v>
      </c>
      <c r="QQ19">
        <v>67839</v>
      </c>
      <c r="QR19">
        <v>435</v>
      </c>
      <c r="QS19" s="16">
        <v>44270</v>
      </c>
      <c r="QT19">
        <v>68737</v>
      </c>
      <c r="QU19">
        <v>891</v>
      </c>
      <c r="QV19" s="16">
        <v>44271</v>
      </c>
      <c r="QW19">
        <v>69499</v>
      </c>
      <c r="QX19">
        <v>762</v>
      </c>
      <c r="QY19" s="16">
        <v>44272</v>
      </c>
      <c r="QZ19">
        <v>70242</v>
      </c>
      <c r="RA19">
        <v>744</v>
      </c>
      <c r="RB19" s="16">
        <v>44273</v>
      </c>
      <c r="RC19">
        <v>70981</v>
      </c>
      <c r="RD19">
        <v>737</v>
      </c>
      <c r="RE19" s="16"/>
      <c r="RH19" s="16"/>
      <c r="RK19" s="16"/>
      <c r="RN19" s="16"/>
      <c r="RQ19" s="16"/>
    </row>
    <row r="20" spans="2:485">
      <c r="B20" t="str">
        <f t="shared" ca="1" si="2"/>
        <v>19.3</v>
      </c>
      <c r="C20" s="4">
        <f t="shared" ca="1" si="0"/>
        <v>44274</v>
      </c>
      <c r="D20" s="11">
        <f t="shared" ca="1" si="1"/>
        <v>71721</v>
      </c>
      <c r="E20">
        <f t="shared" ca="1" si="3"/>
        <v>743</v>
      </c>
      <c r="F20" s="11">
        <f t="shared" ca="1" si="4"/>
        <v>0</v>
      </c>
      <c r="G20" s="11">
        <f t="shared" ca="1" si="5"/>
        <v>743</v>
      </c>
      <c r="L20" s="3"/>
      <c r="N20" s="16">
        <v>44274</v>
      </c>
      <c r="O20">
        <v>71724</v>
      </c>
      <c r="P20" s="10">
        <v>743</v>
      </c>
      <c r="Q20" s="16">
        <v>44274</v>
      </c>
      <c r="R20">
        <v>71724</v>
      </c>
      <c r="S20">
        <v>743</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v>44247</v>
      </c>
      <c r="NZ20">
        <v>54108</v>
      </c>
      <c r="OA20">
        <v>317</v>
      </c>
      <c r="OB20" s="16">
        <v>44248</v>
      </c>
      <c r="OC20">
        <v>54469</v>
      </c>
      <c r="OD20">
        <v>355</v>
      </c>
      <c r="OE20" s="16">
        <v>44249</v>
      </c>
      <c r="OF20">
        <v>55092</v>
      </c>
      <c r="OG20">
        <v>622</v>
      </c>
      <c r="OH20" s="16">
        <v>44250</v>
      </c>
      <c r="OI20">
        <v>55711</v>
      </c>
      <c r="OJ20">
        <v>623</v>
      </c>
      <c r="OK20" s="16">
        <v>44251</v>
      </c>
      <c r="OL20">
        <v>56312</v>
      </c>
      <c r="OM20">
        <v>599</v>
      </c>
      <c r="ON20" s="16">
        <v>44252</v>
      </c>
      <c r="OO20">
        <v>56931</v>
      </c>
      <c r="OP20">
        <v>618</v>
      </c>
      <c r="OQ20" s="16">
        <v>44253</v>
      </c>
      <c r="OR20">
        <v>57622</v>
      </c>
      <c r="OS20">
        <v>688</v>
      </c>
      <c r="OT20" s="16">
        <v>44254</v>
      </c>
      <c r="OU20">
        <v>58024</v>
      </c>
      <c r="OV20">
        <v>400</v>
      </c>
      <c r="OW20" s="16">
        <v>44255</v>
      </c>
      <c r="OX20">
        <v>58443</v>
      </c>
      <c r="OY20">
        <v>420</v>
      </c>
      <c r="OZ20" s="16">
        <v>44256</v>
      </c>
      <c r="PA20">
        <v>59313</v>
      </c>
      <c r="PB20">
        <v>868</v>
      </c>
      <c r="PC20" s="16">
        <v>44257</v>
      </c>
      <c r="PD20">
        <v>60073</v>
      </c>
      <c r="PE20">
        <v>757</v>
      </c>
      <c r="PF20" s="16">
        <v>44258</v>
      </c>
      <c r="PG20">
        <v>60809</v>
      </c>
      <c r="PH20">
        <v>737</v>
      </c>
      <c r="PI20" s="16">
        <v>44259</v>
      </c>
      <c r="PJ20">
        <v>61439</v>
      </c>
      <c r="PK20">
        <v>624</v>
      </c>
      <c r="PL20" s="16">
        <v>44260</v>
      </c>
      <c r="PM20">
        <v>62048</v>
      </c>
      <c r="PN20">
        <v>608</v>
      </c>
      <c r="PO20" s="16">
        <v>44261</v>
      </c>
      <c r="PP20">
        <v>62491</v>
      </c>
      <c r="PQ20">
        <v>435</v>
      </c>
      <c r="PR20" s="16">
        <v>44262</v>
      </c>
      <c r="PS20">
        <v>62885</v>
      </c>
      <c r="PT20">
        <v>394</v>
      </c>
      <c r="PU20" s="16">
        <v>44263</v>
      </c>
      <c r="PV20">
        <v>63715</v>
      </c>
      <c r="PW20">
        <v>830</v>
      </c>
      <c r="PX20" s="16">
        <v>44264</v>
      </c>
      <c r="PY20">
        <v>64510</v>
      </c>
      <c r="PZ20">
        <v>776</v>
      </c>
      <c r="QA20" s="16">
        <v>44265</v>
      </c>
      <c r="QB20">
        <v>65327</v>
      </c>
      <c r="QC20">
        <v>812</v>
      </c>
      <c r="QD20" s="16">
        <v>44266</v>
      </c>
      <c r="QE20">
        <v>66103</v>
      </c>
      <c r="QF20">
        <v>773</v>
      </c>
      <c r="QG20" s="16">
        <v>44267</v>
      </c>
      <c r="QH20">
        <v>66909</v>
      </c>
      <c r="QI20">
        <v>808</v>
      </c>
      <c r="QJ20" s="16">
        <v>44268</v>
      </c>
      <c r="QK20">
        <v>67405</v>
      </c>
      <c r="QL20">
        <v>492</v>
      </c>
      <c r="QM20" s="16">
        <v>44269</v>
      </c>
      <c r="QN20">
        <v>67839</v>
      </c>
      <c r="QO20">
        <v>435</v>
      </c>
      <c r="QP20" s="16">
        <v>44270</v>
      </c>
      <c r="QQ20">
        <v>68729</v>
      </c>
      <c r="QR20">
        <v>890</v>
      </c>
      <c r="QS20" s="16">
        <v>44271</v>
      </c>
      <c r="QT20">
        <v>69499</v>
      </c>
      <c r="QU20">
        <v>762</v>
      </c>
      <c r="QV20" s="16">
        <v>44272</v>
      </c>
      <c r="QW20">
        <v>70243</v>
      </c>
      <c r="QX20">
        <v>744</v>
      </c>
      <c r="QY20" s="16">
        <v>44273</v>
      </c>
      <c r="QZ20">
        <v>70979</v>
      </c>
      <c r="RA20">
        <v>737</v>
      </c>
      <c r="RB20" s="16">
        <v>44274</v>
      </c>
      <c r="RC20">
        <v>71724</v>
      </c>
      <c r="RD20">
        <v>743</v>
      </c>
      <c r="RE20" s="16"/>
      <c r="RH20" s="16"/>
      <c r="RK20" s="16"/>
      <c r="RN20" s="16"/>
      <c r="RQ20" s="16"/>
    </row>
    <row r="21" spans="2:485" s="10" customFormat="1">
      <c r="B21" t="str">
        <f t="shared" ca="1" si="2"/>
        <v>20.3</v>
      </c>
      <c r="C21" s="9">
        <f t="shared" ca="1" si="0"/>
        <v>44275</v>
      </c>
      <c r="D21" s="10">
        <f t="shared" ca="1" si="1"/>
        <v>72123</v>
      </c>
      <c r="E21" s="10">
        <f t="shared" ca="1" si="3"/>
        <v>402</v>
      </c>
      <c r="F21" s="10">
        <f t="shared" ca="1" si="4"/>
        <v>0</v>
      </c>
      <c r="G21" s="10">
        <f t="shared" ca="1" si="5"/>
        <v>402</v>
      </c>
      <c r="H21" s="10">
        <f ca="1">SUM(E21:E27)</f>
        <v>4269</v>
      </c>
      <c r="I21" s="10" t="str">
        <f ca="1">TEXT(H21/H14-1,"0 %")</f>
        <v>-11 %</v>
      </c>
      <c r="J21" s="10">
        <f ca="1">SUM(E21:E34)</f>
        <v>7373</v>
      </c>
      <c r="L21" s="14"/>
      <c r="M21"/>
      <c r="N21" s="17">
        <v>44275</v>
      </c>
      <c r="O21" s="10">
        <v>72126</v>
      </c>
      <c r="P21">
        <v>402</v>
      </c>
      <c r="Q21" s="17">
        <v>44275</v>
      </c>
      <c r="R21" s="10">
        <v>72126</v>
      </c>
      <c r="S21" s="10">
        <v>402</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v>44248</v>
      </c>
      <c r="NZ21" s="10">
        <v>54462</v>
      </c>
      <c r="OA21" s="10">
        <v>354</v>
      </c>
      <c r="OB21" s="17">
        <v>44249</v>
      </c>
      <c r="OC21" s="10">
        <v>55091</v>
      </c>
      <c r="OD21" s="10">
        <v>622</v>
      </c>
      <c r="OE21" s="17">
        <v>44250</v>
      </c>
      <c r="OF21" s="10">
        <v>55714</v>
      </c>
      <c r="OG21" s="10">
        <v>622</v>
      </c>
      <c r="OH21" s="17">
        <v>44251</v>
      </c>
      <c r="OI21" s="10">
        <v>56311</v>
      </c>
      <c r="OJ21" s="10">
        <v>600</v>
      </c>
      <c r="OK21" s="17">
        <v>44252</v>
      </c>
      <c r="OL21" s="10">
        <v>56930</v>
      </c>
      <c r="OM21" s="10">
        <v>618</v>
      </c>
      <c r="ON21" s="17">
        <v>44253</v>
      </c>
      <c r="OO21" s="10">
        <v>57618</v>
      </c>
      <c r="OP21" s="10">
        <v>687</v>
      </c>
      <c r="OQ21" s="17">
        <v>44254</v>
      </c>
      <c r="OR21" s="10">
        <v>58022</v>
      </c>
      <c r="OS21" s="10">
        <v>400</v>
      </c>
      <c r="OT21" s="17">
        <v>44255</v>
      </c>
      <c r="OU21" s="10">
        <v>58445</v>
      </c>
      <c r="OV21" s="10">
        <v>421</v>
      </c>
      <c r="OW21" s="17">
        <v>44256</v>
      </c>
      <c r="OX21" s="10">
        <v>59311</v>
      </c>
      <c r="OY21" s="10">
        <v>868</v>
      </c>
      <c r="OZ21" s="17">
        <v>44257</v>
      </c>
      <c r="PA21" s="10">
        <v>60069</v>
      </c>
      <c r="PB21" s="10">
        <v>756</v>
      </c>
      <c r="PC21" s="17">
        <v>44258</v>
      </c>
      <c r="PD21" s="10">
        <v>60810</v>
      </c>
      <c r="PE21" s="10">
        <v>737</v>
      </c>
      <c r="PF21" s="17">
        <v>44259</v>
      </c>
      <c r="PG21" s="10">
        <v>61433</v>
      </c>
      <c r="PH21" s="10">
        <v>624</v>
      </c>
      <c r="PI21" s="17">
        <v>44260</v>
      </c>
      <c r="PJ21" s="10">
        <v>62038</v>
      </c>
      <c r="PK21" s="10">
        <v>599</v>
      </c>
      <c r="PL21" s="17">
        <v>44261</v>
      </c>
      <c r="PM21" s="10">
        <v>62482</v>
      </c>
      <c r="PN21" s="10">
        <v>434</v>
      </c>
      <c r="PO21" s="17">
        <v>44262</v>
      </c>
      <c r="PP21" s="10">
        <v>62885</v>
      </c>
      <c r="PQ21" s="10">
        <v>394</v>
      </c>
      <c r="PR21" s="17">
        <v>44263</v>
      </c>
      <c r="PS21" s="10">
        <v>63715</v>
      </c>
      <c r="PT21" s="10">
        <v>830</v>
      </c>
      <c r="PU21" s="17">
        <v>44264</v>
      </c>
      <c r="PV21" s="10">
        <v>64476</v>
      </c>
      <c r="PW21" s="10">
        <v>761</v>
      </c>
      <c r="PX21" s="17">
        <v>44265</v>
      </c>
      <c r="PY21" s="10">
        <v>65322</v>
      </c>
      <c r="PZ21" s="10">
        <v>812</v>
      </c>
      <c r="QA21" s="17">
        <v>44266</v>
      </c>
      <c r="QB21" s="10">
        <v>66100</v>
      </c>
      <c r="QC21" s="10">
        <v>773</v>
      </c>
      <c r="QD21" s="17">
        <v>44267</v>
      </c>
      <c r="QE21" s="10">
        <v>66911</v>
      </c>
      <c r="QF21" s="10">
        <v>808</v>
      </c>
      <c r="QG21" s="17">
        <v>44268</v>
      </c>
      <c r="QH21" s="10">
        <v>67401</v>
      </c>
      <c r="QI21" s="10">
        <v>492</v>
      </c>
      <c r="QJ21" s="17">
        <v>44269</v>
      </c>
      <c r="QK21" s="10">
        <v>67840</v>
      </c>
      <c r="QL21" s="10">
        <v>435</v>
      </c>
      <c r="QM21" s="17">
        <v>44270</v>
      </c>
      <c r="QN21" s="10">
        <v>68729</v>
      </c>
      <c r="QO21" s="10">
        <v>890</v>
      </c>
      <c r="QP21" s="17">
        <v>44271</v>
      </c>
      <c r="QQ21" s="10">
        <v>69493</v>
      </c>
      <c r="QR21" s="10">
        <v>764</v>
      </c>
      <c r="QS21" s="17">
        <v>44272</v>
      </c>
      <c r="QT21" s="10">
        <v>70243</v>
      </c>
      <c r="QU21" s="10">
        <v>744</v>
      </c>
      <c r="QV21" s="17">
        <v>44273</v>
      </c>
      <c r="QW21" s="10">
        <v>70980</v>
      </c>
      <c r="QX21" s="10">
        <v>737</v>
      </c>
      <c r="QY21" s="17">
        <v>44274</v>
      </c>
      <c r="QZ21" s="10">
        <v>71721</v>
      </c>
      <c r="RA21" s="10">
        <v>742</v>
      </c>
      <c r="RB21" s="17">
        <v>44275</v>
      </c>
      <c r="RC21" s="10">
        <v>72126</v>
      </c>
      <c r="RD21" s="10">
        <v>402</v>
      </c>
      <c r="RE21" s="17"/>
      <c r="RH21" s="17"/>
      <c r="RK21" s="17"/>
      <c r="RN21" s="17"/>
      <c r="RQ21" s="17"/>
    </row>
    <row r="22" spans="2:485">
      <c r="B22" t="str">
        <f t="shared" ca="1" si="2"/>
        <v>21.3</v>
      </c>
      <c r="C22" s="4">
        <f t="shared" ca="1" si="0"/>
        <v>44276</v>
      </c>
      <c r="D22" s="11">
        <f t="shared" ca="1" si="1"/>
        <v>72540</v>
      </c>
      <c r="E22">
        <f t="shared" ca="1" si="3"/>
        <v>417</v>
      </c>
      <c r="F22" s="11">
        <f t="shared" ca="1" si="4"/>
        <v>0</v>
      </c>
      <c r="G22" s="11">
        <f t="shared" ca="1" si="5"/>
        <v>417</v>
      </c>
      <c r="H22" s="10"/>
      <c r="L22" s="3"/>
      <c r="N22" s="16">
        <v>44276</v>
      </c>
      <c r="O22">
        <v>72543</v>
      </c>
      <c r="P22">
        <v>417</v>
      </c>
      <c r="Q22" s="16">
        <v>44276</v>
      </c>
      <c r="R22">
        <v>72543</v>
      </c>
      <c r="S22">
        <v>417</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v>44249</v>
      </c>
      <c r="NZ22">
        <v>55084</v>
      </c>
      <c r="OA22">
        <v>622</v>
      </c>
      <c r="OB22" s="16">
        <v>44250</v>
      </c>
      <c r="OC22">
        <v>55713</v>
      </c>
      <c r="OD22">
        <v>622</v>
      </c>
      <c r="OE22" s="16">
        <v>44251</v>
      </c>
      <c r="OF22">
        <v>56315</v>
      </c>
      <c r="OG22">
        <v>601</v>
      </c>
      <c r="OH22" s="16">
        <v>44252</v>
      </c>
      <c r="OI22">
        <v>56929</v>
      </c>
      <c r="OJ22">
        <v>618</v>
      </c>
      <c r="OK22" s="16">
        <v>44253</v>
      </c>
      <c r="OL22">
        <v>57617</v>
      </c>
      <c r="OM22">
        <v>687</v>
      </c>
      <c r="ON22" s="16">
        <v>44254</v>
      </c>
      <c r="OO22">
        <v>58020</v>
      </c>
      <c r="OP22">
        <v>402</v>
      </c>
      <c r="OQ22" s="16">
        <v>44255</v>
      </c>
      <c r="OR22">
        <v>58443</v>
      </c>
      <c r="OS22">
        <v>421</v>
      </c>
      <c r="OT22" s="16">
        <v>44256</v>
      </c>
      <c r="OU22">
        <v>59313</v>
      </c>
      <c r="OV22">
        <v>868</v>
      </c>
      <c r="OW22" s="16">
        <v>44257</v>
      </c>
      <c r="OX22">
        <v>60067</v>
      </c>
      <c r="OY22">
        <v>756</v>
      </c>
      <c r="OZ22" s="16">
        <v>44258</v>
      </c>
      <c r="PA22">
        <v>60806</v>
      </c>
      <c r="PB22">
        <v>737</v>
      </c>
      <c r="PC22" s="16">
        <v>44259</v>
      </c>
      <c r="PD22">
        <v>61434</v>
      </c>
      <c r="PE22">
        <v>624</v>
      </c>
      <c r="PF22" s="16">
        <v>44260</v>
      </c>
      <c r="PG22">
        <v>62032</v>
      </c>
      <c r="PH22">
        <v>599</v>
      </c>
      <c r="PI22" s="16">
        <v>44261</v>
      </c>
      <c r="PJ22">
        <v>62471</v>
      </c>
      <c r="PK22">
        <v>433</v>
      </c>
      <c r="PL22" s="16">
        <v>44262</v>
      </c>
      <c r="PM22">
        <v>62877</v>
      </c>
      <c r="PN22">
        <v>395</v>
      </c>
      <c r="PO22" s="16">
        <v>44263</v>
      </c>
      <c r="PP22">
        <v>63715</v>
      </c>
      <c r="PQ22">
        <v>830</v>
      </c>
      <c r="PR22" s="16">
        <v>44264</v>
      </c>
      <c r="PS22">
        <v>64476</v>
      </c>
      <c r="PT22">
        <v>761</v>
      </c>
      <c r="PU22" s="16">
        <v>44265</v>
      </c>
      <c r="PV22">
        <v>65282</v>
      </c>
      <c r="PW22">
        <v>806</v>
      </c>
      <c r="PX22" s="16">
        <v>44266</v>
      </c>
      <c r="PY22">
        <v>66095</v>
      </c>
      <c r="PZ22">
        <v>773</v>
      </c>
      <c r="QA22" s="16">
        <v>44267</v>
      </c>
      <c r="QB22">
        <v>66908</v>
      </c>
      <c r="QC22">
        <v>808</v>
      </c>
      <c r="QD22" s="16">
        <v>44268</v>
      </c>
      <c r="QE22">
        <v>67403</v>
      </c>
      <c r="QF22">
        <v>492</v>
      </c>
      <c r="QG22" s="16">
        <v>44269</v>
      </c>
      <c r="QH22">
        <v>67836</v>
      </c>
      <c r="QI22">
        <v>435</v>
      </c>
      <c r="QJ22" s="16">
        <v>44270</v>
      </c>
      <c r="QK22">
        <v>68730</v>
      </c>
      <c r="QL22">
        <v>890</v>
      </c>
      <c r="QM22" s="16">
        <v>44271</v>
      </c>
      <c r="QN22">
        <v>69493</v>
      </c>
      <c r="QO22">
        <v>764</v>
      </c>
      <c r="QP22" s="16">
        <v>44272</v>
      </c>
      <c r="QQ22">
        <v>70237</v>
      </c>
      <c r="QR22">
        <v>744</v>
      </c>
      <c r="QS22" s="16">
        <v>44273</v>
      </c>
      <c r="QT22">
        <v>70980</v>
      </c>
      <c r="QU22">
        <v>737</v>
      </c>
      <c r="QV22" s="16">
        <v>44274</v>
      </c>
      <c r="QW22">
        <v>71722</v>
      </c>
      <c r="QX22">
        <v>742</v>
      </c>
      <c r="QY22" s="16">
        <v>44275</v>
      </c>
      <c r="QZ22">
        <v>72122</v>
      </c>
      <c r="RA22">
        <v>401</v>
      </c>
      <c r="RB22" s="16">
        <v>44276</v>
      </c>
      <c r="RC22">
        <v>72543</v>
      </c>
      <c r="RD22">
        <v>417</v>
      </c>
      <c r="RE22" s="16"/>
      <c r="RH22" s="16"/>
      <c r="RK22" s="16"/>
      <c r="RN22" s="16"/>
      <c r="RQ22" s="16"/>
    </row>
    <row r="23" spans="2:485">
      <c r="B23" t="str">
        <f t="shared" ca="1" si="2"/>
        <v>Ma 22</v>
      </c>
      <c r="C23" s="4">
        <f t="shared" ca="1" si="0"/>
        <v>44277</v>
      </c>
      <c r="D23" s="11">
        <f t="shared" ca="1" si="1"/>
        <v>73304</v>
      </c>
      <c r="E23">
        <f t="shared" ca="1" si="3"/>
        <v>764</v>
      </c>
      <c r="F23" s="11">
        <f t="shared" ca="1" si="4"/>
        <v>0</v>
      </c>
      <c r="G23" s="11">
        <f t="shared" ca="1" si="5"/>
        <v>764</v>
      </c>
      <c r="K23" s="13"/>
      <c r="L23" s="3"/>
      <c r="N23" s="16">
        <v>44277</v>
      </c>
      <c r="O23">
        <v>73307</v>
      </c>
      <c r="P23">
        <v>764</v>
      </c>
      <c r="Q23" s="16">
        <v>44277</v>
      </c>
      <c r="R23">
        <v>73307</v>
      </c>
      <c r="S23">
        <v>764</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v>44250</v>
      </c>
      <c r="NZ23">
        <v>55706</v>
      </c>
      <c r="OA23">
        <v>622</v>
      </c>
      <c r="OB23" s="16">
        <v>44251</v>
      </c>
      <c r="OC23">
        <v>56313</v>
      </c>
      <c r="OD23">
        <v>600</v>
      </c>
      <c r="OE23" s="16">
        <v>44252</v>
      </c>
      <c r="OF23">
        <v>56931</v>
      </c>
      <c r="OG23">
        <v>616</v>
      </c>
      <c r="OH23" s="16">
        <v>44253</v>
      </c>
      <c r="OI23">
        <v>57612</v>
      </c>
      <c r="OJ23">
        <v>683</v>
      </c>
      <c r="OK23" s="16">
        <v>44254</v>
      </c>
      <c r="OL23">
        <v>58019</v>
      </c>
      <c r="OM23">
        <v>402</v>
      </c>
      <c r="ON23" s="16">
        <v>44255</v>
      </c>
      <c r="OO23">
        <v>58440</v>
      </c>
      <c r="OP23">
        <v>420</v>
      </c>
      <c r="OQ23" s="16">
        <v>44256</v>
      </c>
      <c r="OR23">
        <v>59312</v>
      </c>
      <c r="OS23">
        <v>869</v>
      </c>
      <c r="OT23" s="16">
        <v>44257</v>
      </c>
      <c r="OU23">
        <v>60069</v>
      </c>
      <c r="OV23">
        <v>756</v>
      </c>
      <c r="OW23" s="16">
        <v>44258</v>
      </c>
      <c r="OX23">
        <v>60803</v>
      </c>
      <c r="OY23">
        <v>736</v>
      </c>
      <c r="OZ23" s="16">
        <v>44259</v>
      </c>
      <c r="PA23">
        <v>61431</v>
      </c>
      <c r="PB23">
        <v>625</v>
      </c>
      <c r="PC23" s="16">
        <v>44260</v>
      </c>
      <c r="PD23">
        <v>62034</v>
      </c>
      <c r="PE23">
        <v>600</v>
      </c>
      <c r="PF23" s="16">
        <v>44261</v>
      </c>
      <c r="PG23">
        <v>62467</v>
      </c>
      <c r="PH23">
        <v>435</v>
      </c>
      <c r="PI23" s="16">
        <v>44262</v>
      </c>
      <c r="PJ23">
        <v>62863</v>
      </c>
      <c r="PK23">
        <v>392</v>
      </c>
      <c r="PL23" s="16">
        <v>44263</v>
      </c>
      <c r="PM23">
        <v>63707</v>
      </c>
      <c r="PN23">
        <v>830</v>
      </c>
      <c r="PO23" s="16">
        <v>44264</v>
      </c>
      <c r="PP23">
        <v>64476</v>
      </c>
      <c r="PQ23">
        <v>761</v>
      </c>
      <c r="PR23" s="16">
        <v>44265</v>
      </c>
      <c r="PS23">
        <v>65281</v>
      </c>
      <c r="PT23">
        <v>805</v>
      </c>
      <c r="PU23" s="16">
        <v>44266</v>
      </c>
      <c r="PV23">
        <v>66051</v>
      </c>
      <c r="PW23">
        <v>769</v>
      </c>
      <c r="PX23" s="16">
        <v>44267</v>
      </c>
      <c r="PY23">
        <v>66903</v>
      </c>
      <c r="PZ23">
        <v>808</v>
      </c>
      <c r="QA23" s="16">
        <v>44268</v>
      </c>
      <c r="QB23">
        <v>67400</v>
      </c>
      <c r="QC23">
        <v>492</v>
      </c>
      <c r="QD23" s="16">
        <v>44269</v>
      </c>
      <c r="QE23">
        <v>67838</v>
      </c>
      <c r="QF23">
        <v>435</v>
      </c>
      <c r="QG23" s="16">
        <v>44270</v>
      </c>
      <c r="QH23">
        <v>68726</v>
      </c>
      <c r="QI23">
        <v>890</v>
      </c>
      <c r="QJ23" s="16">
        <v>44271</v>
      </c>
      <c r="QK23">
        <v>69494</v>
      </c>
      <c r="QL23">
        <v>764</v>
      </c>
      <c r="QM23" s="16">
        <v>44272</v>
      </c>
      <c r="QN23">
        <v>70237</v>
      </c>
      <c r="QO23">
        <v>744</v>
      </c>
      <c r="QP23" s="16">
        <v>44273</v>
      </c>
      <c r="QQ23">
        <v>70973</v>
      </c>
      <c r="QR23">
        <v>736</v>
      </c>
      <c r="QS23" s="16">
        <v>44274</v>
      </c>
      <c r="QT23">
        <v>71721</v>
      </c>
      <c r="QU23">
        <v>741</v>
      </c>
      <c r="QV23" s="16">
        <v>44275</v>
      </c>
      <c r="QW23">
        <v>72123</v>
      </c>
      <c r="QX23">
        <v>401</v>
      </c>
      <c r="QY23" s="16">
        <v>44276</v>
      </c>
      <c r="QZ23">
        <v>72540</v>
      </c>
      <c r="RA23">
        <v>418</v>
      </c>
      <c r="RB23" s="16">
        <v>44277</v>
      </c>
      <c r="RC23">
        <v>73307</v>
      </c>
      <c r="RD23">
        <v>764</v>
      </c>
      <c r="RE23" s="16"/>
      <c r="RH23" s="16"/>
      <c r="RK23" s="16"/>
      <c r="RN23" s="16"/>
      <c r="RQ23" s="16"/>
    </row>
    <row r="24" spans="2:485">
      <c r="B24" t="str">
        <f t="shared" ca="1" si="2"/>
        <v>23.3</v>
      </c>
      <c r="C24" s="4">
        <f t="shared" ca="1" si="0"/>
        <v>44278</v>
      </c>
      <c r="D24" s="11">
        <f t="shared" ca="1" si="1"/>
        <v>74002</v>
      </c>
      <c r="E24">
        <f t="shared" ca="1" si="3"/>
        <v>698</v>
      </c>
      <c r="F24" s="11">
        <f t="shared" ca="1" si="4"/>
        <v>0</v>
      </c>
      <c r="G24" s="11">
        <f t="shared" ca="1" si="5"/>
        <v>698</v>
      </c>
      <c r="N24" s="16">
        <v>44278</v>
      </c>
      <c r="O24">
        <v>74005</v>
      </c>
      <c r="P24">
        <v>698</v>
      </c>
      <c r="Q24" s="16">
        <v>44278</v>
      </c>
      <c r="R24">
        <v>74005</v>
      </c>
      <c r="S24">
        <v>698</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v>44251</v>
      </c>
      <c r="NZ24">
        <v>56307</v>
      </c>
      <c r="OA24">
        <v>601</v>
      </c>
      <c r="OB24" s="16">
        <v>44252</v>
      </c>
      <c r="OC24">
        <v>56929</v>
      </c>
      <c r="OD24">
        <v>616</v>
      </c>
      <c r="OE24" s="16">
        <v>44253</v>
      </c>
      <c r="OF24">
        <v>57604</v>
      </c>
      <c r="OG24">
        <v>673</v>
      </c>
      <c r="OH24" s="16">
        <v>44254</v>
      </c>
      <c r="OI24">
        <v>58017</v>
      </c>
      <c r="OJ24">
        <v>405</v>
      </c>
      <c r="OK24" s="16">
        <v>44255</v>
      </c>
      <c r="OL24">
        <v>58439</v>
      </c>
      <c r="OM24">
        <v>420</v>
      </c>
      <c r="ON24" s="16">
        <v>44256</v>
      </c>
      <c r="OO24">
        <v>59308</v>
      </c>
      <c r="OP24">
        <v>868</v>
      </c>
      <c r="OQ24" s="16">
        <v>44257</v>
      </c>
      <c r="OR24">
        <v>60067</v>
      </c>
      <c r="OS24">
        <v>755</v>
      </c>
      <c r="OT24" s="16">
        <v>44258</v>
      </c>
      <c r="OU24">
        <v>60805</v>
      </c>
      <c r="OV24">
        <v>736</v>
      </c>
      <c r="OW24" s="16">
        <v>44259</v>
      </c>
      <c r="OX24">
        <v>61429</v>
      </c>
      <c r="OY24">
        <v>626</v>
      </c>
      <c r="OZ24" s="16">
        <v>44260</v>
      </c>
      <c r="PA24">
        <v>62031</v>
      </c>
      <c r="PB24">
        <v>600</v>
      </c>
      <c r="PC24" s="16">
        <v>44261</v>
      </c>
      <c r="PD24">
        <v>62469</v>
      </c>
      <c r="PE24">
        <v>435</v>
      </c>
      <c r="PF24" s="16">
        <v>44262</v>
      </c>
      <c r="PG24">
        <v>62860</v>
      </c>
      <c r="PH24">
        <v>393</v>
      </c>
      <c r="PI24" s="16">
        <v>44263</v>
      </c>
      <c r="PJ24">
        <v>63694</v>
      </c>
      <c r="PK24">
        <v>831</v>
      </c>
      <c r="PL24" s="16">
        <v>44264</v>
      </c>
      <c r="PM24">
        <v>64469</v>
      </c>
      <c r="PN24">
        <v>762</v>
      </c>
      <c r="PO24" s="16">
        <v>44265</v>
      </c>
      <c r="PP24">
        <v>65281</v>
      </c>
      <c r="PQ24">
        <v>805</v>
      </c>
      <c r="PR24" s="16">
        <v>44266</v>
      </c>
      <c r="PS24">
        <v>66050</v>
      </c>
      <c r="PT24">
        <v>769</v>
      </c>
      <c r="PU24" s="16">
        <v>44267</v>
      </c>
      <c r="PV24">
        <v>66840</v>
      </c>
      <c r="PW24">
        <v>789</v>
      </c>
      <c r="PX24" s="16">
        <v>44268</v>
      </c>
      <c r="PY24">
        <v>67395</v>
      </c>
      <c r="PZ24">
        <v>492</v>
      </c>
      <c r="QA24" s="16">
        <v>44269</v>
      </c>
      <c r="QB24">
        <v>67835</v>
      </c>
      <c r="QC24">
        <v>435</v>
      </c>
      <c r="QD24" s="16">
        <v>44270</v>
      </c>
      <c r="QE24">
        <v>68728</v>
      </c>
      <c r="QF24">
        <v>890</v>
      </c>
      <c r="QG24" s="16">
        <v>44271</v>
      </c>
      <c r="QH24">
        <v>69491</v>
      </c>
      <c r="QI24">
        <v>765</v>
      </c>
      <c r="QJ24" s="16">
        <v>44272</v>
      </c>
      <c r="QK24">
        <v>70238</v>
      </c>
      <c r="QL24">
        <v>744</v>
      </c>
      <c r="QM24" s="16">
        <v>44273</v>
      </c>
      <c r="QN24">
        <v>70972</v>
      </c>
      <c r="QO24">
        <v>735</v>
      </c>
      <c r="QP24" s="16">
        <v>44274</v>
      </c>
      <c r="QQ24">
        <v>71714</v>
      </c>
      <c r="QR24">
        <v>741</v>
      </c>
      <c r="QS24" s="16">
        <v>44275</v>
      </c>
      <c r="QT24">
        <v>72123</v>
      </c>
      <c r="QU24">
        <v>402</v>
      </c>
      <c r="QV24" s="16">
        <v>44276</v>
      </c>
      <c r="QW24">
        <v>72541</v>
      </c>
      <c r="QX24">
        <v>418</v>
      </c>
      <c r="QY24" s="16">
        <v>44277</v>
      </c>
      <c r="QZ24">
        <v>73305</v>
      </c>
      <c r="RA24">
        <v>765</v>
      </c>
      <c r="RB24" s="16">
        <v>44278</v>
      </c>
      <c r="RC24">
        <v>74005</v>
      </c>
      <c r="RD24">
        <v>698</v>
      </c>
      <c r="RE24" s="16"/>
      <c r="RH24" s="16"/>
      <c r="RK24" s="16"/>
      <c r="RN24" s="16"/>
      <c r="RQ24" s="16"/>
    </row>
    <row r="25" spans="2:485">
      <c r="B25" t="str">
        <f t="shared" ca="1" si="2"/>
        <v>24.3</v>
      </c>
      <c r="C25" s="4">
        <f t="shared" ca="1" si="0"/>
        <v>44279</v>
      </c>
      <c r="D25" s="11">
        <f t="shared" ca="1" si="1"/>
        <v>74701</v>
      </c>
      <c r="E25">
        <f t="shared" ca="1" si="3"/>
        <v>699</v>
      </c>
      <c r="F25" s="11">
        <f t="shared" ca="1" si="4"/>
        <v>0</v>
      </c>
      <c r="G25" s="11">
        <f t="shared" ca="1" si="5"/>
        <v>699</v>
      </c>
      <c r="J25" s="10"/>
      <c r="K25" s="10">
        <f ca="1">SUM(E25:E31)</f>
        <v>3924</v>
      </c>
      <c r="L25" s="10" t="str">
        <f ca="1">TEXT(K25/K18-1,"0 %")</f>
        <v>-13 %</v>
      </c>
      <c r="N25" s="16">
        <v>44279</v>
      </c>
      <c r="O25">
        <v>74704</v>
      </c>
      <c r="P25">
        <v>699</v>
      </c>
      <c r="Q25" s="16">
        <v>44279</v>
      </c>
      <c r="R25">
        <v>74704</v>
      </c>
      <c r="S25">
        <v>699</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v>44252</v>
      </c>
      <c r="NZ25">
        <v>56923</v>
      </c>
      <c r="OA25">
        <v>616</v>
      </c>
      <c r="OB25" s="16">
        <v>44253</v>
      </c>
      <c r="OC25">
        <v>57602</v>
      </c>
      <c r="OD25">
        <v>673</v>
      </c>
      <c r="OE25" s="16">
        <v>44254</v>
      </c>
      <c r="OF25">
        <v>58002</v>
      </c>
      <c r="OG25">
        <v>398</v>
      </c>
      <c r="OH25" s="16">
        <v>44255</v>
      </c>
      <c r="OI25">
        <v>58438</v>
      </c>
      <c r="OJ25">
        <v>421</v>
      </c>
      <c r="OK25" s="16">
        <v>44256</v>
      </c>
      <c r="OL25">
        <v>59307</v>
      </c>
      <c r="OM25">
        <v>868</v>
      </c>
      <c r="ON25" s="16">
        <v>44257</v>
      </c>
      <c r="OO25">
        <v>60062</v>
      </c>
      <c r="OP25">
        <v>754</v>
      </c>
      <c r="OQ25" s="16">
        <v>44258</v>
      </c>
      <c r="OR25">
        <v>60806</v>
      </c>
      <c r="OS25">
        <v>739</v>
      </c>
      <c r="OT25" s="16">
        <v>44259</v>
      </c>
      <c r="OU25">
        <v>61433</v>
      </c>
      <c r="OV25">
        <v>628</v>
      </c>
      <c r="OW25" s="16">
        <v>44260</v>
      </c>
      <c r="OX25">
        <v>62029</v>
      </c>
      <c r="OY25">
        <v>600</v>
      </c>
      <c r="OZ25" s="16">
        <v>44261</v>
      </c>
      <c r="PA25">
        <v>62465</v>
      </c>
      <c r="PB25">
        <v>434</v>
      </c>
      <c r="PC25" s="16">
        <v>44262</v>
      </c>
      <c r="PD25">
        <v>62860</v>
      </c>
      <c r="PE25">
        <v>391</v>
      </c>
      <c r="PF25" s="16">
        <v>44263</v>
      </c>
      <c r="PG25">
        <v>63688</v>
      </c>
      <c r="PH25">
        <v>828</v>
      </c>
      <c r="PI25" s="16">
        <v>44264</v>
      </c>
      <c r="PJ25">
        <v>64440</v>
      </c>
      <c r="PK25">
        <v>746</v>
      </c>
      <c r="PL25" s="16">
        <v>44265</v>
      </c>
      <c r="PM25">
        <v>65268</v>
      </c>
      <c r="PN25">
        <v>799</v>
      </c>
      <c r="PO25" s="16">
        <v>44266</v>
      </c>
      <c r="PP25">
        <v>66050</v>
      </c>
      <c r="PQ25">
        <v>769</v>
      </c>
      <c r="PR25" s="16">
        <v>44267</v>
      </c>
      <c r="PS25">
        <v>66839</v>
      </c>
      <c r="PT25">
        <v>789</v>
      </c>
      <c r="PU25" s="16">
        <v>44268</v>
      </c>
      <c r="PV25">
        <v>67329</v>
      </c>
      <c r="PW25">
        <v>489</v>
      </c>
      <c r="PX25" s="16">
        <v>44269</v>
      </c>
      <c r="PY25">
        <v>67830</v>
      </c>
      <c r="PZ25">
        <v>435</v>
      </c>
      <c r="QA25" s="16">
        <v>44270</v>
      </c>
      <c r="QB25">
        <v>68724</v>
      </c>
      <c r="QC25">
        <v>889</v>
      </c>
      <c r="QD25" s="16">
        <v>44271</v>
      </c>
      <c r="QE25">
        <v>69493</v>
      </c>
      <c r="QF25">
        <v>765</v>
      </c>
      <c r="QG25" s="16">
        <v>44272</v>
      </c>
      <c r="QH25">
        <v>70228</v>
      </c>
      <c r="QI25">
        <v>737</v>
      </c>
      <c r="QJ25" s="16">
        <v>44273</v>
      </c>
      <c r="QK25">
        <v>70973</v>
      </c>
      <c r="QL25">
        <v>735</v>
      </c>
      <c r="QM25" s="16">
        <v>44274</v>
      </c>
      <c r="QN25">
        <v>71713</v>
      </c>
      <c r="QO25">
        <v>741</v>
      </c>
      <c r="QP25" s="16">
        <v>44275</v>
      </c>
      <c r="QQ25">
        <v>72113</v>
      </c>
      <c r="QR25">
        <v>399</v>
      </c>
      <c r="QS25" s="16">
        <v>44276</v>
      </c>
      <c r="QT25">
        <v>72541</v>
      </c>
      <c r="QU25">
        <v>418</v>
      </c>
      <c r="QV25" s="16">
        <v>44277</v>
      </c>
      <c r="QW25">
        <v>73304</v>
      </c>
      <c r="QX25">
        <v>763</v>
      </c>
      <c r="QY25" s="16">
        <v>44278</v>
      </c>
      <c r="QZ25">
        <v>74003</v>
      </c>
      <c r="RA25">
        <v>698</v>
      </c>
      <c r="RB25" s="16">
        <v>44279</v>
      </c>
      <c r="RC25">
        <v>74704</v>
      </c>
      <c r="RD25">
        <v>699</v>
      </c>
      <c r="RE25" s="16"/>
      <c r="RH25" s="16"/>
      <c r="RK25" s="16"/>
      <c r="RN25" s="16"/>
      <c r="RQ25" s="16"/>
    </row>
    <row r="26" spans="2:485">
      <c r="B26" t="str">
        <f t="shared" ca="1" si="2"/>
        <v>25.3</v>
      </c>
      <c r="C26" s="4">
        <f t="shared" ca="1" si="0"/>
        <v>44280</v>
      </c>
      <c r="D26" s="11">
        <f t="shared" ca="1" si="1"/>
        <v>75308</v>
      </c>
      <c r="E26">
        <f t="shared" ca="1" si="3"/>
        <v>607</v>
      </c>
      <c r="F26" s="11">
        <f t="shared" ca="1" si="4"/>
        <v>0</v>
      </c>
      <c r="G26" s="11">
        <f t="shared" ca="1" si="5"/>
        <v>607</v>
      </c>
      <c r="L26" s="3"/>
      <c r="N26" s="16">
        <v>44280</v>
      </c>
      <c r="O26">
        <v>75311</v>
      </c>
      <c r="P26">
        <v>607</v>
      </c>
      <c r="Q26" s="16">
        <v>44280</v>
      </c>
      <c r="R26">
        <v>75311</v>
      </c>
      <c r="S26">
        <v>607</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v>44253</v>
      </c>
      <c r="NZ26">
        <v>57598</v>
      </c>
      <c r="OA26">
        <v>675</v>
      </c>
      <c r="OB26" s="16">
        <v>44254</v>
      </c>
      <c r="OC26">
        <v>58000</v>
      </c>
      <c r="OD26">
        <v>398</v>
      </c>
      <c r="OE26" s="16">
        <v>44255</v>
      </c>
      <c r="OF26">
        <v>58420</v>
      </c>
      <c r="OG26">
        <v>418</v>
      </c>
      <c r="OH26" s="16">
        <v>44256</v>
      </c>
      <c r="OI26">
        <v>59306</v>
      </c>
      <c r="OJ26">
        <v>868</v>
      </c>
      <c r="OK26" s="16">
        <v>44257</v>
      </c>
      <c r="OL26">
        <v>60061</v>
      </c>
      <c r="OM26">
        <v>754</v>
      </c>
      <c r="ON26" s="16">
        <v>44258</v>
      </c>
      <c r="OO26">
        <v>60799</v>
      </c>
      <c r="OP26">
        <v>737</v>
      </c>
      <c r="OQ26" s="16">
        <v>44259</v>
      </c>
      <c r="OR26">
        <v>61432</v>
      </c>
      <c r="OS26">
        <v>626</v>
      </c>
      <c r="OT26" s="16">
        <v>44260</v>
      </c>
      <c r="OU26">
        <v>62031</v>
      </c>
      <c r="OV26">
        <v>598</v>
      </c>
      <c r="OW26" s="16">
        <v>44261</v>
      </c>
      <c r="OX26">
        <v>62461</v>
      </c>
      <c r="OY26">
        <v>432</v>
      </c>
      <c r="OZ26" s="16">
        <v>44262</v>
      </c>
      <c r="PA26">
        <v>62854</v>
      </c>
      <c r="PB26">
        <v>389</v>
      </c>
      <c r="PC26" s="16">
        <v>44263</v>
      </c>
      <c r="PD26">
        <v>63688</v>
      </c>
      <c r="PE26">
        <v>828</v>
      </c>
      <c r="PF26" s="16">
        <v>44264</v>
      </c>
      <c r="PG26">
        <v>64431</v>
      </c>
      <c r="PH26">
        <v>743</v>
      </c>
      <c r="PI26" s="16">
        <v>44265</v>
      </c>
      <c r="PJ26">
        <v>65221</v>
      </c>
      <c r="PK26">
        <v>781</v>
      </c>
      <c r="PL26" s="16">
        <v>44266</v>
      </c>
      <c r="PM26">
        <v>66029</v>
      </c>
      <c r="PN26">
        <v>761</v>
      </c>
      <c r="PO26" s="16">
        <v>44267</v>
      </c>
      <c r="PP26">
        <v>66839</v>
      </c>
      <c r="PQ26">
        <v>789</v>
      </c>
      <c r="PR26" s="16">
        <v>44268</v>
      </c>
      <c r="PS26">
        <v>67329</v>
      </c>
      <c r="PT26">
        <v>490</v>
      </c>
      <c r="PU26" s="16">
        <v>44269</v>
      </c>
      <c r="PV26">
        <v>67755</v>
      </c>
      <c r="PW26">
        <v>426</v>
      </c>
      <c r="PX26" s="16">
        <v>44270</v>
      </c>
      <c r="PY26">
        <v>68717</v>
      </c>
      <c r="PZ26">
        <v>887</v>
      </c>
      <c r="QA26" s="16">
        <v>44271</v>
      </c>
      <c r="QB26">
        <v>69488</v>
      </c>
      <c r="QC26">
        <v>764</v>
      </c>
      <c r="QD26" s="16">
        <v>44272</v>
      </c>
      <c r="QE26">
        <v>70228</v>
      </c>
      <c r="QF26">
        <v>735</v>
      </c>
      <c r="QG26" s="16">
        <v>44273</v>
      </c>
      <c r="QH26">
        <v>70964</v>
      </c>
      <c r="QI26">
        <v>736</v>
      </c>
      <c r="QJ26" s="16">
        <v>44274</v>
      </c>
      <c r="QK26">
        <v>71713</v>
      </c>
      <c r="QL26">
        <v>740</v>
      </c>
      <c r="QM26" s="16">
        <v>44275</v>
      </c>
      <c r="QN26">
        <v>72112</v>
      </c>
      <c r="QO26">
        <v>399</v>
      </c>
      <c r="QP26" s="16">
        <v>44276</v>
      </c>
      <c r="QQ26">
        <v>72531</v>
      </c>
      <c r="QR26">
        <v>418</v>
      </c>
      <c r="QS26" s="16">
        <v>44277</v>
      </c>
      <c r="QT26">
        <v>73305</v>
      </c>
      <c r="QU26">
        <v>764</v>
      </c>
      <c r="QV26" s="16">
        <v>44278</v>
      </c>
      <c r="QW26">
        <v>74002</v>
      </c>
      <c r="QX26">
        <v>698</v>
      </c>
      <c r="QY26" s="16">
        <v>44279</v>
      </c>
      <c r="QZ26">
        <v>74702</v>
      </c>
      <c r="RA26">
        <v>699</v>
      </c>
      <c r="RB26" s="16">
        <v>44280</v>
      </c>
      <c r="RC26">
        <v>75311</v>
      </c>
      <c r="RD26">
        <v>607</v>
      </c>
      <c r="RE26" s="16"/>
      <c r="RH26" s="16"/>
      <c r="RK26" s="16"/>
      <c r="RN26" s="16"/>
      <c r="RQ26" s="16"/>
    </row>
    <row r="27" spans="2:485">
      <c r="B27" t="str">
        <f t="shared" ca="1" si="2"/>
        <v>26.3</v>
      </c>
      <c r="C27" s="4">
        <f t="shared" ca="1" si="0"/>
        <v>44281</v>
      </c>
      <c r="D27" s="11">
        <f t="shared" ca="1" si="1"/>
        <v>75990</v>
      </c>
      <c r="E27">
        <f t="shared" ca="1" si="3"/>
        <v>682</v>
      </c>
      <c r="F27" s="11">
        <f t="shared" ca="1" si="4"/>
        <v>-1</v>
      </c>
      <c r="G27" s="11">
        <f t="shared" ca="1" si="5"/>
        <v>683</v>
      </c>
      <c r="K27" s="13"/>
      <c r="L27" s="3"/>
      <c r="N27" s="16">
        <v>44281</v>
      </c>
      <c r="O27">
        <v>75994</v>
      </c>
      <c r="P27" s="10">
        <v>683</v>
      </c>
      <c r="Q27" s="16">
        <v>44281</v>
      </c>
      <c r="R27">
        <v>75994</v>
      </c>
      <c r="S27">
        <v>683</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v>44254</v>
      </c>
      <c r="NZ27">
        <v>57996</v>
      </c>
      <c r="OA27">
        <v>398</v>
      </c>
      <c r="OB27" s="16">
        <v>44255</v>
      </c>
      <c r="OC27">
        <v>58419</v>
      </c>
      <c r="OD27">
        <v>419</v>
      </c>
      <c r="OE27" s="16">
        <v>44256</v>
      </c>
      <c r="OF27">
        <v>59287</v>
      </c>
      <c r="OG27">
        <v>867</v>
      </c>
      <c r="OH27" s="16">
        <v>44257</v>
      </c>
      <c r="OI27">
        <v>60061</v>
      </c>
      <c r="OJ27">
        <v>755</v>
      </c>
      <c r="OK27" s="16">
        <v>44258</v>
      </c>
      <c r="OL27">
        <v>60794</v>
      </c>
      <c r="OM27">
        <v>733</v>
      </c>
      <c r="ON27" s="16">
        <v>44259</v>
      </c>
      <c r="OO27">
        <v>61426</v>
      </c>
      <c r="OP27">
        <v>627</v>
      </c>
      <c r="OQ27" s="16">
        <v>44260</v>
      </c>
      <c r="OR27">
        <v>62032</v>
      </c>
      <c r="OS27">
        <v>600</v>
      </c>
      <c r="OT27" s="16">
        <v>44261</v>
      </c>
      <c r="OU27">
        <v>62462</v>
      </c>
      <c r="OV27">
        <v>431</v>
      </c>
      <c r="OW27" s="16">
        <v>44262</v>
      </c>
      <c r="OX27">
        <v>62851</v>
      </c>
      <c r="OY27">
        <v>390</v>
      </c>
      <c r="OZ27" s="16">
        <v>44263</v>
      </c>
      <c r="PA27">
        <v>63682</v>
      </c>
      <c r="PB27">
        <v>828</v>
      </c>
      <c r="PC27" s="16">
        <v>44264</v>
      </c>
      <c r="PD27">
        <v>64430</v>
      </c>
      <c r="PE27">
        <v>742</v>
      </c>
      <c r="PF27" s="16">
        <v>44265</v>
      </c>
      <c r="PG27">
        <v>65207</v>
      </c>
      <c r="PH27">
        <v>776</v>
      </c>
      <c r="PI27" s="16">
        <v>44266</v>
      </c>
      <c r="PJ27">
        <v>65971</v>
      </c>
      <c r="PK27">
        <v>750</v>
      </c>
      <c r="PL27" s="16">
        <v>44267</v>
      </c>
      <c r="PM27">
        <v>66814</v>
      </c>
      <c r="PN27">
        <v>785</v>
      </c>
      <c r="PO27" s="16">
        <v>44268</v>
      </c>
      <c r="PP27">
        <v>67327</v>
      </c>
      <c r="PQ27">
        <v>488</v>
      </c>
      <c r="PR27" s="16">
        <v>44269</v>
      </c>
      <c r="PS27">
        <v>67753</v>
      </c>
      <c r="PT27">
        <v>424</v>
      </c>
      <c r="PU27" s="16">
        <v>44270</v>
      </c>
      <c r="PV27">
        <v>68643</v>
      </c>
      <c r="PW27">
        <v>888</v>
      </c>
      <c r="PX27" s="16">
        <v>44271</v>
      </c>
      <c r="PY27">
        <v>69481</v>
      </c>
      <c r="PZ27">
        <v>764</v>
      </c>
      <c r="QA27" s="16">
        <v>44272</v>
      </c>
      <c r="QB27">
        <v>70223</v>
      </c>
      <c r="QC27">
        <v>735</v>
      </c>
      <c r="QD27" s="16">
        <v>44273</v>
      </c>
      <c r="QE27">
        <v>70963</v>
      </c>
      <c r="QF27">
        <v>735</v>
      </c>
      <c r="QG27" s="16">
        <v>44274</v>
      </c>
      <c r="QH27">
        <v>71701</v>
      </c>
      <c r="QI27">
        <v>737</v>
      </c>
      <c r="QJ27" s="16">
        <v>44275</v>
      </c>
      <c r="QK27">
        <v>72112</v>
      </c>
      <c r="QL27">
        <v>399</v>
      </c>
      <c r="QM27" s="16">
        <v>44276</v>
      </c>
      <c r="QN27">
        <v>72530</v>
      </c>
      <c r="QO27">
        <v>418</v>
      </c>
      <c r="QP27" s="16">
        <v>44277</v>
      </c>
      <c r="QQ27">
        <v>73292</v>
      </c>
      <c r="QR27">
        <v>761</v>
      </c>
      <c r="QS27" s="16">
        <v>44278</v>
      </c>
      <c r="QT27">
        <v>74003</v>
      </c>
      <c r="QU27">
        <v>698</v>
      </c>
      <c r="QV27" s="16">
        <v>44279</v>
      </c>
      <c r="QW27">
        <v>74701</v>
      </c>
      <c r="QX27">
        <v>699</v>
      </c>
      <c r="QY27" s="16">
        <v>44280</v>
      </c>
      <c r="QZ27">
        <v>75309</v>
      </c>
      <c r="RA27">
        <v>607</v>
      </c>
      <c r="RB27" s="16">
        <v>44281</v>
      </c>
      <c r="RC27">
        <v>75994</v>
      </c>
      <c r="RD27">
        <v>683</v>
      </c>
      <c r="RE27" s="16"/>
      <c r="RH27" s="16"/>
      <c r="RK27" s="16"/>
      <c r="RN27" s="16"/>
      <c r="RQ27" s="16"/>
    </row>
    <row r="28" spans="2:485" s="10" customFormat="1">
      <c r="B28" t="str">
        <f t="shared" ca="1" si="2"/>
        <v>27.3</v>
      </c>
      <c r="C28" s="9">
        <f t="shared" ca="1" si="0"/>
        <v>44282</v>
      </c>
      <c r="D28" s="10">
        <f t="shared" ca="1" si="1"/>
        <v>76340</v>
      </c>
      <c r="E28" s="10">
        <f t="shared" ca="1" si="3"/>
        <v>350</v>
      </c>
      <c r="F28" s="10">
        <f t="shared" ca="1" si="4"/>
        <v>0</v>
      </c>
      <c r="G28" s="10">
        <f t="shared" ca="1" si="5"/>
        <v>350</v>
      </c>
      <c r="H28" s="10">
        <f ca="1">SUM(E28:E34)</f>
        <v>3104</v>
      </c>
      <c r="I28" s="10" t="str">
        <f ca="1">TEXT(H28/H21-1,"0 %")</f>
        <v>-27 %</v>
      </c>
      <c r="L28" s="14"/>
      <c r="M28"/>
      <c r="N28" s="17">
        <v>44282</v>
      </c>
      <c r="O28" s="10">
        <v>76344</v>
      </c>
      <c r="P28">
        <v>350</v>
      </c>
      <c r="Q28" s="17">
        <v>44282</v>
      </c>
      <c r="R28" s="10">
        <v>76344</v>
      </c>
      <c r="S28" s="10">
        <v>350</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v>44255</v>
      </c>
      <c r="NZ28" s="10">
        <v>58415</v>
      </c>
      <c r="OA28" s="10">
        <v>419</v>
      </c>
      <c r="OB28" s="17">
        <v>44256</v>
      </c>
      <c r="OC28" s="10">
        <v>59280</v>
      </c>
      <c r="OD28" s="10">
        <v>861</v>
      </c>
      <c r="OE28" s="17">
        <v>44257</v>
      </c>
      <c r="OF28" s="10">
        <v>60028</v>
      </c>
      <c r="OG28" s="10">
        <v>741</v>
      </c>
      <c r="OH28" s="17">
        <v>44258</v>
      </c>
      <c r="OI28" s="10">
        <v>60795</v>
      </c>
      <c r="OJ28" s="10">
        <v>734</v>
      </c>
      <c r="OK28" s="17">
        <v>44259</v>
      </c>
      <c r="OL28" s="10">
        <v>61417</v>
      </c>
      <c r="OM28" s="10">
        <v>623</v>
      </c>
      <c r="ON28" s="17">
        <v>44260</v>
      </c>
      <c r="OO28" s="10">
        <v>62022</v>
      </c>
      <c r="OP28" s="10">
        <v>596</v>
      </c>
      <c r="OQ28" s="17">
        <v>44261</v>
      </c>
      <c r="OR28" s="10">
        <v>62463</v>
      </c>
      <c r="OS28" s="10">
        <v>431</v>
      </c>
      <c r="OT28" s="17">
        <v>44262</v>
      </c>
      <c r="OU28" s="10">
        <v>62851</v>
      </c>
      <c r="OV28" s="10">
        <v>389</v>
      </c>
      <c r="OW28" s="17">
        <v>44263</v>
      </c>
      <c r="OX28" s="10">
        <v>63678</v>
      </c>
      <c r="OY28" s="10">
        <v>827</v>
      </c>
      <c r="OZ28" s="17">
        <v>44264</v>
      </c>
      <c r="PA28" s="10">
        <v>64423</v>
      </c>
      <c r="PB28" s="10">
        <v>741</v>
      </c>
      <c r="PC28" s="17">
        <v>44265</v>
      </c>
      <c r="PD28" s="10">
        <v>65205</v>
      </c>
      <c r="PE28" s="10">
        <v>775</v>
      </c>
      <c r="PF28" s="17">
        <v>44266</v>
      </c>
      <c r="PG28" s="10">
        <v>65957</v>
      </c>
      <c r="PH28" s="10">
        <v>750</v>
      </c>
      <c r="PI28" s="17">
        <v>44267</v>
      </c>
      <c r="PJ28" s="10">
        <v>66747</v>
      </c>
      <c r="PK28" s="10">
        <v>776</v>
      </c>
      <c r="PL28" s="17">
        <v>44268</v>
      </c>
      <c r="PM28" s="10">
        <v>67302</v>
      </c>
      <c r="PN28" s="10">
        <v>488</v>
      </c>
      <c r="PO28" s="17">
        <v>44269</v>
      </c>
      <c r="PP28" s="10">
        <v>67751</v>
      </c>
      <c r="PQ28" s="10">
        <v>424</v>
      </c>
      <c r="PR28" s="17">
        <v>44270</v>
      </c>
      <c r="PS28" s="10">
        <v>68639</v>
      </c>
      <c r="PT28" s="10">
        <v>886</v>
      </c>
      <c r="PU28" s="17">
        <v>44271</v>
      </c>
      <c r="PV28" s="10">
        <v>69387</v>
      </c>
      <c r="PW28" s="10">
        <v>744</v>
      </c>
      <c r="PX28" s="17">
        <v>44272</v>
      </c>
      <c r="PY28" s="10">
        <v>70217</v>
      </c>
      <c r="PZ28" s="10">
        <v>736</v>
      </c>
      <c r="QA28" s="17">
        <v>44273</v>
      </c>
      <c r="QB28" s="10">
        <v>70957</v>
      </c>
      <c r="QC28" s="10">
        <v>734</v>
      </c>
      <c r="QD28" s="17">
        <v>44274</v>
      </c>
      <c r="QE28" s="10">
        <v>71700</v>
      </c>
      <c r="QF28" s="10">
        <v>737</v>
      </c>
      <c r="QG28" s="17">
        <v>44275</v>
      </c>
      <c r="QH28" s="10">
        <v>72101</v>
      </c>
      <c r="QI28" s="10">
        <v>400</v>
      </c>
      <c r="QJ28" s="17">
        <v>44276</v>
      </c>
      <c r="QK28" s="10">
        <v>72528</v>
      </c>
      <c r="QL28" s="10">
        <v>416</v>
      </c>
      <c r="QM28" s="17">
        <v>44277</v>
      </c>
      <c r="QN28" s="10">
        <v>73290</v>
      </c>
      <c r="QO28" s="10">
        <v>760</v>
      </c>
      <c r="QP28" s="17">
        <v>44278</v>
      </c>
      <c r="QQ28" s="10">
        <v>73991</v>
      </c>
      <c r="QR28" s="10">
        <v>699</v>
      </c>
      <c r="QS28" s="17">
        <v>44279</v>
      </c>
      <c r="QT28" s="10">
        <v>74704</v>
      </c>
      <c r="QU28" s="10">
        <v>701</v>
      </c>
      <c r="QV28" s="17">
        <v>44280</v>
      </c>
      <c r="QW28" s="10">
        <v>75308</v>
      </c>
      <c r="QX28" s="10">
        <v>607</v>
      </c>
      <c r="QY28" s="17">
        <v>44281</v>
      </c>
      <c r="QZ28" s="10">
        <v>75991</v>
      </c>
      <c r="RA28" s="10">
        <v>682</v>
      </c>
      <c r="RB28" s="17">
        <v>44282</v>
      </c>
      <c r="RC28" s="10">
        <v>76344</v>
      </c>
      <c r="RD28" s="10">
        <v>350</v>
      </c>
      <c r="RE28" s="17"/>
      <c r="RH28" s="17"/>
      <c r="RK28" s="17"/>
      <c r="RN28" s="17"/>
      <c r="RQ28" s="17"/>
    </row>
    <row r="29" spans="2:485">
      <c r="B29" t="str">
        <f t="shared" ca="1" si="2"/>
        <v>28.3</v>
      </c>
      <c r="C29" s="4">
        <f t="shared" ca="1" si="0"/>
        <v>44283</v>
      </c>
      <c r="D29" s="11">
        <f t="shared" ca="1" si="1"/>
        <v>76711</v>
      </c>
      <c r="E29">
        <f t="shared" ca="1" si="3"/>
        <v>371</v>
      </c>
      <c r="F29" s="11">
        <f t="shared" ca="1" si="4"/>
        <v>-4</v>
      </c>
      <c r="G29" s="11">
        <f t="shared" ca="1" si="5"/>
        <v>375</v>
      </c>
      <c r="I29" s="10"/>
      <c r="K29" s="13"/>
      <c r="L29" s="3"/>
      <c r="N29" s="16">
        <v>44283</v>
      </c>
      <c r="O29">
        <v>76719</v>
      </c>
      <c r="P29">
        <v>375</v>
      </c>
      <c r="Q29" s="16">
        <v>44283</v>
      </c>
      <c r="R29">
        <v>76719</v>
      </c>
      <c r="S29">
        <v>375</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v>44256</v>
      </c>
      <c r="NZ29">
        <v>59276</v>
      </c>
      <c r="OA29">
        <v>861</v>
      </c>
      <c r="OB29" s="16">
        <v>44257</v>
      </c>
      <c r="OC29">
        <v>60020</v>
      </c>
      <c r="OD29">
        <v>740</v>
      </c>
      <c r="OE29" s="16">
        <v>44258</v>
      </c>
      <c r="OF29">
        <v>60743</v>
      </c>
      <c r="OG29">
        <v>715</v>
      </c>
      <c r="OH29" s="16">
        <v>44259</v>
      </c>
      <c r="OI29">
        <v>61416</v>
      </c>
      <c r="OJ29">
        <v>621</v>
      </c>
      <c r="OK29" s="16">
        <v>44260</v>
      </c>
      <c r="OL29">
        <v>62012</v>
      </c>
      <c r="OM29">
        <v>595</v>
      </c>
      <c r="ON29" s="16">
        <v>44261</v>
      </c>
      <c r="OO29">
        <v>62452</v>
      </c>
      <c r="OP29">
        <v>430</v>
      </c>
      <c r="OQ29" s="16">
        <v>44262</v>
      </c>
      <c r="OR29">
        <v>62856</v>
      </c>
      <c r="OS29">
        <v>393</v>
      </c>
      <c r="OT29" s="16">
        <v>44263</v>
      </c>
      <c r="OU29">
        <v>63659</v>
      </c>
      <c r="OV29">
        <v>808</v>
      </c>
      <c r="OW29" s="16">
        <v>44264</v>
      </c>
      <c r="OX29">
        <v>64419</v>
      </c>
      <c r="OY29">
        <v>741</v>
      </c>
      <c r="OZ29" s="16">
        <v>44265</v>
      </c>
      <c r="PA29">
        <v>65195</v>
      </c>
      <c r="PB29">
        <v>772</v>
      </c>
      <c r="PC29" s="16">
        <v>44266</v>
      </c>
      <c r="PD29">
        <v>65948</v>
      </c>
      <c r="PE29">
        <v>743</v>
      </c>
      <c r="PF29" s="16">
        <v>44267</v>
      </c>
      <c r="PG29">
        <v>66731</v>
      </c>
      <c r="PH29">
        <v>774</v>
      </c>
      <c r="PI29" s="16">
        <v>44268</v>
      </c>
      <c r="PJ29">
        <v>67230</v>
      </c>
      <c r="PK29">
        <v>483</v>
      </c>
      <c r="PL29" s="16">
        <v>44269</v>
      </c>
      <c r="PM29">
        <v>67724</v>
      </c>
      <c r="PN29">
        <v>422</v>
      </c>
      <c r="PO29" s="16">
        <v>44270</v>
      </c>
      <c r="PP29">
        <v>68636</v>
      </c>
      <c r="PQ29">
        <v>885</v>
      </c>
      <c r="PR29" s="16">
        <v>44271</v>
      </c>
      <c r="PS29">
        <v>69382</v>
      </c>
      <c r="PT29">
        <v>743</v>
      </c>
      <c r="PU29" s="16">
        <v>44272</v>
      </c>
      <c r="PV29">
        <v>70098</v>
      </c>
      <c r="PW29">
        <v>711</v>
      </c>
      <c r="PX29" s="16">
        <v>44273</v>
      </c>
      <c r="PY29">
        <v>70926</v>
      </c>
      <c r="PZ29">
        <v>709</v>
      </c>
      <c r="QA29" s="16">
        <v>44274</v>
      </c>
      <c r="QB29">
        <v>71695</v>
      </c>
      <c r="QC29">
        <v>738</v>
      </c>
      <c r="QD29" s="16">
        <v>44275</v>
      </c>
      <c r="QE29">
        <v>72100</v>
      </c>
      <c r="QF29">
        <v>400</v>
      </c>
      <c r="QG29" s="16">
        <v>44276</v>
      </c>
      <c r="QH29">
        <v>72517</v>
      </c>
      <c r="QI29">
        <v>416</v>
      </c>
      <c r="QJ29" s="16">
        <v>44277</v>
      </c>
      <c r="QK29">
        <v>73288</v>
      </c>
      <c r="QL29">
        <v>760</v>
      </c>
      <c r="QM29" s="16">
        <v>44278</v>
      </c>
      <c r="QN29">
        <v>73988</v>
      </c>
      <c r="QO29">
        <v>698</v>
      </c>
      <c r="QP29" s="16">
        <v>44279</v>
      </c>
      <c r="QQ29">
        <v>74648</v>
      </c>
      <c r="QR29">
        <v>657</v>
      </c>
      <c r="QS29" s="16">
        <v>44280</v>
      </c>
      <c r="QT29">
        <v>75281</v>
      </c>
      <c r="QU29">
        <v>577</v>
      </c>
      <c r="QV29" s="16">
        <v>44281</v>
      </c>
      <c r="QW29">
        <v>75986</v>
      </c>
      <c r="QX29">
        <v>678</v>
      </c>
      <c r="QY29" s="16">
        <v>44282</v>
      </c>
      <c r="QZ29">
        <v>76341</v>
      </c>
      <c r="RA29">
        <v>350</v>
      </c>
      <c r="RB29" s="16">
        <v>44283</v>
      </c>
      <c r="RC29">
        <v>76719</v>
      </c>
      <c r="RD29">
        <v>375</v>
      </c>
      <c r="RE29" s="16"/>
      <c r="RH29" s="16"/>
      <c r="RK29" s="16"/>
      <c r="RN29" s="16"/>
      <c r="RQ29" s="16"/>
    </row>
    <row r="30" spans="2:485">
      <c r="B30" t="str">
        <f t="shared" ca="1" si="2"/>
        <v>Ma 29</v>
      </c>
      <c r="C30" s="4">
        <f t="shared" ca="1" si="0"/>
        <v>44284</v>
      </c>
      <c r="D30" s="11">
        <f t="shared" ca="1" si="1"/>
        <v>77359</v>
      </c>
      <c r="E30">
        <f t="shared" ca="1" si="3"/>
        <v>648</v>
      </c>
      <c r="F30" s="11">
        <f t="shared" ca="1" si="4"/>
        <v>5</v>
      </c>
      <c r="G30" s="11">
        <f t="shared" ca="1" si="5"/>
        <v>643</v>
      </c>
      <c r="K30" s="4"/>
      <c r="L30" s="3"/>
      <c r="N30" s="16">
        <v>44284</v>
      </c>
      <c r="O30">
        <v>77362</v>
      </c>
      <c r="P30">
        <v>643</v>
      </c>
      <c r="Q30" s="16">
        <v>44284</v>
      </c>
      <c r="R30">
        <v>77362</v>
      </c>
      <c r="S30">
        <v>643</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v>44257</v>
      </c>
      <c r="NZ30">
        <v>60016</v>
      </c>
      <c r="OA30">
        <v>740</v>
      </c>
      <c r="OB30" s="16">
        <v>44258</v>
      </c>
      <c r="OC30">
        <v>60734</v>
      </c>
      <c r="OD30">
        <v>714</v>
      </c>
      <c r="OE30" s="16">
        <v>44259</v>
      </c>
      <c r="OF30">
        <v>61360</v>
      </c>
      <c r="OG30">
        <v>617</v>
      </c>
      <c r="OH30" s="16">
        <v>44260</v>
      </c>
      <c r="OI30">
        <v>62008</v>
      </c>
      <c r="OJ30">
        <v>592</v>
      </c>
      <c r="OK30" s="16">
        <v>44261</v>
      </c>
      <c r="OL30">
        <v>62436</v>
      </c>
      <c r="OM30">
        <v>424</v>
      </c>
      <c r="ON30" s="16">
        <v>44262</v>
      </c>
      <c r="OO30">
        <v>62842</v>
      </c>
      <c r="OP30">
        <v>390</v>
      </c>
      <c r="OQ30" s="16">
        <v>44263</v>
      </c>
      <c r="OR30">
        <v>63667</v>
      </c>
      <c r="OS30">
        <v>811</v>
      </c>
      <c r="OT30" s="16">
        <v>44264</v>
      </c>
      <c r="OU30">
        <v>64340</v>
      </c>
      <c r="OV30">
        <v>681</v>
      </c>
      <c r="OW30" s="16">
        <v>44265</v>
      </c>
      <c r="OX30">
        <v>65190</v>
      </c>
      <c r="OY30">
        <v>771</v>
      </c>
      <c r="OZ30" s="16">
        <v>44266</v>
      </c>
      <c r="PA30">
        <v>65931</v>
      </c>
      <c r="PB30">
        <v>736</v>
      </c>
      <c r="PC30" s="16">
        <v>44267</v>
      </c>
      <c r="PD30">
        <v>66722</v>
      </c>
      <c r="PE30">
        <v>774</v>
      </c>
      <c r="PF30" s="16">
        <v>44268</v>
      </c>
      <c r="PG30">
        <v>67216</v>
      </c>
      <c r="PH30">
        <v>485</v>
      </c>
      <c r="PI30" s="16">
        <v>44269</v>
      </c>
      <c r="PJ30">
        <v>67648</v>
      </c>
      <c r="PK30">
        <v>418</v>
      </c>
      <c r="PL30" s="16">
        <v>44270</v>
      </c>
      <c r="PM30">
        <v>68601</v>
      </c>
      <c r="PN30">
        <v>877</v>
      </c>
      <c r="PO30" s="16">
        <v>44271</v>
      </c>
      <c r="PP30">
        <v>69379</v>
      </c>
      <c r="PQ30">
        <v>743</v>
      </c>
      <c r="PR30" s="16">
        <v>44272</v>
      </c>
      <c r="PS30">
        <v>70093</v>
      </c>
      <c r="PT30">
        <v>711</v>
      </c>
      <c r="PU30" s="16">
        <v>44273</v>
      </c>
      <c r="PV30">
        <v>70800</v>
      </c>
      <c r="PW30">
        <v>702</v>
      </c>
      <c r="PX30" s="16">
        <v>44274</v>
      </c>
      <c r="PY30">
        <v>71643</v>
      </c>
      <c r="PZ30">
        <v>717</v>
      </c>
      <c r="QA30" s="16">
        <v>44275</v>
      </c>
      <c r="QB30">
        <v>72092</v>
      </c>
      <c r="QC30">
        <v>397</v>
      </c>
      <c r="QD30" s="16">
        <v>44276</v>
      </c>
      <c r="QE30">
        <v>72516</v>
      </c>
      <c r="QF30">
        <v>416</v>
      </c>
      <c r="QG30" s="16">
        <v>44277</v>
      </c>
      <c r="QH30">
        <v>73264</v>
      </c>
      <c r="QI30">
        <v>747</v>
      </c>
      <c r="QJ30" s="16">
        <v>44278</v>
      </c>
      <c r="QK30">
        <v>73985</v>
      </c>
      <c r="QL30">
        <v>697</v>
      </c>
      <c r="QM30" s="16">
        <v>44279</v>
      </c>
      <c r="QN30">
        <v>74643</v>
      </c>
      <c r="QO30">
        <v>655</v>
      </c>
      <c r="QP30" s="16">
        <v>44280</v>
      </c>
      <c r="QQ30">
        <v>75226</v>
      </c>
      <c r="QR30">
        <v>578</v>
      </c>
      <c r="QS30" s="16">
        <v>44281</v>
      </c>
      <c r="QT30">
        <v>75932</v>
      </c>
      <c r="QU30">
        <v>651</v>
      </c>
      <c r="QV30" s="16">
        <v>44282</v>
      </c>
      <c r="QW30">
        <v>76335</v>
      </c>
      <c r="QX30">
        <v>349</v>
      </c>
      <c r="QY30" s="16">
        <v>44283</v>
      </c>
      <c r="QZ30">
        <v>76712</v>
      </c>
      <c r="RA30">
        <v>371</v>
      </c>
      <c r="RB30" s="16">
        <v>44284</v>
      </c>
      <c r="RC30">
        <v>77362</v>
      </c>
      <c r="RD30">
        <v>643</v>
      </c>
      <c r="RE30" s="16"/>
      <c r="RH30" s="16"/>
      <c r="RK30" s="16"/>
      <c r="RN30" s="16"/>
      <c r="RQ30" s="16"/>
    </row>
    <row r="31" spans="2:485">
      <c r="B31" t="str">
        <f t="shared" ca="1" si="2"/>
        <v>30.3</v>
      </c>
      <c r="C31" s="4">
        <f t="shared" ca="1" si="0"/>
        <v>44285</v>
      </c>
      <c r="D31" s="11">
        <f t="shared" ca="1" si="1"/>
        <v>77926</v>
      </c>
      <c r="E31">
        <f t="shared" ca="1" si="3"/>
        <v>567</v>
      </c>
      <c r="F31" s="11">
        <f t="shared" ca="1" si="4"/>
        <v>35</v>
      </c>
      <c r="G31" s="11">
        <f t="shared" ca="1" si="5"/>
        <v>532</v>
      </c>
      <c r="K31" s="4"/>
      <c r="L31" s="3"/>
      <c r="N31" s="16">
        <v>44285</v>
      </c>
      <c r="O31">
        <v>77894</v>
      </c>
      <c r="P31">
        <v>532</v>
      </c>
      <c r="Q31" s="16">
        <v>44285</v>
      </c>
      <c r="R31">
        <v>77894</v>
      </c>
      <c r="S31">
        <v>532</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v>44258</v>
      </c>
      <c r="NZ31">
        <v>60726</v>
      </c>
      <c r="OA31">
        <v>710</v>
      </c>
      <c r="OB31" s="16">
        <v>44259</v>
      </c>
      <c r="OC31">
        <v>61343</v>
      </c>
      <c r="OD31">
        <v>609</v>
      </c>
      <c r="OE31" s="16">
        <v>44260</v>
      </c>
      <c r="OF31">
        <v>61940</v>
      </c>
      <c r="OG31">
        <v>580</v>
      </c>
      <c r="OH31" s="16">
        <v>44261</v>
      </c>
      <c r="OI31">
        <v>62414</v>
      </c>
      <c r="OJ31">
        <v>406</v>
      </c>
      <c r="OK31" s="16">
        <v>44262</v>
      </c>
      <c r="OL31">
        <v>62822</v>
      </c>
      <c r="OM31">
        <v>386</v>
      </c>
      <c r="ON31" s="16">
        <v>44263</v>
      </c>
      <c r="OO31">
        <v>63643</v>
      </c>
      <c r="OP31">
        <v>801</v>
      </c>
      <c r="OQ31" s="16">
        <v>44264</v>
      </c>
      <c r="OR31">
        <v>64304</v>
      </c>
      <c r="OS31">
        <v>637</v>
      </c>
      <c r="OT31" s="16">
        <v>44265</v>
      </c>
      <c r="OU31">
        <v>65051</v>
      </c>
      <c r="OV31">
        <v>711</v>
      </c>
      <c r="OW31" s="16">
        <v>44266</v>
      </c>
      <c r="OX31">
        <v>65921</v>
      </c>
      <c r="OY31">
        <v>731</v>
      </c>
      <c r="OZ31" s="16">
        <v>44267</v>
      </c>
      <c r="PA31">
        <v>66685</v>
      </c>
      <c r="PB31">
        <v>754</v>
      </c>
      <c r="PC31" s="16">
        <v>44268</v>
      </c>
      <c r="PD31">
        <v>67172</v>
      </c>
      <c r="PE31">
        <v>450</v>
      </c>
      <c r="PF31" s="16">
        <v>44269</v>
      </c>
      <c r="PG31">
        <v>67629</v>
      </c>
      <c r="PH31">
        <v>413</v>
      </c>
      <c r="PI31" s="16">
        <v>44270</v>
      </c>
      <c r="PJ31">
        <v>68501</v>
      </c>
      <c r="PK31">
        <v>853</v>
      </c>
      <c r="PL31" s="16">
        <v>44271</v>
      </c>
      <c r="PM31">
        <v>69303</v>
      </c>
      <c r="PN31">
        <v>702</v>
      </c>
      <c r="PO31" s="16">
        <v>44272</v>
      </c>
      <c r="PP31">
        <v>70087</v>
      </c>
      <c r="PQ31">
        <v>708</v>
      </c>
      <c r="PR31" s="16">
        <v>44273</v>
      </c>
      <c r="PS31">
        <v>70775</v>
      </c>
      <c r="PT31">
        <v>682</v>
      </c>
      <c r="PU31" s="16">
        <v>44274</v>
      </c>
      <c r="PV31">
        <v>71470</v>
      </c>
      <c r="PW31">
        <v>670</v>
      </c>
      <c r="PX31" s="16">
        <v>44275</v>
      </c>
      <c r="PY31">
        <v>72030</v>
      </c>
      <c r="PZ31">
        <v>387</v>
      </c>
      <c r="QA31" s="16">
        <v>44276</v>
      </c>
      <c r="QB31">
        <v>72488</v>
      </c>
      <c r="QC31">
        <v>396</v>
      </c>
      <c r="QD31" s="16">
        <v>44277</v>
      </c>
      <c r="QE31">
        <v>73258</v>
      </c>
      <c r="QF31">
        <v>742</v>
      </c>
      <c r="QG31" s="16">
        <v>44278</v>
      </c>
      <c r="QH31">
        <v>73911</v>
      </c>
      <c r="QI31">
        <v>647</v>
      </c>
      <c r="QJ31" s="16">
        <v>44279</v>
      </c>
      <c r="QK31">
        <v>74638</v>
      </c>
      <c r="QL31">
        <v>653</v>
      </c>
      <c r="QM31" s="16">
        <v>44280</v>
      </c>
      <c r="QN31">
        <v>75205</v>
      </c>
      <c r="QO31">
        <v>562</v>
      </c>
      <c r="QP31" s="16">
        <v>44281</v>
      </c>
      <c r="QQ31">
        <v>75869</v>
      </c>
      <c r="QR31">
        <v>643</v>
      </c>
      <c r="QS31" s="16">
        <v>44282</v>
      </c>
      <c r="QT31">
        <v>76279</v>
      </c>
      <c r="QU31">
        <v>347</v>
      </c>
      <c r="QV31" s="16">
        <v>44283</v>
      </c>
      <c r="QW31">
        <v>76695</v>
      </c>
      <c r="QX31">
        <v>360</v>
      </c>
      <c r="QY31" s="16">
        <v>44284</v>
      </c>
      <c r="QZ31">
        <v>77349</v>
      </c>
      <c r="RA31">
        <v>637</v>
      </c>
      <c r="RB31" s="16">
        <v>44285</v>
      </c>
      <c r="RC31">
        <v>77894</v>
      </c>
      <c r="RD31">
        <v>532</v>
      </c>
      <c r="RE31" s="16"/>
      <c r="RH31" s="16"/>
      <c r="RK31" s="16"/>
      <c r="RN31" s="16"/>
      <c r="RQ31" s="16"/>
    </row>
    <row r="32" spans="2:485">
      <c r="B32" t="str">
        <f t="shared" ca="1" si="2"/>
        <v>31.3</v>
      </c>
      <c r="C32" s="4">
        <f t="shared" ca="1" si="0"/>
        <v>44286</v>
      </c>
      <c r="D32" s="11">
        <f t="shared" ca="1" si="1"/>
        <v>78456</v>
      </c>
      <c r="E32">
        <f t="shared" ca="1" si="3"/>
        <v>530</v>
      </c>
      <c r="F32" s="11">
        <f t="shared" ca="1" si="4"/>
        <v>28</v>
      </c>
      <c r="G32" s="11">
        <f t="shared" ca="1" si="5"/>
        <v>502</v>
      </c>
      <c r="K32" s="4"/>
      <c r="L32" s="3"/>
      <c r="N32" s="16">
        <v>44286</v>
      </c>
      <c r="O32">
        <v>78396</v>
      </c>
      <c r="P32">
        <v>502</v>
      </c>
      <c r="Q32" s="16">
        <v>44286</v>
      </c>
      <c r="R32">
        <v>78396</v>
      </c>
      <c r="S32">
        <v>502</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v>44259</v>
      </c>
      <c r="NZ32">
        <v>61275</v>
      </c>
      <c r="OA32">
        <v>549</v>
      </c>
      <c r="OB32" s="16">
        <v>44260</v>
      </c>
      <c r="OC32">
        <v>61861</v>
      </c>
      <c r="OD32">
        <v>518</v>
      </c>
      <c r="OE32" s="16">
        <v>44261</v>
      </c>
      <c r="OF32">
        <v>62291</v>
      </c>
      <c r="OG32">
        <v>351</v>
      </c>
      <c r="OH32" s="16">
        <v>44262</v>
      </c>
      <c r="OI32">
        <v>62742</v>
      </c>
      <c r="OJ32">
        <v>328</v>
      </c>
      <c r="OK32" s="16">
        <v>44263</v>
      </c>
      <c r="OL32">
        <v>63525</v>
      </c>
      <c r="OM32">
        <v>703</v>
      </c>
      <c r="ON32" s="16">
        <v>44264</v>
      </c>
      <c r="OO32">
        <v>64259</v>
      </c>
      <c r="OP32">
        <v>616</v>
      </c>
      <c r="OQ32" s="16">
        <v>44265</v>
      </c>
      <c r="OR32">
        <v>64942</v>
      </c>
      <c r="OS32">
        <v>638</v>
      </c>
      <c r="OT32" s="16">
        <v>44266</v>
      </c>
      <c r="OU32">
        <v>65630</v>
      </c>
      <c r="OV32">
        <v>579</v>
      </c>
      <c r="OW32" s="16">
        <v>44267</v>
      </c>
      <c r="OX32">
        <v>66607</v>
      </c>
      <c r="OY32">
        <v>686</v>
      </c>
      <c r="OZ32" s="16">
        <v>44268</v>
      </c>
      <c r="PA32">
        <v>67081</v>
      </c>
      <c r="PB32">
        <v>396</v>
      </c>
      <c r="PC32" s="16">
        <v>44269</v>
      </c>
      <c r="PD32">
        <v>67538</v>
      </c>
      <c r="PE32">
        <v>366</v>
      </c>
      <c r="PF32" s="16">
        <v>44270</v>
      </c>
      <c r="PG32">
        <v>68363</v>
      </c>
      <c r="PH32">
        <v>734</v>
      </c>
      <c r="PI32" s="16">
        <v>44271</v>
      </c>
      <c r="PJ32">
        <v>69143</v>
      </c>
      <c r="PK32">
        <v>642</v>
      </c>
      <c r="PL32" s="16">
        <v>44272</v>
      </c>
      <c r="PM32">
        <v>69901</v>
      </c>
      <c r="PN32">
        <v>598</v>
      </c>
      <c r="PO32" s="16">
        <v>44273</v>
      </c>
      <c r="PP32">
        <v>70722</v>
      </c>
      <c r="PQ32">
        <v>635</v>
      </c>
      <c r="PR32" s="16">
        <v>44274</v>
      </c>
      <c r="PS32">
        <v>71382</v>
      </c>
      <c r="PT32">
        <v>607</v>
      </c>
      <c r="PU32" s="16">
        <v>44275</v>
      </c>
      <c r="PV32">
        <v>71820</v>
      </c>
      <c r="PW32">
        <v>350</v>
      </c>
      <c r="PX32" s="16">
        <v>44276</v>
      </c>
      <c r="PY32">
        <v>72359</v>
      </c>
      <c r="PZ32">
        <v>329</v>
      </c>
      <c r="QA32" s="16">
        <v>44277</v>
      </c>
      <c r="QB32">
        <v>73140</v>
      </c>
      <c r="QC32">
        <v>652</v>
      </c>
      <c r="QD32" s="16">
        <v>44278</v>
      </c>
      <c r="QE32">
        <v>73880</v>
      </c>
      <c r="QF32">
        <v>622</v>
      </c>
      <c r="QG32" s="16">
        <v>44279</v>
      </c>
      <c r="QH32">
        <v>74481</v>
      </c>
      <c r="QI32">
        <v>570</v>
      </c>
      <c r="QJ32" s="16">
        <v>44280</v>
      </c>
      <c r="QK32">
        <v>75143</v>
      </c>
      <c r="QL32">
        <v>505</v>
      </c>
      <c r="QM32" s="16">
        <v>44281</v>
      </c>
      <c r="QN32">
        <v>75788</v>
      </c>
      <c r="QO32">
        <v>583</v>
      </c>
      <c r="QP32" s="16">
        <v>44282</v>
      </c>
      <c r="QQ32">
        <v>76185</v>
      </c>
      <c r="QR32">
        <v>316</v>
      </c>
      <c r="QS32" s="16">
        <v>44283</v>
      </c>
      <c r="QT32">
        <v>76589</v>
      </c>
      <c r="QU32">
        <v>310</v>
      </c>
      <c r="QV32" s="16">
        <v>44284</v>
      </c>
      <c r="QW32">
        <v>77218</v>
      </c>
      <c r="QX32">
        <v>523</v>
      </c>
      <c r="QY32" s="16">
        <v>44285</v>
      </c>
      <c r="QZ32">
        <v>77825</v>
      </c>
      <c r="RA32">
        <v>476</v>
      </c>
      <c r="RB32" s="16">
        <v>44286</v>
      </c>
      <c r="RC32">
        <v>78396</v>
      </c>
      <c r="RD32">
        <v>502</v>
      </c>
      <c r="RE32" s="16"/>
      <c r="RH32" s="16"/>
      <c r="RK32" s="16"/>
      <c r="RN32" s="16"/>
      <c r="RQ32" s="16"/>
    </row>
    <row r="33" spans="2:524">
      <c r="B33" t="str">
        <f t="shared" ca="1" si="2"/>
        <v>1.4</v>
      </c>
      <c r="C33" s="4">
        <f t="shared" ca="1" si="0"/>
        <v>44287</v>
      </c>
      <c r="D33" s="11">
        <f t="shared" ca="1" si="1"/>
        <v>78871</v>
      </c>
      <c r="E33">
        <f t="shared" ca="1" si="3"/>
        <v>415</v>
      </c>
      <c r="F33" s="11">
        <f t="shared" ca="1" si="4"/>
        <v>140</v>
      </c>
      <c r="G33" s="11">
        <f t="shared" ca="1" si="5"/>
        <v>275</v>
      </c>
      <c r="K33" s="4"/>
      <c r="L33" s="3"/>
      <c r="N33" s="16">
        <v>44287</v>
      </c>
      <c r="O33">
        <v>78671</v>
      </c>
      <c r="P33">
        <v>275</v>
      </c>
      <c r="Q33" s="16">
        <v>44287</v>
      </c>
      <c r="R33">
        <v>78671</v>
      </c>
      <c r="S33">
        <v>275</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v>44260</v>
      </c>
      <c r="NZ33">
        <v>61552</v>
      </c>
      <c r="OA33">
        <v>277</v>
      </c>
      <c r="OB33" s="16">
        <v>44261</v>
      </c>
      <c r="OC33">
        <v>62063</v>
      </c>
      <c r="OD33">
        <v>202</v>
      </c>
      <c r="OE33" s="16">
        <v>44262</v>
      </c>
      <c r="OF33">
        <v>62522</v>
      </c>
      <c r="OG33">
        <v>231</v>
      </c>
      <c r="OH33" s="16">
        <v>44263</v>
      </c>
      <c r="OI33">
        <v>63110</v>
      </c>
      <c r="OJ33">
        <v>368</v>
      </c>
      <c r="OK33" s="16">
        <v>44264</v>
      </c>
      <c r="OL33">
        <v>63889</v>
      </c>
      <c r="OM33">
        <v>364</v>
      </c>
      <c r="ON33" s="16">
        <v>44265</v>
      </c>
      <c r="OO33">
        <v>64609</v>
      </c>
      <c r="OP33">
        <v>350</v>
      </c>
      <c r="OQ33" s="16">
        <v>44266</v>
      </c>
      <c r="OR33">
        <v>65315</v>
      </c>
      <c r="OS33">
        <v>373</v>
      </c>
      <c r="OT33" s="16">
        <v>44267</v>
      </c>
      <c r="OU33">
        <v>66006</v>
      </c>
      <c r="OV33">
        <v>376</v>
      </c>
      <c r="OW33" s="16">
        <v>44268</v>
      </c>
      <c r="OX33">
        <v>66869</v>
      </c>
      <c r="OY33">
        <v>262</v>
      </c>
      <c r="OZ33" s="16">
        <v>44269</v>
      </c>
      <c r="PA33">
        <v>67334</v>
      </c>
      <c r="PB33">
        <v>253</v>
      </c>
      <c r="PC33" s="16">
        <v>44270</v>
      </c>
      <c r="PD33">
        <v>67851</v>
      </c>
      <c r="PE33">
        <v>313</v>
      </c>
      <c r="PF33" s="16">
        <v>44271</v>
      </c>
      <c r="PG33">
        <v>68693</v>
      </c>
      <c r="PH33">
        <v>330</v>
      </c>
      <c r="PI33" s="16">
        <v>44272</v>
      </c>
      <c r="PJ33">
        <v>69496</v>
      </c>
      <c r="PK33">
        <v>353</v>
      </c>
      <c r="PL33" s="16">
        <v>44273</v>
      </c>
      <c r="PM33">
        <v>70267</v>
      </c>
      <c r="PN33">
        <v>366</v>
      </c>
      <c r="PO33" s="16">
        <v>44274</v>
      </c>
      <c r="PP33">
        <v>71123</v>
      </c>
      <c r="PQ33">
        <v>401</v>
      </c>
      <c r="PR33" s="16">
        <v>44275</v>
      </c>
      <c r="PS33">
        <v>71642</v>
      </c>
      <c r="PT33">
        <v>260</v>
      </c>
      <c r="PU33" s="16">
        <v>44276</v>
      </c>
      <c r="PV33">
        <v>72072</v>
      </c>
      <c r="PW33">
        <v>252</v>
      </c>
      <c r="PX33" s="16">
        <v>44277</v>
      </c>
      <c r="PY33">
        <v>72713</v>
      </c>
      <c r="PZ33">
        <v>354</v>
      </c>
      <c r="QA33" s="16">
        <v>44278</v>
      </c>
      <c r="QB33">
        <v>73516</v>
      </c>
      <c r="QC33">
        <v>376</v>
      </c>
      <c r="QD33" s="16">
        <v>44279</v>
      </c>
      <c r="QE33">
        <v>74242</v>
      </c>
      <c r="QF33">
        <v>362</v>
      </c>
      <c r="QG33" s="16">
        <v>44280</v>
      </c>
      <c r="QH33">
        <v>74754</v>
      </c>
      <c r="QI33">
        <v>273</v>
      </c>
      <c r="QJ33" s="16">
        <v>44281</v>
      </c>
      <c r="QK33">
        <v>75545</v>
      </c>
      <c r="QL33">
        <v>402</v>
      </c>
      <c r="QM33" s="16">
        <v>44282</v>
      </c>
      <c r="QN33">
        <v>76003</v>
      </c>
      <c r="QO33">
        <v>215</v>
      </c>
      <c r="QP33" s="16">
        <v>44283</v>
      </c>
      <c r="QQ33">
        <v>76425</v>
      </c>
      <c r="QR33">
        <v>240</v>
      </c>
      <c r="QS33" s="16">
        <v>44284</v>
      </c>
      <c r="QT33">
        <v>76845</v>
      </c>
      <c r="QU33">
        <v>256</v>
      </c>
      <c r="QV33" s="16">
        <v>44285</v>
      </c>
      <c r="QW33">
        <v>77452</v>
      </c>
      <c r="QX33">
        <v>234</v>
      </c>
      <c r="QY33" s="16">
        <v>44286</v>
      </c>
      <c r="QZ33">
        <v>78106</v>
      </c>
      <c r="RA33">
        <v>281</v>
      </c>
      <c r="RB33" s="16">
        <v>44287</v>
      </c>
      <c r="RC33">
        <v>78671</v>
      </c>
      <c r="RD33">
        <v>275</v>
      </c>
      <c r="RE33" s="16"/>
      <c r="RH33" s="16"/>
      <c r="RK33" s="16"/>
      <c r="RN33" s="16"/>
      <c r="RQ33" s="16"/>
    </row>
    <row r="34" spans="2:524" s="10" customFormat="1">
      <c r="B34" t="str">
        <f t="shared" ca="1" si="2"/>
        <v>2.4</v>
      </c>
      <c r="C34" s="9">
        <f t="shared" ca="1" si="0"/>
        <v>44288</v>
      </c>
      <c r="D34" s="10">
        <f t="shared" ca="1" si="1"/>
        <v>79094</v>
      </c>
      <c r="E34" s="10">
        <f t="shared" ca="1" si="3"/>
        <v>223</v>
      </c>
      <c r="F34" s="10">
        <f t="shared" ca="1" si="4"/>
        <v>222</v>
      </c>
      <c r="G34" s="10">
        <f t="shared" ca="1" si="5"/>
        <v>1</v>
      </c>
      <c r="K34" s="9"/>
      <c r="L34" s="14"/>
      <c r="N34" s="17">
        <v>44288</v>
      </c>
      <c r="O34" s="10">
        <v>78672</v>
      </c>
      <c r="P34" s="10">
        <v>1</v>
      </c>
      <c r="Q34" s="17">
        <v>44288</v>
      </c>
      <c r="R34" s="10">
        <v>78672</v>
      </c>
      <c r="S34" s="10">
        <v>1</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v>44261</v>
      </c>
      <c r="NZ34" s="10">
        <v>61552</v>
      </c>
      <c r="OA34" s="10">
        <v>0</v>
      </c>
      <c r="OB34" s="17">
        <v>44262</v>
      </c>
      <c r="OC34" s="10">
        <v>62063</v>
      </c>
      <c r="OD34" s="10">
        <v>0</v>
      </c>
      <c r="OE34" s="17">
        <v>44263</v>
      </c>
      <c r="OF34" s="10">
        <v>62522</v>
      </c>
      <c r="OG34" s="10">
        <v>0</v>
      </c>
      <c r="OH34" s="17">
        <v>44264</v>
      </c>
      <c r="OI34" s="10">
        <v>63110</v>
      </c>
      <c r="OJ34" s="10">
        <v>0</v>
      </c>
      <c r="OK34" s="17">
        <v>44265</v>
      </c>
      <c r="OL34" s="10">
        <v>63889</v>
      </c>
      <c r="OM34" s="10">
        <v>0</v>
      </c>
      <c r="ON34" s="17">
        <v>44266</v>
      </c>
      <c r="OO34" s="10">
        <v>64609</v>
      </c>
      <c r="OP34" s="10">
        <v>0</v>
      </c>
      <c r="OQ34" s="17">
        <v>44267</v>
      </c>
      <c r="OR34" s="10">
        <v>65315</v>
      </c>
      <c r="OS34" s="10">
        <v>0</v>
      </c>
      <c r="OT34" s="17">
        <v>44268</v>
      </c>
      <c r="OU34" s="10">
        <v>66006</v>
      </c>
      <c r="OV34" s="10">
        <v>0</v>
      </c>
      <c r="OW34" s="17">
        <v>44269</v>
      </c>
      <c r="OX34" s="10">
        <v>66869</v>
      </c>
      <c r="OY34" s="10">
        <v>0</v>
      </c>
      <c r="OZ34" s="17">
        <v>44270</v>
      </c>
      <c r="PA34" s="10">
        <v>67334</v>
      </c>
      <c r="PB34" s="10">
        <v>0</v>
      </c>
      <c r="PC34" s="17">
        <v>44271</v>
      </c>
      <c r="PD34" s="10">
        <v>67851</v>
      </c>
      <c r="PE34" s="10">
        <v>0</v>
      </c>
      <c r="PF34" s="17">
        <v>44272</v>
      </c>
      <c r="PG34" s="10">
        <v>68693</v>
      </c>
      <c r="PH34" s="10">
        <v>0</v>
      </c>
      <c r="PI34" s="17">
        <v>44273</v>
      </c>
      <c r="PJ34" s="10">
        <v>69497</v>
      </c>
      <c r="PK34" s="10">
        <v>1</v>
      </c>
      <c r="PL34" s="17">
        <v>44274</v>
      </c>
      <c r="PM34" s="10">
        <v>70267</v>
      </c>
      <c r="PN34" s="10">
        <v>0</v>
      </c>
      <c r="PO34" s="17">
        <v>44275</v>
      </c>
      <c r="PP34" s="10">
        <v>71123</v>
      </c>
      <c r="PQ34" s="10">
        <v>0</v>
      </c>
      <c r="PR34" s="17">
        <v>44276</v>
      </c>
      <c r="PS34" s="10">
        <v>71643</v>
      </c>
      <c r="PT34" s="10">
        <v>1</v>
      </c>
      <c r="PU34" s="17">
        <v>44277</v>
      </c>
      <c r="PV34" s="10">
        <v>72073</v>
      </c>
      <c r="PW34" s="10">
        <v>1</v>
      </c>
      <c r="PX34" s="17">
        <v>44278</v>
      </c>
      <c r="PY34" s="10">
        <v>72713</v>
      </c>
      <c r="PZ34" s="10">
        <v>0</v>
      </c>
      <c r="QA34" s="17">
        <v>44279</v>
      </c>
      <c r="QB34" s="10">
        <v>73516</v>
      </c>
      <c r="QC34" s="10">
        <v>0</v>
      </c>
      <c r="QD34" s="17">
        <v>44280</v>
      </c>
      <c r="QE34" s="10">
        <v>74242</v>
      </c>
      <c r="QF34" s="10">
        <v>0</v>
      </c>
      <c r="QG34" s="17">
        <v>44281</v>
      </c>
      <c r="QH34" s="10">
        <v>74754</v>
      </c>
      <c r="QI34" s="10">
        <v>0</v>
      </c>
      <c r="QJ34" s="17">
        <v>44282</v>
      </c>
      <c r="QK34" s="10">
        <v>75545</v>
      </c>
      <c r="QL34" s="10">
        <v>0</v>
      </c>
      <c r="QM34" s="17">
        <v>44283</v>
      </c>
      <c r="QN34" s="10">
        <v>76003</v>
      </c>
      <c r="QO34" s="10">
        <v>0</v>
      </c>
      <c r="QP34" s="17">
        <v>44284</v>
      </c>
      <c r="QQ34" s="10">
        <v>76425</v>
      </c>
      <c r="QR34" s="10">
        <v>0</v>
      </c>
      <c r="QS34" s="17">
        <v>44285</v>
      </c>
      <c r="QT34" s="10">
        <v>76845</v>
      </c>
      <c r="QU34" s="10">
        <v>0</v>
      </c>
      <c r="QV34" s="17">
        <v>44286</v>
      </c>
      <c r="QW34" s="10">
        <v>77452</v>
      </c>
      <c r="QX34" s="10">
        <v>0</v>
      </c>
      <c r="QY34" s="17">
        <v>44287</v>
      </c>
      <c r="QZ34" s="10">
        <v>78106</v>
      </c>
      <c r="RA34" s="10">
        <v>0</v>
      </c>
      <c r="RB34" s="17">
        <v>44288</v>
      </c>
      <c r="RC34" s="10">
        <v>78672</v>
      </c>
      <c r="RD34" s="10">
        <v>1</v>
      </c>
      <c r="RE34" s="17"/>
      <c r="RH34" s="17"/>
      <c r="RK34" s="17"/>
      <c r="RN34" s="17"/>
      <c r="RQ34" s="17"/>
    </row>
    <row r="35" spans="2:524">
      <c r="B35" t="str">
        <f t="shared" ca="1" si="2"/>
        <v>3.4</v>
      </c>
      <c r="C35" s="12">
        <f ca="1">FLOOR(NOW(),1)</f>
        <v>44289</v>
      </c>
      <c r="D35" s="11">
        <f t="shared" ca="1" si="1"/>
        <v>79094</v>
      </c>
      <c r="E35" s="11">
        <f t="shared" ca="1" si="3"/>
        <v>0</v>
      </c>
      <c r="F35" s="11">
        <f t="shared" ca="1" si="4"/>
        <v>0</v>
      </c>
      <c r="G35" s="11">
        <f t="shared" ca="1" si="5"/>
        <v>0</v>
      </c>
      <c r="N35" s="16">
        <v>44289</v>
      </c>
      <c r="O35">
        <v>78672</v>
      </c>
      <c r="P35" s="11">
        <v>0</v>
      </c>
      <c r="Q35" s="16">
        <v>44289</v>
      </c>
      <c r="R35">
        <v>78672</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v>44262</v>
      </c>
      <c r="NZ35">
        <v>61552</v>
      </c>
      <c r="OA35">
        <v>0</v>
      </c>
      <c r="OB35" s="16">
        <v>44263</v>
      </c>
      <c r="OC35">
        <v>62063</v>
      </c>
      <c r="OD35">
        <v>0</v>
      </c>
      <c r="OE35" s="16">
        <v>44264</v>
      </c>
      <c r="OF35">
        <v>62522</v>
      </c>
      <c r="OG35">
        <v>0</v>
      </c>
      <c r="OH35" s="16">
        <v>44265</v>
      </c>
      <c r="OI35">
        <v>63110</v>
      </c>
      <c r="OJ35">
        <v>0</v>
      </c>
      <c r="OK35" s="16">
        <v>44266</v>
      </c>
      <c r="OL35">
        <v>63889</v>
      </c>
      <c r="OM35">
        <v>0</v>
      </c>
      <c r="ON35" s="16">
        <v>44267</v>
      </c>
      <c r="OO35">
        <v>64609</v>
      </c>
      <c r="OP35">
        <v>0</v>
      </c>
      <c r="OQ35" s="16">
        <v>44268</v>
      </c>
      <c r="OR35">
        <v>65315</v>
      </c>
      <c r="OS35">
        <v>0</v>
      </c>
      <c r="OT35" s="16">
        <v>44269</v>
      </c>
      <c r="OU35">
        <v>66006</v>
      </c>
      <c r="OV35">
        <v>0</v>
      </c>
      <c r="OW35" s="16">
        <v>44270</v>
      </c>
      <c r="OX35">
        <v>66869</v>
      </c>
      <c r="OY35">
        <v>0</v>
      </c>
      <c r="OZ35" s="16">
        <v>44271</v>
      </c>
      <c r="PA35">
        <v>67334</v>
      </c>
      <c r="PB35">
        <v>0</v>
      </c>
      <c r="PC35" s="16">
        <v>44272</v>
      </c>
      <c r="PD35">
        <v>67851</v>
      </c>
      <c r="PE35">
        <v>0</v>
      </c>
      <c r="PF35" s="16">
        <v>44273</v>
      </c>
      <c r="PG35">
        <v>68693</v>
      </c>
      <c r="PH35">
        <v>0</v>
      </c>
      <c r="PI35" s="16">
        <v>44274</v>
      </c>
      <c r="PJ35">
        <v>69497</v>
      </c>
      <c r="PK35">
        <v>0</v>
      </c>
      <c r="PL35" s="16">
        <v>44275</v>
      </c>
      <c r="PM35">
        <v>70267</v>
      </c>
      <c r="PN35">
        <v>0</v>
      </c>
      <c r="PO35" s="16">
        <v>44276</v>
      </c>
      <c r="PP35">
        <v>71123</v>
      </c>
      <c r="PQ35">
        <v>0</v>
      </c>
      <c r="PR35" s="16">
        <v>44277</v>
      </c>
      <c r="PS35">
        <v>71643</v>
      </c>
      <c r="PT35">
        <v>0</v>
      </c>
      <c r="PU35" s="16">
        <v>44278</v>
      </c>
      <c r="PV35">
        <v>72073</v>
      </c>
      <c r="PW35">
        <v>0</v>
      </c>
      <c r="PX35" s="16">
        <v>44279</v>
      </c>
      <c r="PY35">
        <v>72713</v>
      </c>
      <c r="PZ35">
        <v>0</v>
      </c>
      <c r="QA35" s="16">
        <v>44280</v>
      </c>
      <c r="QB35">
        <v>73516</v>
      </c>
      <c r="QC35">
        <v>0</v>
      </c>
      <c r="QD35" s="16">
        <v>44281</v>
      </c>
      <c r="QE35">
        <v>74242</v>
      </c>
      <c r="QF35">
        <v>0</v>
      </c>
      <c r="QG35" s="16">
        <v>44282</v>
      </c>
      <c r="QH35">
        <v>74754</v>
      </c>
      <c r="QI35">
        <v>0</v>
      </c>
      <c r="QJ35" s="16">
        <v>44283</v>
      </c>
      <c r="QK35">
        <v>75545</v>
      </c>
      <c r="QL35">
        <v>0</v>
      </c>
      <c r="QM35" s="16">
        <v>44284</v>
      </c>
      <c r="QN35">
        <v>76003</v>
      </c>
      <c r="QO35">
        <v>0</v>
      </c>
      <c r="QP35" s="16">
        <v>44285</v>
      </c>
      <c r="QQ35">
        <v>76425</v>
      </c>
      <c r="QR35">
        <v>0</v>
      </c>
      <c r="QS35" s="16">
        <v>44286</v>
      </c>
      <c r="QT35">
        <v>76845</v>
      </c>
      <c r="QU35">
        <v>0</v>
      </c>
      <c r="QV35" s="16">
        <v>44287</v>
      </c>
      <c r="QW35">
        <v>77452</v>
      </c>
      <c r="QX35">
        <v>0</v>
      </c>
      <c r="QY35" s="16">
        <v>44288</v>
      </c>
      <c r="QZ35">
        <v>78106</v>
      </c>
      <c r="RA35">
        <v>0</v>
      </c>
      <c r="RB35" s="16">
        <v>44289</v>
      </c>
      <c r="RC35">
        <v>78672</v>
      </c>
      <c r="RD35">
        <v>0</v>
      </c>
      <c r="RE35" s="16"/>
      <c r="RH35" s="16"/>
      <c r="RK35" s="16"/>
      <c r="RN35" s="16"/>
      <c r="RQ35" s="16"/>
    </row>
    <row r="36" spans="2:524" s="24" customFormat="1">
      <c r="Q36" s="24">
        <f>Q35</f>
        <v>44289</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44262</v>
      </c>
      <c r="OB36" s="24">
        <f>OB35</f>
        <v>44263</v>
      </c>
      <c r="OE36" s="24">
        <f>OE35</f>
        <v>44264</v>
      </c>
      <c r="OH36" s="24">
        <f>OH35</f>
        <v>44265</v>
      </c>
      <c r="OK36" s="24">
        <f>OK35</f>
        <v>44266</v>
      </c>
      <c r="ON36" s="24">
        <f>ON35</f>
        <v>44267</v>
      </c>
      <c r="OQ36" s="24">
        <f>OQ35</f>
        <v>44268</v>
      </c>
      <c r="OT36" s="24">
        <f>OT35</f>
        <v>44269</v>
      </c>
      <c r="OW36" s="24">
        <f>OW35</f>
        <v>44270</v>
      </c>
      <c r="OZ36" s="24">
        <f>OZ35</f>
        <v>44271</v>
      </c>
      <c r="PC36" s="24">
        <f>PC35</f>
        <v>44272</v>
      </c>
      <c r="PF36" s="24">
        <f>PF35</f>
        <v>44273</v>
      </c>
      <c r="PI36" s="24">
        <f>PI35</f>
        <v>44274</v>
      </c>
      <c r="PL36" s="24">
        <f>PL35</f>
        <v>44275</v>
      </c>
      <c r="PO36" s="24">
        <f>PO35</f>
        <v>44276</v>
      </c>
      <c r="PR36" s="24">
        <f>PR35</f>
        <v>44277</v>
      </c>
      <c r="PU36" s="24">
        <f>PU35</f>
        <v>44278</v>
      </c>
      <c r="PX36" s="24">
        <f>PX35</f>
        <v>44279</v>
      </c>
      <c r="QA36" s="24">
        <f>QA35</f>
        <v>44280</v>
      </c>
      <c r="QD36" s="24">
        <f>QD35</f>
        <v>44281</v>
      </c>
      <c r="QG36" s="24">
        <f>QG35</f>
        <v>44282</v>
      </c>
      <c r="QJ36" s="24">
        <f>QJ35</f>
        <v>44283</v>
      </c>
      <c r="QM36" s="24">
        <f>QM35</f>
        <v>44284</v>
      </c>
      <c r="QP36" s="24">
        <f>QP35</f>
        <v>44285</v>
      </c>
      <c r="QS36" s="24">
        <f>QS35</f>
        <v>44286</v>
      </c>
      <c r="QV36" s="24">
        <f>QV35</f>
        <v>44287</v>
      </c>
      <c r="QY36" s="24">
        <f>QY35</f>
        <v>44288</v>
      </c>
      <c r="RB36" s="24">
        <f>RB35</f>
        <v>44289</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422</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648</v>
      </c>
      <c r="NY37" s="25">
        <f>OC35-NZ35</f>
        <v>511</v>
      </c>
      <c r="OB37" s="25">
        <f>OF35-OC35</f>
        <v>459</v>
      </c>
      <c r="OE37" s="25">
        <f>OI35-OF35</f>
        <v>588</v>
      </c>
      <c r="OH37" s="25">
        <f>OL35-OI35</f>
        <v>779</v>
      </c>
      <c r="OK37" s="25">
        <f>OO35-OL35</f>
        <v>720</v>
      </c>
      <c r="ON37" s="25">
        <f>OR35-OO35</f>
        <v>706</v>
      </c>
      <c r="OQ37" s="25">
        <f>OU35-OR35</f>
        <v>691</v>
      </c>
      <c r="OT37" s="25">
        <f>OX35-OU35</f>
        <v>863</v>
      </c>
      <c r="OW37" s="25">
        <f>PA35-OX35</f>
        <v>465</v>
      </c>
      <c r="OZ37" s="25">
        <f>PD35-PA35</f>
        <v>517</v>
      </c>
      <c r="PC37" s="25">
        <f>PG35-PD35</f>
        <v>842</v>
      </c>
      <c r="PF37" s="25">
        <f>PJ35-PG35</f>
        <v>804</v>
      </c>
      <c r="PI37" s="25">
        <f>PM35-PJ35</f>
        <v>770</v>
      </c>
      <c r="PL37" s="25">
        <f>PP35-PM35</f>
        <v>856</v>
      </c>
      <c r="PO37" s="25">
        <f>PS35-PP35</f>
        <v>520</v>
      </c>
      <c r="PR37" s="25">
        <f>PV35-PS35</f>
        <v>430</v>
      </c>
      <c r="PU37" s="25">
        <f>PY35-PV35</f>
        <v>640</v>
      </c>
      <c r="PX37" s="25">
        <f>QB35-PY35</f>
        <v>803</v>
      </c>
      <c r="QA37" s="25">
        <f>QE35-QB35</f>
        <v>726</v>
      </c>
      <c r="QD37" s="25">
        <f>QH35-QE35</f>
        <v>512</v>
      </c>
      <c r="QG37" s="25">
        <f>QK35-QH35</f>
        <v>791</v>
      </c>
      <c r="QJ37" s="25">
        <f>QN35-QK35</f>
        <v>458</v>
      </c>
      <c r="QM37" s="25">
        <f>QQ35-QN35</f>
        <v>422</v>
      </c>
      <c r="QP37" s="25">
        <f>QT35-QQ35</f>
        <v>420</v>
      </c>
      <c r="QS37" s="25">
        <f>QW35-QT35</f>
        <v>607</v>
      </c>
      <c r="QV37" s="25">
        <f>QZ35-QW35</f>
        <v>654</v>
      </c>
      <c r="QY37" s="25">
        <f>RC35-QZ35</f>
        <v>566</v>
      </c>
      <c r="RB37" s="25">
        <f>RF35-RC35</f>
        <v>-78672</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t="str">
        <f>IF(WEEKDAY(LZ36,2)=1,"Ma","")</f>
        <v/>
      </c>
      <c r="MC38" s="27" t="str">
        <f>IF(WEEKDAY(MC36,2)=1,"Ma","")</f>
        <v/>
      </c>
      <c r="MF38" s="27" t="str">
        <f>IF(WEEKDAY(MF36,2)=1,"Ma","")</f>
        <v/>
      </c>
      <c r="MI38" s="27" t="str">
        <f>IF(WEEKDAY(MI36,2)=1,"Ma","")</f>
        <v/>
      </c>
      <c r="ML38" s="27" t="str">
        <f>IF(WEEKDAY(ML36,2)=1,"Ma","")</f>
        <v/>
      </c>
      <c r="MO38" s="27" t="str">
        <f>IF(WEEKDAY(MO36,2)=1,"Ma","")</f>
        <v>Ma</v>
      </c>
      <c r="MR38" s="27" t="str">
        <f>IF(WEEKDAY(MR36,2)=1,"Ma","")</f>
        <v/>
      </c>
      <c r="MU38" s="27" t="str">
        <f>IF(WEEKDAY(MU36,2)=1,"Ma","")</f>
        <v/>
      </c>
      <c r="MX38" s="27" t="str">
        <f>IF(WEEKDAY(MX36,2)=1,"Ma","")</f>
        <v/>
      </c>
      <c r="NA38" s="27" t="str">
        <f>IF(WEEKDAY(NA36,2)=1,"Ma","")</f>
        <v/>
      </c>
      <c r="ND38" s="27" t="str">
        <f>IF(WEEKDAY(ND36,2)=1,"Ma","")</f>
        <v/>
      </c>
      <c r="NG38" s="27" t="str">
        <f>IF(WEEKDAY(NG36,2)=1,"Ma","")</f>
        <v/>
      </c>
      <c r="NJ38" s="27" t="str">
        <f>IF(WEEKDAY(NJ36,2)=1,"Ma","")</f>
        <v/>
      </c>
      <c r="NM38" s="27" t="str">
        <f>IF(WEEKDAY(NM36,2)=1,"Ma","")</f>
        <v/>
      </c>
      <c r="NP38" s="27" t="str">
        <f>IF(WEEKDAY(NP36,2)=1,"Ma","")</f>
        <v/>
      </c>
      <c r="NS38" s="27" t="str">
        <f>IF(WEEKDAY(NS36,2)=1,"Ma","")</f>
        <v/>
      </c>
      <c r="NV38" s="27" t="str">
        <f>IF(WEEKDAY(NV36,2)=1,"Ma","")</f>
        <v/>
      </c>
      <c r="NY38" s="27" t="str">
        <f>IF(WEEKDAY(NY36,2)=1,"Ma","")</f>
        <v/>
      </c>
      <c r="OB38" s="27" t="str">
        <f>IF(WEEKDAY(OB36,2)=1,"Ma","")</f>
        <v>Ma</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Ma</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Ma</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Ma</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44289</v>
      </c>
      <c r="C40">
        <f t="shared" ref="C40:C47" ca="1" si="6">HLOOKUP(B40,$36:$37,2,FALSE)</f>
        <v>422</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44282</v>
      </c>
      <c r="C41">
        <f t="shared" si="6"/>
        <v>791</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44275</v>
      </c>
      <c r="C42">
        <f t="shared" si="6"/>
        <v>856</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44268</v>
      </c>
      <c r="C43">
        <f t="shared" si="6"/>
        <v>691</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44261</v>
      </c>
      <c r="C44">
        <f t="shared" si="6"/>
        <v>648</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44254</v>
      </c>
      <c r="C45" t="e">
        <f t="shared" si="6"/>
        <v>#N/A</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44247</v>
      </c>
      <c r="C46">
        <f t="shared" si="6"/>
        <v>444</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44240</v>
      </c>
      <c r="C47">
        <f t="shared" si="6"/>
        <v>842</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44285.625</v>
      </c>
      <c r="C50">
        <f>DMAX(_xlnm.Database,"n",B49:B50)</f>
        <v>567</v>
      </c>
      <c r="D50" s="21">
        <f>B50</f>
        <v>44285.625</v>
      </c>
      <c r="E50">
        <f>C50</f>
        <v>567</v>
      </c>
      <c r="F50" s="13">
        <f>B50-1</f>
        <v>44284.625</v>
      </c>
      <c r="G50">
        <f>DMAX(_xlnm.Database,"n",F49:F50)</f>
        <v>648</v>
      </c>
      <c r="H50" s="21">
        <f>F50</f>
        <v>44284.625</v>
      </c>
      <c r="I50">
        <f>G50</f>
        <v>648</v>
      </c>
      <c r="J50" s="13">
        <f>F50-1</f>
        <v>44283.625</v>
      </c>
      <c r="K50">
        <f>DMAX(_xlnm.Database,"n",J49:J50)</f>
        <v>371</v>
      </c>
      <c r="L50" s="21">
        <f>J50</f>
        <v>44283.625</v>
      </c>
      <c r="M50">
        <f>K50</f>
        <v>371</v>
      </c>
      <c r="N50" s="22">
        <f>J50-1</f>
        <v>44282.625</v>
      </c>
      <c r="O50">
        <f>DMAX(_xlnm.Database,"n",N49:N50)</f>
        <v>350</v>
      </c>
      <c r="P50" s="21">
        <f>N50</f>
        <v>44282.625</v>
      </c>
      <c r="Q50">
        <f>O50</f>
        <v>350</v>
      </c>
      <c r="R50" s="22">
        <f>N50-1</f>
        <v>44281.625</v>
      </c>
      <c r="S50">
        <f>DMAX(_xlnm.Database,"n",R49:R50)</f>
        <v>682</v>
      </c>
      <c r="T50" s="21">
        <f>R50</f>
        <v>44281.625</v>
      </c>
      <c r="U50">
        <f>S50</f>
        <v>682</v>
      </c>
      <c r="V50" s="22">
        <f>R50-1</f>
        <v>44280.625</v>
      </c>
      <c r="W50">
        <f>DMAX(_xlnm.Database,"n",V49:V50)</f>
        <v>607</v>
      </c>
      <c r="X50" s="21">
        <f>V50</f>
        <v>44280.625</v>
      </c>
      <c r="Y50">
        <f>W50</f>
        <v>607</v>
      </c>
      <c r="Z50" s="22">
        <f>V50-1</f>
        <v>44279.625</v>
      </c>
      <c r="AA50">
        <f>DMAX(_xlnm.Database,"n",Z49:Z50)</f>
        <v>699</v>
      </c>
      <c r="AB50" s="21">
        <f>Z50</f>
        <v>44279.625</v>
      </c>
      <c r="AC50">
        <f>AA50</f>
        <v>699</v>
      </c>
      <c r="AD50" s="22">
        <f>Z50-1</f>
        <v>44278.625</v>
      </c>
      <c r="AE50">
        <f>DMAX(_xlnm.Database,"n",AD49:AD50)</f>
        <v>698</v>
      </c>
      <c r="AF50" s="21">
        <f>AD50</f>
        <v>44278.625</v>
      </c>
      <c r="AG50">
        <f>AE50</f>
        <v>698</v>
      </c>
      <c r="AH50" s="16"/>
      <c r="AI50"/>
      <c r="AK50" s="16"/>
      <c r="AL50"/>
      <c r="AN50" s="16"/>
      <c r="AO50"/>
      <c r="AQ50" s="16"/>
      <c r="AR50"/>
      <c r="AT50" s="16"/>
    </row>
    <row r="51" spans="2:46">
      <c r="B51" s="13" t="s">
        <v>7</v>
      </c>
      <c r="D51" s="16">
        <f>D50-7</f>
        <v>44278.625</v>
      </c>
      <c r="E51">
        <f>C52</f>
        <v>698</v>
      </c>
      <c r="F51" s="13" t="s">
        <v>7</v>
      </c>
      <c r="H51" s="16">
        <f>H50-7</f>
        <v>44277.625</v>
      </c>
      <c r="I51">
        <f>G52</f>
        <v>764</v>
      </c>
      <c r="J51" s="13" t="s">
        <v>7</v>
      </c>
      <c r="L51" s="16">
        <f>L50-7</f>
        <v>44276.625</v>
      </c>
      <c r="M51">
        <f>K52</f>
        <v>417</v>
      </c>
      <c r="N51" t="s">
        <v>7</v>
      </c>
      <c r="P51" s="16">
        <f>P50-7</f>
        <v>44275.625</v>
      </c>
      <c r="Q51">
        <f>O52</f>
        <v>402</v>
      </c>
      <c r="R51" t="s">
        <v>7</v>
      </c>
      <c r="T51" s="16">
        <f>T50-7</f>
        <v>44274.625</v>
      </c>
      <c r="U51">
        <f>S52</f>
        <v>743</v>
      </c>
      <c r="V51" t="s">
        <v>7</v>
      </c>
      <c r="W51"/>
      <c r="X51" s="16">
        <f>X50-7</f>
        <v>44273.625</v>
      </c>
      <c r="Y51">
        <f>W52</f>
        <v>737</v>
      </c>
      <c r="Z51" t="s">
        <v>7</v>
      </c>
      <c r="AB51" s="16">
        <f>AB50-7</f>
        <v>44272.625</v>
      </c>
      <c r="AC51">
        <f>AA52</f>
        <v>743</v>
      </c>
      <c r="AD51" t="s">
        <v>7</v>
      </c>
      <c r="AF51" s="16">
        <f>AF50-7</f>
        <v>44271.625</v>
      </c>
      <c r="AG51">
        <f>AE52</f>
        <v>763</v>
      </c>
      <c r="AH51" s="16"/>
      <c r="AI51"/>
      <c r="AK51" s="16"/>
      <c r="AL51"/>
      <c r="AN51" s="16"/>
      <c r="AO51"/>
      <c r="AQ51" s="16"/>
      <c r="AR51"/>
      <c r="AT51" s="16"/>
    </row>
    <row r="52" spans="2:46">
      <c r="B52" s="13">
        <f>B50-7</f>
        <v>44278.625</v>
      </c>
      <c r="C52">
        <f>DMAX(_xlnm.Database,"n",B51:B52)</f>
        <v>698</v>
      </c>
      <c r="D52" s="16">
        <f t="shared" ref="D52:D59" si="8">D51-7</f>
        <v>44271.625</v>
      </c>
      <c r="E52">
        <f>C54</f>
        <v>763</v>
      </c>
      <c r="F52" s="13">
        <f>F50-7</f>
        <v>44277.625</v>
      </c>
      <c r="G52">
        <f>DMAX(_xlnm.Database,"n",F51:F52)</f>
        <v>764</v>
      </c>
      <c r="H52" s="16">
        <f t="shared" ref="H52:H59" si="9">H51-7</f>
        <v>44270.625</v>
      </c>
      <c r="I52">
        <f>G54</f>
        <v>891</v>
      </c>
      <c r="J52" s="13">
        <f>J50-7</f>
        <v>44276.625</v>
      </c>
      <c r="K52">
        <f>DMAX(_xlnm.Database,"n",J51:J52)</f>
        <v>417</v>
      </c>
      <c r="L52" s="16">
        <f t="shared" ref="L52:L59" si="10">L51-7</f>
        <v>44269.625</v>
      </c>
      <c r="M52">
        <f>K54</f>
        <v>435</v>
      </c>
      <c r="N52" s="22">
        <f>N50-7</f>
        <v>44275.625</v>
      </c>
      <c r="O52">
        <f>DMAX(_xlnm.Database,"n",N51:N52)</f>
        <v>402</v>
      </c>
      <c r="P52" s="16">
        <f t="shared" ref="P52:P59" si="11">P51-7</f>
        <v>44268.625</v>
      </c>
      <c r="Q52">
        <f>O54</f>
        <v>492</v>
      </c>
      <c r="R52" s="22">
        <f>R50-7</f>
        <v>44274.625</v>
      </c>
      <c r="S52">
        <f>DMAX(_xlnm.Database,"n",R51:R52)</f>
        <v>743</v>
      </c>
      <c r="T52" s="16">
        <f t="shared" ref="T52:T59" si="12">T51-7</f>
        <v>44267.625</v>
      </c>
      <c r="U52">
        <f>S54</f>
        <v>812</v>
      </c>
      <c r="V52" s="22">
        <f>V50-7</f>
        <v>44273.625</v>
      </c>
      <c r="W52">
        <f>DMAX(_xlnm.Database,"n",V51:V52)</f>
        <v>737</v>
      </c>
      <c r="X52" s="16">
        <f t="shared" ref="X52:X59" si="13">X51-7</f>
        <v>44266.625</v>
      </c>
      <c r="Y52">
        <f>W54</f>
        <v>775</v>
      </c>
      <c r="Z52" s="22">
        <f>Z50-7</f>
        <v>44272.625</v>
      </c>
      <c r="AA52">
        <f>DMAX(_xlnm.Database,"n",Z51:Z52)</f>
        <v>743</v>
      </c>
      <c r="AB52" s="16">
        <f t="shared" ref="AB52:AB59" si="14">AB51-7</f>
        <v>44265.625</v>
      </c>
      <c r="AC52">
        <f>AA54</f>
        <v>817</v>
      </c>
      <c r="AD52" s="22">
        <f>AD50-7</f>
        <v>44271.625</v>
      </c>
      <c r="AE52">
        <f>DMAX(_xlnm.Database,"n",AD51:AD52)</f>
        <v>763</v>
      </c>
      <c r="AF52" s="16">
        <f t="shared" ref="AF52:AF59" si="15">AF51-7</f>
        <v>44264.625</v>
      </c>
      <c r="AG52">
        <f>AE54</f>
        <v>774</v>
      </c>
      <c r="AH52" s="16"/>
      <c r="AI52"/>
      <c r="AK52" s="16"/>
      <c r="AL52"/>
      <c r="AN52" s="16"/>
      <c r="AO52"/>
      <c r="AQ52" s="16"/>
      <c r="AR52"/>
      <c r="AT52" s="16"/>
    </row>
    <row r="53" spans="2:46">
      <c r="B53" s="13" t="s">
        <v>7</v>
      </c>
      <c r="D53" s="16">
        <f t="shared" si="8"/>
        <v>44264.625</v>
      </c>
      <c r="E53">
        <f>C56</f>
        <v>774</v>
      </c>
      <c r="F53" s="13" t="s">
        <v>7</v>
      </c>
      <c r="H53" s="16">
        <f t="shared" si="9"/>
        <v>44263.625</v>
      </c>
      <c r="I53">
        <f>G56</f>
        <v>833</v>
      </c>
      <c r="J53" s="13" t="s">
        <v>7</v>
      </c>
      <c r="L53" s="16">
        <f t="shared" si="10"/>
        <v>44262.625</v>
      </c>
      <c r="M53">
        <f>K56</f>
        <v>396</v>
      </c>
      <c r="N53" t="s">
        <v>7</v>
      </c>
      <c r="P53" s="16">
        <f t="shared" si="11"/>
        <v>44261.625</v>
      </c>
      <c r="Q53">
        <f>O56</f>
        <v>431</v>
      </c>
      <c r="R53" t="s">
        <v>7</v>
      </c>
      <c r="T53" s="16">
        <f t="shared" si="12"/>
        <v>44260.625</v>
      </c>
      <c r="U53">
        <f>S56</f>
        <v>629</v>
      </c>
      <c r="V53" t="s">
        <v>7</v>
      </c>
      <c r="W53"/>
      <c r="X53" s="16">
        <f t="shared" si="13"/>
        <v>44259.625</v>
      </c>
      <c r="Y53">
        <f>W56</f>
        <v>638</v>
      </c>
      <c r="Z53" t="s">
        <v>7</v>
      </c>
      <c r="AB53" s="16">
        <f t="shared" si="14"/>
        <v>44258.625</v>
      </c>
      <c r="AC53">
        <f>AA56</f>
        <v>732</v>
      </c>
      <c r="AD53" t="s">
        <v>7</v>
      </c>
      <c r="AF53" s="16">
        <f t="shared" si="15"/>
        <v>44257.625</v>
      </c>
      <c r="AG53">
        <f>AE56</f>
        <v>757</v>
      </c>
      <c r="AH53" s="16"/>
      <c r="AI53"/>
      <c r="AK53" s="16"/>
      <c r="AL53"/>
      <c r="AN53" s="16"/>
      <c r="AO53"/>
      <c r="AQ53" s="16"/>
      <c r="AR53"/>
      <c r="AT53" s="16"/>
    </row>
    <row r="54" spans="2:46">
      <c r="B54" s="13">
        <f>B52-7</f>
        <v>44271.625</v>
      </c>
      <c r="C54">
        <f>DMAX(_xlnm.Database,"n",B53:B54)</f>
        <v>763</v>
      </c>
      <c r="D54" s="16">
        <f t="shared" si="8"/>
        <v>44257.625</v>
      </c>
      <c r="E54">
        <f>C58</f>
        <v>757</v>
      </c>
      <c r="F54" s="13">
        <f>F52-7</f>
        <v>44270.625</v>
      </c>
      <c r="G54">
        <f>DMAX(_xlnm.Database,"n",F53:F54)</f>
        <v>891</v>
      </c>
      <c r="H54" s="16">
        <f t="shared" si="9"/>
        <v>44256.625</v>
      </c>
      <c r="I54">
        <f>G58</f>
        <v>871</v>
      </c>
      <c r="J54" s="13">
        <f>J52-7</f>
        <v>44269.625</v>
      </c>
      <c r="K54">
        <f>DMAX(_xlnm.Database,"n",J53:J54)</f>
        <v>435</v>
      </c>
      <c r="L54" s="16">
        <f t="shared" si="10"/>
        <v>44255.625</v>
      </c>
      <c r="M54">
        <f>K58</f>
        <v>418</v>
      </c>
      <c r="N54" s="22">
        <f>N52-7</f>
        <v>44268.625</v>
      </c>
      <c r="O54">
        <f>DMAX(_xlnm.Database,"n",N53:N54)</f>
        <v>492</v>
      </c>
      <c r="P54" s="16">
        <f t="shared" si="11"/>
        <v>44254.625</v>
      </c>
      <c r="Q54">
        <f>O58</f>
        <v>401</v>
      </c>
      <c r="R54" s="22">
        <f>R52-7</f>
        <v>44267.625</v>
      </c>
      <c r="S54">
        <f>DMAX(_xlnm.Database,"n",R53:R54)</f>
        <v>812</v>
      </c>
      <c r="T54" s="16">
        <f t="shared" si="12"/>
        <v>44253.625</v>
      </c>
      <c r="U54">
        <f>S58</f>
        <v>690</v>
      </c>
      <c r="V54" s="22">
        <f>V52-7</f>
        <v>44266.625</v>
      </c>
      <c r="W54">
        <f>DMAX(_xlnm.Database,"n",V53:V54)</f>
        <v>775</v>
      </c>
      <c r="X54" s="16">
        <f t="shared" si="13"/>
        <v>44252.625</v>
      </c>
      <c r="Y54">
        <f>W58</f>
        <v>618</v>
      </c>
      <c r="Z54" s="22">
        <f>Z52-7</f>
        <v>44265.625</v>
      </c>
      <c r="AA54">
        <f>DMAX(_xlnm.Database,"n",Z53:Z54)</f>
        <v>817</v>
      </c>
      <c r="AB54" s="16">
        <f t="shared" si="14"/>
        <v>44251.625</v>
      </c>
      <c r="AC54">
        <f>AA58</f>
        <v>598</v>
      </c>
      <c r="AD54" s="22">
        <f>AD52-7</f>
        <v>44264.625</v>
      </c>
      <c r="AE54">
        <f>DMAX(_xlnm.Database,"n",AD53:AD54)</f>
        <v>774</v>
      </c>
      <c r="AF54" s="16">
        <f t="shared" si="15"/>
        <v>44250.625</v>
      </c>
      <c r="AG54">
        <f>AE58</f>
        <v>626</v>
      </c>
      <c r="AH54" s="16"/>
      <c r="AI54"/>
      <c r="AK54" s="16"/>
      <c r="AL54"/>
      <c r="AN54" s="16"/>
      <c r="AO54"/>
      <c r="AQ54" s="16"/>
      <c r="AR54"/>
      <c r="AT54" s="16"/>
    </row>
    <row r="55" spans="2:46">
      <c r="B55" s="13" t="s">
        <v>7</v>
      </c>
      <c r="D55" s="16">
        <f t="shared" si="8"/>
        <v>44250.625</v>
      </c>
      <c r="E55">
        <f>C60</f>
        <v>626</v>
      </c>
      <c r="F55" s="13" t="s">
        <v>7</v>
      </c>
      <c r="H55" s="16">
        <f t="shared" si="9"/>
        <v>44249.625</v>
      </c>
      <c r="I55">
        <f>G60</f>
        <v>623</v>
      </c>
      <c r="J55" s="13" t="s">
        <v>7</v>
      </c>
      <c r="L55" s="16">
        <f t="shared" si="10"/>
        <v>44248.625</v>
      </c>
      <c r="M55">
        <f>K60</f>
        <v>356</v>
      </c>
      <c r="N55" t="s">
        <v>7</v>
      </c>
      <c r="P55" s="16">
        <f t="shared" si="11"/>
        <v>44247.625</v>
      </c>
      <c r="Q55">
        <f>O60</f>
        <v>318</v>
      </c>
      <c r="R55" t="s">
        <v>7</v>
      </c>
      <c r="T55" s="16">
        <f t="shared" si="12"/>
        <v>44246.625</v>
      </c>
      <c r="U55">
        <f>S60</f>
        <v>571</v>
      </c>
      <c r="V55" t="s">
        <v>7</v>
      </c>
      <c r="W55"/>
      <c r="X55" s="16">
        <f t="shared" si="13"/>
        <v>44245.625</v>
      </c>
      <c r="Y55">
        <f>W60</f>
        <v>611</v>
      </c>
      <c r="Z55" t="s">
        <v>7</v>
      </c>
      <c r="AB55" s="16">
        <f t="shared" si="14"/>
        <v>44244.625</v>
      </c>
      <c r="AC55">
        <f>AA60</f>
        <v>553</v>
      </c>
      <c r="AD55" t="s">
        <v>7</v>
      </c>
      <c r="AF55" s="16">
        <f t="shared" si="15"/>
        <v>44243.625</v>
      </c>
      <c r="AG55">
        <f>AE60</f>
        <v>516</v>
      </c>
      <c r="AH55" s="16"/>
      <c r="AI55"/>
      <c r="AK55" s="16"/>
      <c r="AL55"/>
      <c r="AN55" s="16"/>
      <c r="AO55"/>
      <c r="AQ55" s="16"/>
      <c r="AR55"/>
      <c r="AT55" s="16"/>
    </row>
    <row r="56" spans="2:46">
      <c r="B56" s="13">
        <f>B54-7</f>
        <v>44264.625</v>
      </c>
      <c r="C56">
        <f>DMAX(_xlnm.Database,"n",B55:B56)</f>
        <v>774</v>
      </c>
      <c r="D56" s="16">
        <f t="shared" si="8"/>
        <v>44243.625</v>
      </c>
      <c r="E56">
        <f>C62</f>
        <v>516</v>
      </c>
      <c r="F56" s="13">
        <f>F54-7</f>
        <v>44263.625</v>
      </c>
      <c r="G56">
        <f>DMAX(_xlnm.Database,"n",F55:F56)</f>
        <v>833</v>
      </c>
      <c r="H56" s="16">
        <f t="shared" si="9"/>
        <v>44242.625</v>
      </c>
      <c r="I56">
        <f>G62</f>
        <v>616</v>
      </c>
      <c r="J56" s="13">
        <f>J54-7</f>
        <v>44262.625</v>
      </c>
      <c r="K56">
        <f>DMAX(_xlnm.Database,"n",J55:J56)</f>
        <v>396</v>
      </c>
      <c r="L56" s="16">
        <f t="shared" si="10"/>
        <v>44241.625</v>
      </c>
      <c r="M56">
        <f>K62</f>
        <v>281</v>
      </c>
      <c r="N56" s="22">
        <f>N54-7</f>
        <v>44261.625</v>
      </c>
      <c r="O56">
        <f>DMAX(_xlnm.Database,"n",N55:N56)</f>
        <v>431</v>
      </c>
      <c r="P56" s="16">
        <f t="shared" si="11"/>
        <v>44240.625</v>
      </c>
      <c r="Q56">
        <f>O62</f>
        <v>277</v>
      </c>
      <c r="R56" s="22">
        <f>R54-7</f>
        <v>44260.625</v>
      </c>
      <c r="S56">
        <f>DMAX(_xlnm.Database,"n",R55:R56)</f>
        <v>629</v>
      </c>
      <c r="T56" s="16">
        <f t="shared" si="12"/>
        <v>44239.625</v>
      </c>
      <c r="U56">
        <f>S62</f>
        <v>418</v>
      </c>
      <c r="V56" s="22">
        <f>V54-7</f>
        <v>44259.625</v>
      </c>
      <c r="W56">
        <f>DMAX(_xlnm.Database,"n",V55:V56)</f>
        <v>638</v>
      </c>
      <c r="X56" s="16">
        <f t="shared" si="13"/>
        <v>44238.625</v>
      </c>
      <c r="Y56">
        <f>W62</f>
        <v>356</v>
      </c>
      <c r="Z56" s="22">
        <f>Z54-7</f>
        <v>44258.625</v>
      </c>
      <c r="AA56">
        <f>DMAX(_xlnm.Database,"n",Z55:Z56)</f>
        <v>732</v>
      </c>
      <c r="AB56" s="16">
        <f t="shared" si="14"/>
        <v>44237.625</v>
      </c>
      <c r="AC56">
        <f>AA62</f>
        <v>383</v>
      </c>
      <c r="AD56" s="22">
        <f>AD54-7</f>
        <v>44257.625</v>
      </c>
      <c r="AE56">
        <f>DMAX(_xlnm.Database,"n",AD55:AD56)</f>
        <v>757</v>
      </c>
      <c r="AF56" s="16">
        <f t="shared" si="15"/>
        <v>44236.625</v>
      </c>
      <c r="AG56">
        <f>AE62</f>
        <v>371</v>
      </c>
      <c r="AH56" s="16"/>
      <c r="AI56"/>
      <c r="AK56" s="16"/>
      <c r="AL56"/>
      <c r="AN56" s="16"/>
      <c r="AO56"/>
      <c r="AQ56" s="16"/>
      <c r="AR56"/>
      <c r="AT56" s="16"/>
    </row>
    <row r="57" spans="2:46">
      <c r="B57" s="13" t="s">
        <v>7</v>
      </c>
      <c r="D57" s="16">
        <f t="shared" si="8"/>
        <v>44236.625</v>
      </c>
      <c r="E57">
        <f>C64</f>
        <v>371</v>
      </c>
      <c r="F57" s="13" t="s">
        <v>7</v>
      </c>
      <c r="H57" s="16">
        <f t="shared" si="9"/>
        <v>44235.625</v>
      </c>
      <c r="I57">
        <f>G64</f>
        <v>459</v>
      </c>
      <c r="J57" s="13" t="s">
        <v>7</v>
      </c>
      <c r="L57" s="16">
        <f t="shared" si="10"/>
        <v>44234.625</v>
      </c>
      <c r="M57">
        <f>K64</f>
        <v>263</v>
      </c>
      <c r="N57" t="s">
        <v>7</v>
      </c>
      <c r="P57" s="16">
        <f t="shared" si="11"/>
        <v>44233.625</v>
      </c>
      <c r="Q57">
        <f>O64</f>
        <v>239</v>
      </c>
      <c r="R57" t="s">
        <v>7</v>
      </c>
      <c r="T57" s="16">
        <f t="shared" si="12"/>
        <v>44232.625</v>
      </c>
      <c r="U57">
        <f>S64</f>
        <v>367</v>
      </c>
      <c r="V57" t="s">
        <v>7</v>
      </c>
      <c r="W57"/>
      <c r="X57" s="16">
        <f t="shared" si="13"/>
        <v>44231.625</v>
      </c>
      <c r="Y57">
        <f>W64</f>
        <v>372</v>
      </c>
      <c r="Z57" t="s">
        <v>7</v>
      </c>
      <c r="AB57" s="16">
        <f t="shared" si="14"/>
        <v>44230.625</v>
      </c>
      <c r="AC57">
        <f>AA64</f>
        <v>441</v>
      </c>
      <c r="AD57" t="s">
        <v>7</v>
      </c>
      <c r="AF57" s="16">
        <f t="shared" si="15"/>
        <v>44229.625</v>
      </c>
      <c r="AG57">
        <f>AE64</f>
        <v>395</v>
      </c>
      <c r="AH57" s="16"/>
      <c r="AI57"/>
      <c r="AK57" s="16"/>
      <c r="AL57"/>
      <c r="AN57" s="16"/>
      <c r="AO57"/>
      <c r="AQ57" s="16"/>
      <c r="AR57"/>
      <c r="AT57" s="16"/>
    </row>
    <row r="58" spans="2:46">
      <c r="B58" s="13">
        <f>B56-7</f>
        <v>44257.625</v>
      </c>
      <c r="C58">
        <f>DMAX(_xlnm.Database,"n",B57:B58)</f>
        <v>757</v>
      </c>
      <c r="D58" s="16">
        <f>D57-7</f>
        <v>44229.625</v>
      </c>
      <c r="E58">
        <f>C66</f>
        <v>395</v>
      </c>
      <c r="F58" s="13">
        <f>F56-7</f>
        <v>44256.625</v>
      </c>
      <c r="G58">
        <f>DMAX(_xlnm.Database,"n",F57:F58)</f>
        <v>871</v>
      </c>
      <c r="H58" s="16">
        <f>H57-7</f>
        <v>44228.625</v>
      </c>
      <c r="I58">
        <f>G66</f>
        <v>533</v>
      </c>
      <c r="J58" s="13">
        <f>J56-7</f>
        <v>44255.625</v>
      </c>
      <c r="K58">
        <f>DMAX(_xlnm.Database,"n",J57:J58)</f>
        <v>418</v>
      </c>
      <c r="L58" s="16">
        <f>L57-7</f>
        <v>44227.625</v>
      </c>
      <c r="M58">
        <f>K66</f>
        <v>272</v>
      </c>
      <c r="N58" s="22">
        <f>N56-7</f>
        <v>44254.625</v>
      </c>
      <c r="O58">
        <f>DMAX(_xlnm.Database,"n",N57:N58)</f>
        <v>401</v>
      </c>
      <c r="P58" s="16">
        <f>P57-7</f>
        <v>44226.625</v>
      </c>
      <c r="Q58">
        <f>O66</f>
        <v>232</v>
      </c>
      <c r="R58" s="22">
        <f>R56-7</f>
        <v>44253.625</v>
      </c>
      <c r="S58">
        <f>DMAX(_xlnm.Database,"n",R57:R58)</f>
        <v>690</v>
      </c>
      <c r="T58" s="16">
        <f>T57-7</f>
        <v>44225.625</v>
      </c>
      <c r="U58">
        <f>S66</f>
        <v>375</v>
      </c>
      <c r="V58" s="22">
        <f>V56-7</f>
        <v>44252.625</v>
      </c>
      <c r="W58">
        <f>DMAX(_xlnm.Database,"n",V57:V58)</f>
        <v>618</v>
      </c>
      <c r="X58" s="16">
        <f>X57-7</f>
        <v>44224.625</v>
      </c>
      <c r="Y58">
        <f>W66</f>
        <v>435</v>
      </c>
      <c r="Z58" s="22">
        <f>Z56-7</f>
        <v>44251.625</v>
      </c>
      <c r="AA58">
        <f>DMAX(_xlnm.Database,"n",Z57:Z58)</f>
        <v>598</v>
      </c>
      <c r="AB58" s="16">
        <f>AB57-7</f>
        <v>44223.625</v>
      </c>
      <c r="AC58">
        <f>AA66</f>
        <v>382</v>
      </c>
      <c r="AD58" s="22">
        <f>AD56-7</f>
        <v>44250.625</v>
      </c>
      <c r="AE58">
        <f>DMAX(_xlnm.Database,"n",AD57:AD58)</f>
        <v>626</v>
      </c>
      <c r="AF58" s="16">
        <f>AF57-7</f>
        <v>44222.625</v>
      </c>
      <c r="AG58">
        <f>AE66</f>
        <v>397</v>
      </c>
      <c r="AH58" s="16"/>
      <c r="AI58"/>
      <c r="AK58" s="16"/>
      <c r="AL58"/>
      <c r="AN58" s="16"/>
      <c r="AO58"/>
      <c r="AQ58" s="16"/>
      <c r="AR58"/>
      <c r="AT58" s="16"/>
    </row>
    <row r="59" spans="2:46">
      <c r="B59" s="13" t="s">
        <v>7</v>
      </c>
      <c r="D59" s="16">
        <f t="shared" si="8"/>
        <v>44222.625</v>
      </c>
      <c r="E59">
        <f>C68</f>
        <v>397</v>
      </c>
      <c r="F59" s="13" t="s">
        <v>7</v>
      </c>
      <c r="H59" s="16">
        <f t="shared" si="9"/>
        <v>44221.625</v>
      </c>
      <c r="I59">
        <f>G68</f>
        <v>605</v>
      </c>
      <c r="J59" s="13" t="s">
        <v>7</v>
      </c>
      <c r="L59" s="16">
        <f t="shared" si="10"/>
        <v>44220.625</v>
      </c>
      <c r="M59">
        <f>K68</f>
        <v>246</v>
      </c>
      <c r="N59" t="s">
        <v>7</v>
      </c>
      <c r="P59" s="16">
        <f t="shared" si="11"/>
        <v>44219.625</v>
      </c>
      <c r="Q59">
        <f>O68</f>
        <v>168</v>
      </c>
      <c r="R59" t="s">
        <v>7</v>
      </c>
      <c r="T59" s="16">
        <f t="shared" si="12"/>
        <v>44218.625</v>
      </c>
      <c r="U59">
        <f>S68</f>
        <v>361</v>
      </c>
      <c r="V59" t="s">
        <v>7</v>
      </c>
      <c r="W59"/>
      <c r="X59" s="16">
        <f t="shared" si="13"/>
        <v>44217.625</v>
      </c>
      <c r="Y59">
        <f>W68</f>
        <v>376</v>
      </c>
      <c r="Z59" t="s">
        <v>7</v>
      </c>
      <c r="AB59" s="16">
        <f t="shared" si="14"/>
        <v>44216.625</v>
      </c>
      <c r="AC59">
        <f>AA68</f>
        <v>406</v>
      </c>
      <c r="AD59" t="s">
        <v>7</v>
      </c>
      <c r="AF59" s="16">
        <f t="shared" si="15"/>
        <v>44215.625</v>
      </c>
      <c r="AG59">
        <f>AE68</f>
        <v>342</v>
      </c>
      <c r="AH59" s="16"/>
      <c r="AI59"/>
      <c r="AK59" s="16"/>
      <c r="AL59"/>
      <c r="AN59" s="16"/>
      <c r="AO59"/>
      <c r="AQ59" s="16"/>
      <c r="AR59"/>
      <c r="AT59" s="16"/>
    </row>
    <row r="60" spans="2:46">
      <c r="B60" s="13">
        <f>B58-7</f>
        <v>44250.625</v>
      </c>
      <c r="C60">
        <f>DMAX(_xlnm.Database,"n",B59:B60)</f>
        <v>626</v>
      </c>
      <c r="D60" s="16"/>
      <c r="F60" s="13">
        <f>F58-7</f>
        <v>44249.625</v>
      </c>
      <c r="G60">
        <f>DMAX(_xlnm.Database,"n",F59:F60)</f>
        <v>623</v>
      </c>
      <c r="H60" s="16"/>
      <c r="J60" s="13">
        <f>J58-7</f>
        <v>44248.625</v>
      </c>
      <c r="K60">
        <f>DMAX(_xlnm.Database,"n",J59:J60)</f>
        <v>356</v>
      </c>
      <c r="L60" s="16"/>
      <c r="N60" s="22">
        <f>N58-7</f>
        <v>44247.625</v>
      </c>
      <c r="O60">
        <f>DMAX(_xlnm.Database,"n",N59:N60)</f>
        <v>318</v>
      </c>
      <c r="P60" s="16"/>
      <c r="Q60"/>
      <c r="R60" s="22">
        <f>R58-7</f>
        <v>44246.625</v>
      </c>
      <c r="S60">
        <f>DMAX(_xlnm.Database,"n",R59:R60)</f>
        <v>571</v>
      </c>
      <c r="V60" s="22">
        <f>V58-7</f>
        <v>44245.625</v>
      </c>
      <c r="W60">
        <f>DMAX(_xlnm.Database,"n",V59:V60)</f>
        <v>611</v>
      </c>
      <c r="X60" s="16"/>
      <c r="Z60" s="22">
        <f>Z58-7</f>
        <v>44244.625</v>
      </c>
      <c r="AA60">
        <f>DMAX(_xlnm.Database,"n",Z59:Z60)</f>
        <v>553</v>
      </c>
      <c r="AB60" s="16"/>
      <c r="AC60"/>
      <c r="AD60" s="22">
        <f>AD58-7</f>
        <v>44243.625</v>
      </c>
      <c r="AE60">
        <f>DMAX(_xlnm.Database,"n",AD59:AD60)</f>
        <v>516</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44243.625</v>
      </c>
      <c r="C62">
        <f>DMAX(_xlnm.Database,"n",B61:B62)</f>
        <v>516</v>
      </c>
      <c r="D62" s="16"/>
      <c r="F62" s="13">
        <f>F60-7</f>
        <v>44242.625</v>
      </c>
      <c r="G62">
        <f>DMAX(_xlnm.Database,"n",F61:F62)</f>
        <v>616</v>
      </c>
      <c r="H62" s="16"/>
      <c r="J62" s="13">
        <f>J60-7</f>
        <v>44241.625</v>
      </c>
      <c r="K62">
        <f>DMAX(_xlnm.Database,"n",J61:J62)</f>
        <v>281</v>
      </c>
      <c r="L62" s="16"/>
      <c r="N62" s="22">
        <f>N60-7</f>
        <v>44240.625</v>
      </c>
      <c r="O62">
        <f>DMAX(_xlnm.Database,"n",N61:N62)</f>
        <v>277</v>
      </c>
      <c r="P62" s="16"/>
      <c r="Q62"/>
      <c r="R62" s="22">
        <f>R60-7</f>
        <v>44239.625</v>
      </c>
      <c r="S62">
        <f>DMAX(_xlnm.Database,"n",R61:R62)</f>
        <v>418</v>
      </c>
      <c r="V62" s="22">
        <f>V60-7</f>
        <v>44238.625</v>
      </c>
      <c r="W62">
        <f>DMAX(_xlnm.Database,"n",V61:V62)</f>
        <v>356</v>
      </c>
      <c r="X62" s="16"/>
      <c r="Z62" s="22">
        <f>Z60-7</f>
        <v>44237.625</v>
      </c>
      <c r="AA62">
        <f>DMAX(_xlnm.Database,"n",Z61:Z62)</f>
        <v>383</v>
      </c>
      <c r="AB62" s="16"/>
      <c r="AC62"/>
      <c r="AD62" s="22">
        <f>AD60-7</f>
        <v>44236.625</v>
      </c>
      <c r="AE62">
        <f>DMAX(_xlnm.Database,"n",AD61:AD62)</f>
        <v>371</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44236.625</v>
      </c>
      <c r="C64">
        <f>DMAX(_xlnm.Database,"n",B63:B64)</f>
        <v>371</v>
      </c>
      <c r="D64" s="16"/>
      <c r="F64" s="13">
        <f>F62-7</f>
        <v>44235.625</v>
      </c>
      <c r="G64">
        <f>DMAX(_xlnm.Database,"n",F63:F64)</f>
        <v>459</v>
      </c>
      <c r="H64" s="16"/>
      <c r="J64" s="13">
        <f>J62-7</f>
        <v>44234.625</v>
      </c>
      <c r="K64">
        <f>DMAX(_xlnm.Database,"n",J63:J64)</f>
        <v>263</v>
      </c>
      <c r="L64" s="16"/>
      <c r="N64" s="22">
        <f>N62-7</f>
        <v>44233.625</v>
      </c>
      <c r="O64">
        <f>DMAX(_xlnm.Database,"n",N63:N64)</f>
        <v>239</v>
      </c>
      <c r="P64" s="16"/>
      <c r="Q64"/>
      <c r="R64" s="22">
        <f>R62-7</f>
        <v>44232.625</v>
      </c>
      <c r="S64">
        <f>DMAX(_xlnm.Database,"n",R63:R64)</f>
        <v>367</v>
      </c>
      <c r="V64" s="22">
        <f>V62-7</f>
        <v>44231.625</v>
      </c>
      <c r="W64">
        <f>DMAX(_xlnm.Database,"n",V63:V64)</f>
        <v>372</v>
      </c>
      <c r="X64" s="16"/>
      <c r="Z64" s="22">
        <f>Z62-7</f>
        <v>44230.625</v>
      </c>
      <c r="AA64">
        <f>DMAX(_xlnm.Database,"n",Z63:Z64)</f>
        <v>441</v>
      </c>
      <c r="AB64" s="16"/>
      <c r="AC64"/>
      <c r="AD64" s="22">
        <f>AD62-7</f>
        <v>44229.625</v>
      </c>
      <c r="AE64">
        <f>DMAX(_xlnm.Database,"n",AD63:AD64)</f>
        <v>395</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44229.625</v>
      </c>
      <c r="C66">
        <f>DMAX(_xlnm.Database,"n",B65:B66)</f>
        <v>395</v>
      </c>
      <c r="D66" s="16"/>
      <c r="F66" s="13">
        <f>F64-7</f>
        <v>44228.625</v>
      </c>
      <c r="G66">
        <f>DMAX(_xlnm.Database,"n",F65:F66)</f>
        <v>533</v>
      </c>
      <c r="H66" s="16"/>
      <c r="J66" s="13">
        <f>J64-7</f>
        <v>44227.625</v>
      </c>
      <c r="K66">
        <f>DMAX(_xlnm.Database,"n",J65:J66)</f>
        <v>272</v>
      </c>
      <c r="L66" s="16"/>
      <c r="N66" s="22">
        <f>N64-7</f>
        <v>44226.625</v>
      </c>
      <c r="O66">
        <f>DMAX(_xlnm.Database,"n",N65:N66)</f>
        <v>232</v>
      </c>
      <c r="P66" s="16"/>
      <c r="Q66"/>
      <c r="R66" s="22">
        <f>R64-7</f>
        <v>44225.625</v>
      </c>
      <c r="S66">
        <f>DMAX(_xlnm.Database,"n",R65:R66)</f>
        <v>375</v>
      </c>
      <c r="V66" s="22">
        <f>V64-7</f>
        <v>44224.625</v>
      </c>
      <c r="W66">
        <f>DMAX(_xlnm.Database,"n",V65:V66)</f>
        <v>435</v>
      </c>
      <c r="X66" s="16"/>
      <c r="Z66" s="22">
        <f>Z64-7</f>
        <v>44223.625</v>
      </c>
      <c r="AA66">
        <f>DMAX(_xlnm.Database,"n",Z65:Z66)</f>
        <v>382</v>
      </c>
      <c r="AB66" s="16"/>
      <c r="AC66"/>
      <c r="AD66" s="22">
        <f>AD64-7</f>
        <v>44222.625</v>
      </c>
      <c r="AE66">
        <f>DMAX(_xlnm.Database,"n",AD65:AD66)</f>
        <v>397</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44222.625</v>
      </c>
      <c r="C68">
        <f>DMAX(_xlnm.Database,"n",B67:B68)</f>
        <v>397</v>
      </c>
      <c r="D68" s="16"/>
      <c r="F68" s="13">
        <f>F66-7</f>
        <v>44221.625</v>
      </c>
      <c r="G68">
        <f>DMAX(_xlnm.Database,"n",F67:F68)</f>
        <v>605</v>
      </c>
      <c r="H68" s="16"/>
      <c r="J68" s="13">
        <f>J66-7</f>
        <v>44220.625</v>
      </c>
      <c r="K68">
        <f>DMAX(_xlnm.Database,"n",J67:J68)</f>
        <v>246</v>
      </c>
      <c r="L68" s="16"/>
      <c r="N68" s="22">
        <f>N66-7</f>
        <v>44219.625</v>
      </c>
      <c r="O68">
        <f>DMAX(_xlnm.Database,"n",N67:N68)</f>
        <v>168</v>
      </c>
      <c r="P68" s="16"/>
      <c r="Q68"/>
      <c r="R68" s="22">
        <f>R66-7</f>
        <v>44218.625</v>
      </c>
      <c r="S68">
        <f>DMAX(_xlnm.Database,"n",R67:R68)</f>
        <v>361</v>
      </c>
      <c r="V68" s="22">
        <f>V66-7</f>
        <v>44217.625</v>
      </c>
      <c r="W68">
        <f>DMAX(_xlnm.Database,"n",V67:V68)</f>
        <v>376</v>
      </c>
      <c r="X68" s="16"/>
      <c r="Z68" s="22">
        <f>Z66-7</f>
        <v>44216.625</v>
      </c>
      <c r="AA68">
        <f>DMAX(_xlnm.Database,"n",Z67:Z68)</f>
        <v>406</v>
      </c>
      <c r="AB68" s="16"/>
      <c r="AC68"/>
      <c r="AD68" s="22">
        <f>AD66-7</f>
        <v>44215.625</v>
      </c>
      <c r="AE68">
        <f>DMAX(_xlnm.Database,"n",AD67:AD68)</f>
        <v>342</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44285.625</v>
      </c>
      <c r="C73">
        <f>DMAX(_xlnm.Database,"n",B72:B73)</f>
        <v>567</v>
      </c>
      <c r="D73" s="21">
        <f>B73</f>
        <v>44285.625</v>
      </c>
      <c r="E73">
        <f>C73</f>
        <v>567</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44284.625</v>
      </c>
      <c r="E74">
        <f>C75</f>
        <v>648</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44284.625</v>
      </c>
      <c r="C75">
        <f>DMAX(_xlnm.Database,"n",B74:B75)</f>
        <v>648</v>
      </c>
      <c r="D75" s="16">
        <f t="shared" ref="D75:D109" si="16">D74-1</f>
        <v>44283.625</v>
      </c>
      <c r="E75">
        <f>C77</f>
        <v>371</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44282.625</v>
      </c>
      <c r="E76">
        <f>C79</f>
        <v>350</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44283.625</v>
      </c>
      <c r="C77">
        <f>DMAX(_xlnm.Database,"n",B76:B77)</f>
        <v>371</v>
      </c>
      <c r="D77" s="16">
        <f t="shared" si="16"/>
        <v>44281.625</v>
      </c>
      <c r="E77">
        <f>C81</f>
        <v>682</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44280.625</v>
      </c>
      <c r="E78">
        <f>C83</f>
        <v>607</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44282.625</v>
      </c>
      <c r="C79">
        <f>DMAX(_xlnm.Database,"n",B78:B79)</f>
        <v>350</v>
      </c>
      <c r="D79" s="16">
        <f t="shared" si="16"/>
        <v>44279.625</v>
      </c>
      <c r="E79">
        <f>C85</f>
        <v>699</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44278.625</v>
      </c>
      <c r="E80">
        <f>C87</f>
        <v>698</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44281.625</v>
      </c>
      <c r="C81">
        <f>DMAX(_xlnm.Database,"n",B80:B81)</f>
        <v>682</v>
      </c>
      <c r="D81" s="16">
        <f t="shared" si="16"/>
        <v>44277.625</v>
      </c>
      <c r="E81">
        <f>C89</f>
        <v>764</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44276.625</v>
      </c>
      <c r="E82">
        <f>C91</f>
        <v>417</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44280.625</v>
      </c>
      <c r="C83">
        <f>DMAX(_xlnm.Database,"n",B82:B83)</f>
        <v>607</v>
      </c>
      <c r="D83" s="16">
        <f t="shared" si="16"/>
        <v>44275.625</v>
      </c>
      <c r="E83">
        <f>C93</f>
        <v>402</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44274.625</v>
      </c>
      <c r="E84">
        <f>C95</f>
        <v>743</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44279.625</v>
      </c>
      <c r="C85">
        <f>DMAX(_xlnm.Database,"n",B84:B85)</f>
        <v>699</v>
      </c>
      <c r="D85" s="16">
        <f t="shared" si="16"/>
        <v>44273.625</v>
      </c>
      <c r="E85">
        <f>C97</f>
        <v>737</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44272.625</v>
      </c>
      <c r="E86">
        <f>C99</f>
        <v>743</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44278.625</v>
      </c>
      <c r="C87">
        <f>DMAX(_xlnm.Database,"n",B86:B87)</f>
        <v>698</v>
      </c>
      <c r="D87" s="16">
        <f t="shared" si="16"/>
        <v>44271.625</v>
      </c>
      <c r="E87">
        <f>C101</f>
        <v>763</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44270.625</v>
      </c>
      <c r="E88">
        <f>C103</f>
        <v>891</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44277.625</v>
      </c>
      <c r="C89">
        <f>DMAX(_xlnm.Database,"n",B88:B89)</f>
        <v>764</v>
      </c>
      <c r="D89" s="16">
        <f t="shared" si="16"/>
        <v>44269.625</v>
      </c>
      <c r="E89">
        <f>C105</f>
        <v>435</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44268.625</v>
      </c>
      <c r="E90">
        <f>C107</f>
        <v>492</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44276.625</v>
      </c>
      <c r="C91">
        <f>DMAX(_xlnm.Database,"n",B90:B91)</f>
        <v>417</v>
      </c>
      <c r="D91" s="16">
        <f t="shared" si="16"/>
        <v>44267.625</v>
      </c>
      <c r="E91">
        <f>C109</f>
        <v>812</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44266.625</v>
      </c>
      <c r="E92">
        <f>C111</f>
        <v>775</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44275.625</v>
      </c>
      <c r="C93">
        <f>DMAX(_xlnm.Database,"n",B92:B93)</f>
        <v>402</v>
      </c>
      <c r="D93" s="16">
        <f t="shared" si="16"/>
        <v>44265.625</v>
      </c>
      <c r="E93">
        <f>C113</f>
        <v>817</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44264.625</v>
      </c>
      <c r="E94">
        <f>C115</f>
        <v>774</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44274.625</v>
      </c>
      <c r="C95">
        <f>DMAX(_xlnm.Database,"n",B94:B95)</f>
        <v>743</v>
      </c>
      <c r="D95" s="16">
        <f t="shared" si="16"/>
        <v>44263.625</v>
      </c>
      <c r="E95">
        <f>C117</f>
        <v>833</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44262.625</v>
      </c>
      <c r="E96">
        <f>C119</f>
        <v>396</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44273.625</v>
      </c>
      <c r="C97">
        <f>DMAX(_xlnm.Database,"n",B96:B97)</f>
        <v>737</v>
      </c>
      <c r="D97" s="16">
        <f t="shared" si="16"/>
        <v>44261.625</v>
      </c>
      <c r="E97">
        <f>C121</f>
        <v>431</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44260.625</v>
      </c>
      <c r="E98">
        <f>C123</f>
        <v>629</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44272.625</v>
      </c>
      <c r="C99">
        <f>DMAX(_xlnm.Database,"n",B98:B99)</f>
        <v>743</v>
      </c>
      <c r="D99" s="16">
        <f t="shared" si="16"/>
        <v>44259.625</v>
      </c>
      <c r="E99">
        <f>C125</f>
        <v>638</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44258.625</v>
      </c>
      <c r="E100">
        <f>C127</f>
        <v>732</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44271.625</v>
      </c>
      <c r="C101">
        <f>DMAX(_xlnm.Database,"n",B100:B101)</f>
        <v>763</v>
      </c>
      <c r="D101" s="16">
        <f t="shared" si="16"/>
        <v>44257.625</v>
      </c>
      <c r="E101">
        <f>C129</f>
        <v>757</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44256.625</v>
      </c>
      <c r="E102">
        <f>C131</f>
        <v>871</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44270.625</v>
      </c>
      <c r="C103">
        <f>DMAX(_xlnm.Database,"n",B102:B103)</f>
        <v>891</v>
      </c>
      <c r="D103" s="16">
        <f t="shared" si="16"/>
        <v>44255.625</v>
      </c>
      <c r="E103">
        <f>C133</f>
        <v>418</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44254.625</v>
      </c>
      <c r="E104">
        <f>C135</f>
        <v>401</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44269.625</v>
      </c>
      <c r="C105">
        <f>DMAX(_xlnm.Database,"n",B104:B105)</f>
        <v>435</v>
      </c>
      <c r="D105" s="16">
        <f t="shared" si="16"/>
        <v>44253.625</v>
      </c>
      <c r="E105">
        <f>C137</f>
        <v>690</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44252.625</v>
      </c>
      <c r="E106">
        <f>C139</f>
        <v>618</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44268.625</v>
      </c>
      <c r="C107">
        <f>DMAX(_xlnm.Database,"n",B106:B107)</f>
        <v>492</v>
      </c>
      <c r="D107" s="16">
        <f t="shared" si="16"/>
        <v>44251.625</v>
      </c>
      <c r="E107">
        <f>C141</f>
        <v>598</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44250.625</v>
      </c>
      <c r="E108">
        <f>C143</f>
        <v>626</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44267.625</v>
      </c>
      <c r="C109">
        <f>DMAX(_xlnm.Database,"n",B108:B109)</f>
        <v>812</v>
      </c>
      <c r="D109" s="16">
        <f t="shared" si="16"/>
        <v>44249.625</v>
      </c>
      <c r="E109">
        <f>C145</f>
        <v>623</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44266.625</v>
      </c>
      <c r="C111">
        <f>DMAX(_xlnm.Database,"n",B110:B111)</f>
        <v>775</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44265.625</v>
      </c>
      <c r="C113">
        <f>DMAX(_xlnm.Database,"n",B112:B113)</f>
        <v>817</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44264.625</v>
      </c>
      <c r="C115">
        <f>DMAX(_xlnm.Database,"n",B114:B115)</f>
        <v>774</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44263.625</v>
      </c>
      <c r="C117">
        <f>DMAX(_xlnm.Database,"n",B116:B117)</f>
        <v>833</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44262.625</v>
      </c>
      <c r="C119">
        <f>DMAX(_xlnm.Database,"n",B118:B119)</f>
        <v>396</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44261.625</v>
      </c>
      <c r="C121">
        <f>DMAX(_xlnm.Database,"n",B120:B121)</f>
        <v>431</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44260.625</v>
      </c>
      <c r="C123">
        <f>DMAX(_xlnm.Database,"n",B122:B123)</f>
        <v>629</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44259.625</v>
      </c>
      <c r="C125">
        <f>DMAX(_xlnm.Database,"n",B124:B125)</f>
        <v>638</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44258.625</v>
      </c>
      <c r="C127">
        <f>DMAX(_xlnm.Database,"n",B126:B127)</f>
        <v>732</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44257.625</v>
      </c>
      <c r="C129">
        <f>DMAX(_xlnm.Database,"n",B128:B129)</f>
        <v>757</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44256.625</v>
      </c>
      <c r="C131">
        <f>DMAX(_xlnm.Database,"n",B130:B131)</f>
        <v>871</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44255.625</v>
      </c>
      <c r="C133">
        <f>DMAX(_xlnm.Database,"n",B132:B133)</f>
        <v>418</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44254.625</v>
      </c>
      <c r="C135">
        <f>DMAX(_xlnm.Database,"n",B134:B135)</f>
        <v>401</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44253.625</v>
      </c>
      <c r="C137">
        <f>DMAX(_xlnm.Database,"n",B136:B137)</f>
        <v>690</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44252.625</v>
      </c>
      <c r="C139">
        <f>DMAX(_xlnm.Database,"n",B138:B139)</f>
        <v>618</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44251.625</v>
      </c>
      <c r="C141">
        <f>DMAX(_xlnm.Database,"n",B140:B141)</f>
        <v>598</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44250.625</v>
      </c>
      <c r="C143">
        <f>DMAX(_xlnm.Database,"n",B142:B143)</f>
        <v>626</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44249.625</v>
      </c>
      <c r="C145">
        <f>DMAX(_xlnm.Database,"n",B144:B145)</f>
        <v>623</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workbookViewId="0">
      <selection activeCell="K39" sqref="K3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19.5" customHeight="1"/>
    <row r="22" spans="2:21">
      <c r="B22" s="11"/>
    </row>
    <row r="24" spans="2:21">
      <c r="L24" t="s">
        <v>299</v>
      </c>
      <c r="N24" t="s">
        <v>421</v>
      </c>
      <c r="O24" t="s">
        <v>450</v>
      </c>
      <c r="R24" s="13"/>
      <c r="T24" s="3" t="s">
        <v>291</v>
      </c>
      <c r="U24" t="s">
        <v>300</v>
      </c>
    </row>
    <row r="25" spans="2:21">
      <c r="L25">
        <v>1</v>
      </c>
      <c r="M25" t="s">
        <v>431</v>
      </c>
      <c r="N25" s="29">
        <f>AVERAGEIF(Kaikki!E:E,L25,DataN)</f>
        <v>227.93846153846152</v>
      </c>
      <c r="O25" s="32">
        <f>T25</f>
        <v>891</v>
      </c>
      <c r="P25" s="13">
        <f>S25</f>
        <v>44270.625</v>
      </c>
      <c r="R25" s="13"/>
      <c r="S25" s="30">
        <f>DMAX(_xlnm.Database,"aika",T24:U25)</f>
        <v>44270.625</v>
      </c>
      <c r="T25" s="3">
        <f>DMAX(_xlnm.Database,"n",U24:U25)</f>
        <v>891</v>
      </c>
      <c r="U25">
        <v>1</v>
      </c>
    </row>
    <row r="26" spans="2:21">
      <c r="L26">
        <v>2</v>
      </c>
      <c r="M26" t="s">
        <v>432</v>
      </c>
      <c r="N26" s="29">
        <f>AVERAGEIF(Kaikki!E:E,L26,DataN)</f>
        <v>193.83076923076922</v>
      </c>
      <c r="O26" s="32">
        <f>T27</f>
        <v>774</v>
      </c>
      <c r="P26" s="13">
        <f>S27</f>
        <v>44264.625</v>
      </c>
      <c r="R26" s="13"/>
      <c r="T26" s="3" t="s">
        <v>291</v>
      </c>
      <c r="U26" t="s">
        <v>300</v>
      </c>
    </row>
    <row r="27" spans="2:21">
      <c r="L27">
        <v>3</v>
      </c>
      <c r="M27" t="s">
        <v>433</v>
      </c>
      <c r="N27" s="29">
        <f>AVERAGEIF(Kaikki!E:E,L27,DataN)</f>
        <v>194.25757575757575</v>
      </c>
      <c r="O27" s="32">
        <f>T29</f>
        <v>817</v>
      </c>
      <c r="P27" s="13">
        <f>S29</f>
        <v>44265.625</v>
      </c>
      <c r="R27" s="13"/>
      <c r="S27" s="30">
        <f>DMAX(_xlnm.Database,"aika",T26:U27)</f>
        <v>44264.625</v>
      </c>
      <c r="T27" s="3">
        <f>DMAX(_xlnm.Database,"n",U26:U27)</f>
        <v>774</v>
      </c>
      <c r="U27">
        <v>2</v>
      </c>
    </row>
    <row r="28" spans="2:21">
      <c r="L28">
        <v>4</v>
      </c>
      <c r="M28" t="s">
        <v>434</v>
      </c>
      <c r="N28" s="29">
        <f>AVERAGEIF(Kaikki!E:E,L28,DataN)</f>
        <v>186.07575757575756</v>
      </c>
      <c r="O28" s="32">
        <f>T31</f>
        <v>775</v>
      </c>
      <c r="P28" s="13">
        <f>S31</f>
        <v>44266.625</v>
      </c>
      <c r="R28" s="13"/>
      <c r="T28" s="3" t="s">
        <v>291</v>
      </c>
      <c r="U28" t="s">
        <v>300</v>
      </c>
    </row>
    <row r="29" spans="2:21">
      <c r="L29">
        <v>5</v>
      </c>
      <c r="M29" t="s">
        <v>435</v>
      </c>
      <c r="N29" s="29">
        <f>AVERAGEIF(Kaikki!E:E,L29,DataN)</f>
        <v>178.5151515151515</v>
      </c>
      <c r="O29" s="32">
        <f>T33</f>
        <v>812</v>
      </c>
      <c r="P29" s="13">
        <f>S33</f>
        <v>44267.625</v>
      </c>
      <c r="R29" s="13"/>
      <c r="S29" s="30">
        <f>DMAX(_xlnm.Database,"aika",T28:U29)</f>
        <v>44265.625</v>
      </c>
      <c r="T29" s="3">
        <f>DMAX(_xlnm.Database,"n",U28:U29)</f>
        <v>817</v>
      </c>
      <c r="U29">
        <v>3</v>
      </c>
    </row>
    <row r="30" spans="2:21">
      <c r="L30">
        <v>6</v>
      </c>
      <c r="M30" t="s">
        <v>436</v>
      </c>
      <c r="N30" s="29">
        <f>AVERAGEIF(Kaikki!E:E,L30,DataN)</f>
        <v>108.33333333333333</v>
      </c>
      <c r="O30" s="32">
        <f>T35</f>
        <v>492</v>
      </c>
      <c r="P30" s="13">
        <f>S35</f>
        <v>44268.625</v>
      </c>
      <c r="R30" s="13"/>
      <c r="T30" s="3" t="s">
        <v>291</v>
      </c>
      <c r="U30" t="s">
        <v>300</v>
      </c>
    </row>
    <row r="31" spans="2:21">
      <c r="L31">
        <v>7</v>
      </c>
      <c r="M31" t="s">
        <v>437</v>
      </c>
      <c r="N31" s="29">
        <f>AVERAGEIF(Kaikki!E:E,L31,DataN)</f>
        <v>117.61538461538461</v>
      </c>
      <c r="O31" s="32">
        <f>T37</f>
        <v>435</v>
      </c>
      <c r="P31" s="13">
        <f>S37</f>
        <v>44269.625</v>
      </c>
      <c r="R31" s="13"/>
      <c r="S31" s="30">
        <f>DMAX(_xlnm.Database,"aika",T30:U31)</f>
        <v>44266.625</v>
      </c>
      <c r="T31" s="3">
        <f>DMAX(_xlnm.Database,"n",U30:U31)</f>
        <v>775</v>
      </c>
      <c r="U31">
        <v>4</v>
      </c>
    </row>
    <row r="32" spans="2:21">
      <c r="R32" s="13"/>
      <c r="T32" s="3" t="s">
        <v>291</v>
      </c>
      <c r="U32" t="s">
        <v>300</v>
      </c>
    </row>
    <row r="33" spans="2:21">
      <c r="L33" t="s">
        <v>454</v>
      </c>
      <c r="R33" s="13"/>
      <c r="S33" s="30">
        <f>DMAX(_xlnm.Database,"aika",T32:U33)</f>
        <v>44267.625</v>
      </c>
      <c r="T33" s="3">
        <f>DMAX(_xlnm.Database,"n",U32:U33)</f>
        <v>812</v>
      </c>
      <c r="U33">
        <v>5</v>
      </c>
    </row>
    <row r="34" spans="2:21">
      <c r="R34" s="13"/>
      <c r="T34" s="3" t="s">
        <v>291</v>
      </c>
      <c r="U34" t="s">
        <v>300</v>
      </c>
    </row>
    <row r="35" spans="2:21">
      <c r="M35" t="s">
        <v>468</v>
      </c>
      <c r="N35" t="s">
        <v>469</v>
      </c>
      <c r="O35" s="3"/>
      <c r="R35" s="13"/>
      <c r="S35" s="30">
        <f>DMAX(_xlnm.Database,"aika",T34:U35)</f>
        <v>44268.625</v>
      </c>
      <c r="T35" s="3">
        <f>DMAX(_xlnm.Database,"n",U34:U35)</f>
        <v>492</v>
      </c>
      <c r="U35">
        <v>6</v>
      </c>
    </row>
    <row r="36" spans="2:21">
      <c r="M36" s="33">
        <f>MAX(Kaikki!H$2:H10000)</f>
        <v>4938</v>
      </c>
      <c r="N36" s="30">
        <f>DMAX(_xlnm.Database,"aika",M35:M36)</f>
        <v>44263.625</v>
      </c>
      <c r="O36" s="37"/>
      <c r="R36" s="13"/>
      <c r="T36" s="3" t="s">
        <v>291</v>
      </c>
      <c r="U36" t="s">
        <v>300</v>
      </c>
    </row>
    <row r="37" spans="2:21">
      <c r="R37" s="13"/>
      <c r="S37" s="30">
        <f>DMAX(_xlnm.Database,"aika",T36:U37)</f>
        <v>44269.625</v>
      </c>
      <c r="T37" s="3">
        <f>DMAX(_xlnm.Database,"n",U36:U37)</f>
        <v>435</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"&amp;TEXT(MAX(Lisäys!N:N),"[$-40B]p.k")&amp;"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3.4 n=422 (joista vanhoja yli 28 päivän takaisia kirjauksia -1). Yhteensä N=79094. Edelliset 7 päivää 3104 (päivittyy), 4269 (muutos -11 %), 4804 (-1 %) ja 4838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N=79094. Uusimmat 3.4.2021 lisäykset 422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3.4.2021 n=422 (joista vanhoja yli 28 päivän takaisia kirjauksia -1). Yhteensä N=79094. Melko pysyvät 7 päivää 24.3-30.3 yhteensä 3924 (muutos -13 %), aiemmat 7 päivää 4504 (-10 %) ja 4985 https://github.com/jussivirkkala/excel/tree/master/hs-koronavirus-avoindata</v>
      </c>
    </row>
    <row r="80" spans="2:2" ht="18.75">
      <c r="B80" s="23" t="str">
        <f>" COVID-19 tapauksia 7 päivän välein "&amp;TEXT(Lisäys!B73,"p.k.vvvv")&amp;" saakka (- uusin ... vanhin)."</f>
        <v xml:space="preserve"> COVID-19 tapauksia 7 päivän välein 30.3.2021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95250</xdr:colOff>
                    <xdr:row>1</xdr:row>
                    <xdr:rowOff>76200</xdr:rowOff>
                  </from>
                  <to>
                    <xdr:col>2</xdr:col>
                    <xdr:colOff>447675</xdr:colOff>
                    <xdr:row>3</xdr:row>
                    <xdr:rowOff>19050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2021-04-03T09:10:05Z</dcterms:modified>
</cp:coreProperties>
</file>