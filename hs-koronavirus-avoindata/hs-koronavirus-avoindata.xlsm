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1623185F-3F70-4D1A-AB26-E97B7430DB54}" xr6:coauthVersionLast="46" xr6:coauthVersionMax="46" xr10:uidLastSave="{00000000-0000-0000-0000-000000000000}"/>
  <bookViews>
    <workbookView xWindow="951" yWindow="-103" windowWidth="21095" windowHeight="12549" activeTab="3" xr2:uid="{00000000-000D-0000-FFFF-FFFF00000000}"/>
  </bookViews>
  <sheets>
    <sheet name="Ohje" sheetId="3" r:id="rId1"/>
    <sheet name="Data" sheetId="1" r:id="rId2"/>
    <sheet name="Lisäys" sheetId="2" r:id="rId3"/>
    <sheet name="Kuvaajat" sheetId="4" r:id="rId4"/>
  </sheets>
  <definedNames>
    <definedName name="_xlnm._FilterDatabase" localSheetId="1" hidden="1">Data!$A$1:$F$281</definedName>
    <definedName name="aika">Data!$F:$F</definedName>
    <definedName name="alue">Data!$C:$C</definedName>
    <definedName name="_xlnm.Database">Data!$A:$F</definedName>
    <definedName name="DataN">Data!$A:$A</definedName>
    <definedName name="maa">Data!$D:$D</definedName>
    <definedName name="N">Lisäys!$C$34</definedName>
    <definedName name="Paivitetty">Data!$H$1</definedName>
    <definedName name="PlotX">Data!$G$2:OFFSET(Data!$G$2,Data!$K$1,0)</definedName>
    <definedName name="PlotY">Data!$A$2:OFFSET(Data!$A$2,Data!$K$1,0)</definedName>
    <definedName name="Previous">Lisäys!$M$7:$O$35</definedName>
    <definedName name="Tapauksia">Data!$G$1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K36" i="2" l="1"/>
  <c r="JN36" i="2"/>
  <c r="JQ36" i="2"/>
  <c r="JT36" i="2"/>
  <c r="JT38" i="2" s="1"/>
  <c r="JW36" i="2"/>
  <c r="JW38" i="2" s="1"/>
  <c r="JZ36" i="2"/>
  <c r="JZ38" i="2" s="1"/>
  <c r="KC36" i="2"/>
  <c r="KC38" i="2" s="1"/>
  <c r="KF36" i="2"/>
  <c r="KF38" i="2" s="1"/>
  <c r="KI36" i="2"/>
  <c r="KI38" i="2" s="1"/>
  <c r="KL36" i="2"/>
  <c r="KL38" i="2" s="1"/>
  <c r="KO36" i="2"/>
  <c r="KO38" i="2" s="1"/>
  <c r="KR36" i="2"/>
  <c r="KR38" i="2" s="1"/>
  <c r="KU36" i="2"/>
  <c r="KU38" i="2" s="1"/>
  <c r="KX36" i="2"/>
  <c r="KX38" i="2" s="1"/>
  <c r="LA36" i="2"/>
  <c r="LA38" i="2" s="1"/>
  <c r="LD36" i="2"/>
  <c r="LD38" i="2" s="1"/>
  <c r="LG36" i="2"/>
  <c r="LG38" i="2" s="1"/>
  <c r="LJ36" i="2"/>
  <c r="LJ38" i="2" s="1"/>
  <c r="LM36" i="2"/>
  <c r="LP36" i="2"/>
  <c r="LS36" i="2"/>
  <c r="LV36" i="2"/>
  <c r="LY36" i="2"/>
  <c r="MB36" i="2"/>
  <c r="ME36" i="2"/>
  <c r="MH36" i="2"/>
  <c r="MK36" i="2"/>
  <c r="MN36" i="2"/>
  <c r="MQ36" i="2"/>
  <c r="MT36" i="2"/>
  <c r="MW36" i="2"/>
  <c r="MZ36" i="2"/>
  <c r="NC36" i="2"/>
  <c r="NF36" i="2"/>
  <c r="NI36" i="2"/>
  <c r="NL36" i="2"/>
  <c r="NO36" i="2"/>
  <c r="NR36" i="2"/>
  <c r="NR38" i="2" s="1"/>
  <c r="NU36" i="2"/>
  <c r="NX36" i="2"/>
  <c r="NX38" i="2" s="1"/>
  <c r="OA36" i="2"/>
  <c r="OD36" i="2"/>
  <c r="OG36" i="2"/>
  <c r="OJ36" i="2"/>
  <c r="OJ38" i="2" s="1"/>
  <c r="OM36" i="2"/>
  <c r="OP36" i="2"/>
  <c r="OP38" i="2" s="1"/>
  <c r="OS36" i="2"/>
  <c r="OV36" i="2"/>
  <c r="OV38" i="2" s="1"/>
  <c r="OY36" i="2"/>
  <c r="PB36" i="2"/>
  <c r="PB38" i="2" s="1"/>
  <c r="PE36" i="2"/>
  <c r="PH36" i="2"/>
  <c r="PH38" i="2" s="1"/>
  <c r="PK36" i="2"/>
  <c r="PN36" i="2"/>
  <c r="PN38" i="2" s="1"/>
  <c r="PQ36" i="2"/>
  <c r="PT36" i="2"/>
  <c r="PT38" i="2" s="1"/>
  <c r="PW36" i="2"/>
  <c r="PZ36" i="2"/>
  <c r="QC36" i="2"/>
  <c r="QF36" i="2"/>
  <c r="QF38" i="2" s="1"/>
  <c r="QI36" i="2"/>
  <c r="QL36" i="2"/>
  <c r="QL38" i="2" s="1"/>
  <c r="QO36" i="2"/>
  <c r="QR36" i="2"/>
  <c r="QR38" i="2" s="1"/>
  <c r="QU36" i="2"/>
  <c r="QX36" i="2"/>
  <c r="QX38" i="2" s="1"/>
  <c r="RA36" i="2"/>
  <c r="RD36" i="2"/>
  <c r="RD38" i="2" s="1"/>
  <c r="RG36" i="2"/>
  <c r="RJ36" i="2"/>
  <c r="RJ38" i="2" s="1"/>
  <c r="RM36" i="2"/>
  <c r="RP36" i="2"/>
  <c r="RP38" i="2" s="1"/>
  <c r="RS36" i="2"/>
  <c r="RV36" i="2"/>
  <c r="RY36" i="2"/>
  <c r="SB36" i="2"/>
  <c r="SB38" i="2" s="1"/>
  <c r="SE36" i="2"/>
  <c r="SH36" i="2"/>
  <c r="SH38" i="2" s="1"/>
  <c r="SK36" i="2"/>
  <c r="SN36" i="2"/>
  <c r="SN38" i="2" s="1"/>
  <c r="SQ36" i="2"/>
  <c r="ST36" i="2"/>
  <c r="ST38" i="2" s="1"/>
  <c r="SW36" i="2"/>
  <c r="SZ36" i="2"/>
  <c r="SZ38" i="2" s="1"/>
  <c r="TC36" i="2"/>
  <c r="JK37" i="2"/>
  <c r="JN37" i="2"/>
  <c r="JQ37" i="2"/>
  <c r="JT37" i="2"/>
  <c r="JW37" i="2"/>
  <c r="JZ37" i="2"/>
  <c r="KC37" i="2"/>
  <c r="KF37" i="2"/>
  <c r="KI37" i="2"/>
  <c r="KL37" i="2"/>
  <c r="KO37" i="2"/>
  <c r="KR37" i="2"/>
  <c r="KU37" i="2"/>
  <c r="KX37" i="2"/>
  <c r="LA37" i="2"/>
  <c r="LD37" i="2"/>
  <c r="LG37" i="2"/>
  <c r="LJ37" i="2"/>
  <c r="LM37" i="2"/>
  <c r="LP37" i="2"/>
  <c r="LS37" i="2"/>
  <c r="LV37" i="2"/>
  <c r="LY37" i="2"/>
  <c r="MB37" i="2"/>
  <c r="ME37" i="2"/>
  <c r="MH37" i="2"/>
  <c r="MK37" i="2"/>
  <c r="MN37" i="2"/>
  <c r="MQ37" i="2"/>
  <c r="MT37" i="2"/>
  <c r="MW37" i="2"/>
  <c r="MZ37" i="2"/>
  <c r="NC37" i="2"/>
  <c r="NF37" i="2"/>
  <c r="NI37" i="2"/>
  <c r="NL37" i="2"/>
  <c r="NO37" i="2"/>
  <c r="NR37" i="2"/>
  <c r="NU37" i="2"/>
  <c r="NX37" i="2"/>
  <c r="OA37" i="2"/>
  <c r="OD37" i="2"/>
  <c r="OG37" i="2"/>
  <c r="OJ37" i="2"/>
  <c r="OM37" i="2"/>
  <c r="OP37" i="2"/>
  <c r="OS37" i="2"/>
  <c r="OV37" i="2"/>
  <c r="OY37" i="2"/>
  <c r="PB37" i="2"/>
  <c r="PE37" i="2"/>
  <c r="PH37" i="2"/>
  <c r="PK37" i="2"/>
  <c r="PN37" i="2"/>
  <c r="PQ37" i="2"/>
  <c r="PT37" i="2"/>
  <c r="PW37" i="2"/>
  <c r="PZ37" i="2"/>
  <c r="QC37" i="2"/>
  <c r="QF37" i="2"/>
  <c r="QI37" i="2"/>
  <c r="QL37" i="2"/>
  <c r="QO37" i="2"/>
  <c r="QR37" i="2"/>
  <c r="QU37" i="2"/>
  <c r="QX37" i="2"/>
  <c r="RA37" i="2"/>
  <c r="RD37" i="2"/>
  <c r="RG37" i="2"/>
  <c r="RJ37" i="2"/>
  <c r="RM37" i="2"/>
  <c r="RP37" i="2"/>
  <c r="RS37" i="2"/>
  <c r="RV37" i="2"/>
  <c r="RY37" i="2"/>
  <c r="SB37" i="2"/>
  <c r="SE37" i="2"/>
  <c r="SH37" i="2"/>
  <c r="SK37" i="2"/>
  <c r="SN37" i="2"/>
  <c r="SQ37" i="2"/>
  <c r="ST37" i="2"/>
  <c r="SW37" i="2"/>
  <c r="SZ37" i="2"/>
  <c r="TC37" i="2"/>
  <c r="JK38" i="2"/>
  <c r="JN38" i="2"/>
  <c r="JQ38" i="2"/>
  <c r="NO38" i="2"/>
  <c r="NU38" i="2"/>
  <c r="OA38" i="2"/>
  <c r="OD38" i="2"/>
  <c r="OG38" i="2"/>
  <c r="OM38" i="2"/>
  <c r="OS38" i="2"/>
  <c r="OY38" i="2"/>
  <c r="PE38" i="2"/>
  <c r="PK38" i="2"/>
  <c r="PQ38" i="2"/>
  <c r="PW38" i="2"/>
  <c r="PZ38" i="2"/>
  <c r="QC38" i="2"/>
  <c r="QI38" i="2"/>
  <c r="QO38" i="2"/>
  <c r="QU38" i="2"/>
  <c r="RA38" i="2"/>
  <c r="RG38" i="2"/>
  <c r="RM38" i="2"/>
  <c r="RS38" i="2"/>
  <c r="RV38" i="2"/>
  <c r="RY38" i="2"/>
  <c r="SE38" i="2"/>
  <c r="SK38" i="2"/>
  <c r="SQ38" i="2"/>
  <c r="SW38" i="2"/>
  <c r="TC38" i="2"/>
  <c r="G406" i="1"/>
  <c r="H406" i="1"/>
  <c r="I406" i="1" s="1"/>
  <c r="J406" i="1"/>
  <c r="G407" i="1"/>
  <c r="G408" i="1"/>
  <c r="G409" i="1"/>
  <c r="G410" i="1"/>
  <c r="G411" i="1"/>
  <c r="G412" i="1"/>
  <c r="G413" i="1"/>
  <c r="H413" i="1"/>
  <c r="I420" i="1" s="1"/>
  <c r="J413" i="1"/>
  <c r="G414" i="1"/>
  <c r="G415" i="1"/>
  <c r="G416" i="1"/>
  <c r="G417" i="1"/>
  <c r="G418" i="1"/>
  <c r="G419" i="1"/>
  <c r="G420" i="1"/>
  <c r="H420" i="1"/>
  <c r="I427" i="1" s="1"/>
  <c r="J420" i="1"/>
  <c r="G421" i="1"/>
  <c r="G422" i="1"/>
  <c r="G423" i="1"/>
  <c r="G424" i="1"/>
  <c r="G425" i="1"/>
  <c r="G426" i="1"/>
  <c r="G427" i="1"/>
  <c r="H427" i="1"/>
  <c r="J427" i="1"/>
  <c r="G428" i="1"/>
  <c r="G429" i="1"/>
  <c r="G430" i="1"/>
  <c r="G431" i="1"/>
  <c r="G432" i="1"/>
  <c r="G433" i="1"/>
  <c r="G434" i="1"/>
  <c r="H434" i="1"/>
  <c r="J434" i="1"/>
  <c r="G435" i="1"/>
  <c r="G436" i="1"/>
  <c r="G437" i="1"/>
  <c r="G438" i="1"/>
  <c r="G439" i="1"/>
  <c r="G440" i="1"/>
  <c r="G441" i="1"/>
  <c r="H441" i="1"/>
  <c r="I441" i="1"/>
  <c r="J441" i="1"/>
  <c r="G442" i="1"/>
  <c r="G443" i="1"/>
  <c r="G444" i="1"/>
  <c r="G445" i="1"/>
  <c r="G446" i="1"/>
  <c r="G447" i="1"/>
  <c r="G448" i="1"/>
  <c r="H448" i="1"/>
  <c r="I448" i="1" s="1"/>
  <c r="J448" i="1"/>
  <c r="G449" i="1"/>
  <c r="G450" i="1"/>
  <c r="G451" i="1"/>
  <c r="G452" i="1"/>
  <c r="G453" i="1"/>
  <c r="G454" i="1"/>
  <c r="G455" i="1"/>
  <c r="H455" i="1"/>
  <c r="J455" i="1"/>
  <c r="G456" i="1"/>
  <c r="G457" i="1"/>
  <c r="G458" i="1"/>
  <c r="G459" i="1"/>
  <c r="G460" i="1"/>
  <c r="G461" i="1"/>
  <c r="G462" i="1"/>
  <c r="H462" i="1"/>
  <c r="I462" i="1" s="1"/>
  <c r="J462" i="1"/>
  <c r="G463" i="1"/>
  <c r="G464" i="1"/>
  <c r="G465" i="1"/>
  <c r="G466" i="1"/>
  <c r="G467" i="1"/>
  <c r="G468" i="1"/>
  <c r="G469" i="1"/>
  <c r="H469" i="1"/>
  <c r="J469" i="1"/>
  <c r="G470" i="1"/>
  <c r="G471" i="1"/>
  <c r="G472" i="1"/>
  <c r="G473" i="1"/>
  <c r="G474" i="1"/>
  <c r="G475" i="1"/>
  <c r="G476" i="1"/>
  <c r="H476" i="1"/>
  <c r="I483" i="1" s="1"/>
  <c r="J476" i="1"/>
  <c r="G477" i="1"/>
  <c r="G478" i="1"/>
  <c r="G479" i="1"/>
  <c r="G480" i="1"/>
  <c r="G481" i="1"/>
  <c r="G482" i="1"/>
  <c r="G483" i="1"/>
  <c r="H483" i="1"/>
  <c r="J483" i="1"/>
  <c r="G484" i="1"/>
  <c r="G485" i="1"/>
  <c r="G486" i="1"/>
  <c r="G487" i="1"/>
  <c r="G488" i="1"/>
  <c r="G489" i="1"/>
  <c r="G490" i="1"/>
  <c r="H490" i="1"/>
  <c r="I497" i="1" s="1"/>
  <c r="I490" i="1"/>
  <c r="J490" i="1"/>
  <c r="G491" i="1"/>
  <c r="G492" i="1"/>
  <c r="G493" i="1"/>
  <c r="G494" i="1"/>
  <c r="G495" i="1"/>
  <c r="G496" i="1"/>
  <c r="G497" i="1"/>
  <c r="H497" i="1"/>
  <c r="J497" i="1"/>
  <c r="G498" i="1"/>
  <c r="G499" i="1"/>
  <c r="G500" i="1"/>
  <c r="G501" i="1"/>
  <c r="G502" i="1"/>
  <c r="G503" i="1"/>
  <c r="G504" i="1"/>
  <c r="H504" i="1"/>
  <c r="I511" i="1" s="1"/>
  <c r="I504" i="1"/>
  <c r="J504" i="1"/>
  <c r="G505" i="1"/>
  <c r="G506" i="1"/>
  <c r="G507" i="1"/>
  <c r="G508" i="1"/>
  <c r="G509" i="1"/>
  <c r="G510" i="1"/>
  <c r="G511" i="1"/>
  <c r="H511" i="1"/>
  <c r="J511" i="1"/>
  <c r="G512" i="1"/>
  <c r="G513" i="1"/>
  <c r="G514" i="1"/>
  <c r="G515" i="1"/>
  <c r="G516" i="1"/>
  <c r="G517" i="1"/>
  <c r="G518" i="1"/>
  <c r="H518" i="1"/>
  <c r="I518" i="1"/>
  <c r="J518" i="1"/>
  <c r="G519" i="1"/>
  <c r="G520" i="1"/>
  <c r="G521" i="1"/>
  <c r="G522" i="1"/>
  <c r="G523" i="1"/>
  <c r="G524" i="1"/>
  <c r="G525" i="1"/>
  <c r="H525" i="1"/>
  <c r="I525" i="1" s="1"/>
  <c r="J525" i="1"/>
  <c r="G526" i="1"/>
  <c r="G527" i="1"/>
  <c r="G528" i="1"/>
  <c r="G529" i="1"/>
  <c r="G530" i="1"/>
  <c r="G531" i="1"/>
  <c r="G532" i="1"/>
  <c r="H532" i="1"/>
  <c r="J532" i="1"/>
  <c r="G533" i="1"/>
  <c r="G534" i="1"/>
  <c r="G535" i="1"/>
  <c r="G536" i="1"/>
  <c r="G537" i="1"/>
  <c r="G538" i="1"/>
  <c r="G539" i="1"/>
  <c r="H539" i="1"/>
  <c r="I546" i="1" s="1"/>
  <c r="J539" i="1"/>
  <c r="G540" i="1"/>
  <c r="G541" i="1"/>
  <c r="G542" i="1"/>
  <c r="G543" i="1"/>
  <c r="G544" i="1"/>
  <c r="G545" i="1"/>
  <c r="G546" i="1"/>
  <c r="H546" i="1"/>
  <c r="J546" i="1"/>
  <c r="G547" i="1"/>
  <c r="G548" i="1"/>
  <c r="G549" i="1"/>
  <c r="G550" i="1"/>
  <c r="G551" i="1"/>
  <c r="G552" i="1"/>
  <c r="G553" i="1"/>
  <c r="H553" i="1"/>
  <c r="I560" i="1" s="1"/>
  <c r="I553" i="1"/>
  <c r="J553" i="1"/>
  <c r="G554" i="1"/>
  <c r="G555" i="1"/>
  <c r="G556" i="1"/>
  <c r="G557" i="1"/>
  <c r="G558" i="1"/>
  <c r="G559" i="1"/>
  <c r="G560" i="1"/>
  <c r="H560" i="1"/>
  <c r="J560" i="1"/>
  <c r="G561" i="1"/>
  <c r="G562" i="1"/>
  <c r="G563" i="1"/>
  <c r="G564" i="1"/>
  <c r="G565" i="1"/>
  <c r="G566" i="1"/>
  <c r="G567" i="1"/>
  <c r="H567" i="1"/>
  <c r="J567" i="1"/>
  <c r="G568" i="1"/>
  <c r="G569" i="1"/>
  <c r="G570" i="1"/>
  <c r="G571" i="1"/>
  <c r="G572" i="1"/>
  <c r="G573" i="1"/>
  <c r="G574" i="1"/>
  <c r="H574" i="1"/>
  <c r="I574" i="1" s="1"/>
  <c r="J574" i="1"/>
  <c r="G575" i="1"/>
  <c r="G576" i="1"/>
  <c r="G577" i="1"/>
  <c r="G578" i="1"/>
  <c r="G579" i="1"/>
  <c r="G580" i="1"/>
  <c r="G581" i="1"/>
  <c r="H581" i="1"/>
  <c r="J581" i="1"/>
  <c r="G582" i="1"/>
  <c r="G583" i="1"/>
  <c r="G584" i="1"/>
  <c r="G585" i="1"/>
  <c r="G586" i="1"/>
  <c r="G587" i="1"/>
  <c r="G588" i="1"/>
  <c r="H588" i="1"/>
  <c r="I595" i="1" s="1"/>
  <c r="J588" i="1"/>
  <c r="G589" i="1"/>
  <c r="G590" i="1"/>
  <c r="G591" i="1"/>
  <c r="G592" i="1"/>
  <c r="G593" i="1"/>
  <c r="G594" i="1"/>
  <c r="G595" i="1"/>
  <c r="H595" i="1"/>
  <c r="J595" i="1"/>
  <c r="G596" i="1"/>
  <c r="G597" i="1"/>
  <c r="G598" i="1"/>
  <c r="G599" i="1"/>
  <c r="G600" i="1"/>
  <c r="G601" i="1"/>
  <c r="G602" i="1"/>
  <c r="H602" i="1"/>
  <c r="I609" i="1" s="1"/>
  <c r="I602" i="1"/>
  <c r="J602" i="1"/>
  <c r="G603" i="1"/>
  <c r="G604" i="1"/>
  <c r="G605" i="1"/>
  <c r="G606" i="1"/>
  <c r="G607" i="1"/>
  <c r="G608" i="1"/>
  <c r="G609" i="1"/>
  <c r="H609" i="1"/>
  <c r="J609" i="1"/>
  <c r="G610" i="1"/>
  <c r="G611" i="1"/>
  <c r="G612" i="1"/>
  <c r="G613" i="1"/>
  <c r="G614" i="1"/>
  <c r="G615" i="1"/>
  <c r="G616" i="1"/>
  <c r="H616" i="1"/>
  <c r="I623" i="1" s="1"/>
  <c r="I616" i="1"/>
  <c r="J616" i="1"/>
  <c r="G617" i="1"/>
  <c r="G618" i="1"/>
  <c r="G619" i="1"/>
  <c r="G620" i="1"/>
  <c r="G621" i="1"/>
  <c r="G622" i="1"/>
  <c r="G623" i="1"/>
  <c r="H623" i="1"/>
  <c r="J623" i="1"/>
  <c r="G624" i="1"/>
  <c r="G625" i="1"/>
  <c r="G626" i="1"/>
  <c r="G627" i="1"/>
  <c r="G628" i="1"/>
  <c r="G629" i="1"/>
  <c r="G630" i="1"/>
  <c r="H630" i="1"/>
  <c r="I630" i="1"/>
  <c r="J630" i="1"/>
  <c r="G631" i="1"/>
  <c r="G632" i="1"/>
  <c r="G633" i="1"/>
  <c r="G634" i="1"/>
  <c r="G635" i="1"/>
  <c r="G636" i="1"/>
  <c r="G637" i="1"/>
  <c r="H637" i="1"/>
  <c r="I637" i="1" s="1"/>
  <c r="J637" i="1"/>
  <c r="G638" i="1"/>
  <c r="G639" i="1"/>
  <c r="G640" i="1"/>
  <c r="G641" i="1"/>
  <c r="G642" i="1"/>
  <c r="G643" i="1"/>
  <c r="G644" i="1"/>
  <c r="H644" i="1"/>
  <c r="J644" i="1"/>
  <c r="G645" i="1"/>
  <c r="G646" i="1"/>
  <c r="G647" i="1"/>
  <c r="G648" i="1"/>
  <c r="G649" i="1"/>
  <c r="G650" i="1"/>
  <c r="G651" i="1"/>
  <c r="H651" i="1"/>
  <c r="I658" i="1" s="1"/>
  <c r="J651" i="1"/>
  <c r="G652" i="1"/>
  <c r="G653" i="1"/>
  <c r="G654" i="1"/>
  <c r="G655" i="1"/>
  <c r="G656" i="1"/>
  <c r="G657" i="1"/>
  <c r="G658" i="1"/>
  <c r="H658" i="1"/>
  <c r="J658" i="1"/>
  <c r="G659" i="1"/>
  <c r="G660" i="1"/>
  <c r="G661" i="1"/>
  <c r="G662" i="1"/>
  <c r="G663" i="1"/>
  <c r="G664" i="1"/>
  <c r="G665" i="1"/>
  <c r="H665" i="1"/>
  <c r="I672" i="1" s="1"/>
  <c r="I665" i="1"/>
  <c r="J665" i="1"/>
  <c r="G666" i="1"/>
  <c r="G667" i="1"/>
  <c r="G668" i="1"/>
  <c r="G669" i="1"/>
  <c r="G670" i="1"/>
  <c r="G671" i="1"/>
  <c r="G672" i="1"/>
  <c r="H672" i="1"/>
  <c r="J672" i="1"/>
  <c r="G673" i="1"/>
  <c r="G674" i="1"/>
  <c r="G675" i="1"/>
  <c r="G676" i="1"/>
  <c r="G677" i="1"/>
  <c r="G678" i="1"/>
  <c r="G679" i="1"/>
  <c r="H679" i="1"/>
  <c r="J679" i="1"/>
  <c r="G680" i="1"/>
  <c r="G681" i="1"/>
  <c r="G682" i="1"/>
  <c r="G683" i="1"/>
  <c r="G684" i="1"/>
  <c r="G685" i="1"/>
  <c r="G686" i="1"/>
  <c r="H686" i="1"/>
  <c r="I686" i="1" s="1"/>
  <c r="J686" i="1"/>
  <c r="G687" i="1"/>
  <c r="G688" i="1"/>
  <c r="G689" i="1"/>
  <c r="G690" i="1"/>
  <c r="G691" i="1"/>
  <c r="G692" i="1"/>
  <c r="G693" i="1"/>
  <c r="H693" i="1"/>
  <c r="J693" i="1"/>
  <c r="G694" i="1"/>
  <c r="G695" i="1"/>
  <c r="G696" i="1"/>
  <c r="G697" i="1"/>
  <c r="G698" i="1"/>
  <c r="G699" i="1"/>
  <c r="G700" i="1"/>
  <c r="H700" i="1"/>
  <c r="I707" i="1" s="1"/>
  <c r="J700" i="1"/>
  <c r="G701" i="1"/>
  <c r="G702" i="1"/>
  <c r="G703" i="1"/>
  <c r="G704" i="1"/>
  <c r="G705" i="1"/>
  <c r="G706" i="1"/>
  <c r="G707" i="1"/>
  <c r="H707" i="1"/>
  <c r="J707" i="1"/>
  <c r="G708" i="1"/>
  <c r="G709" i="1"/>
  <c r="G710" i="1"/>
  <c r="G711" i="1"/>
  <c r="G712" i="1"/>
  <c r="G713" i="1"/>
  <c r="G714" i="1"/>
  <c r="H714" i="1"/>
  <c r="I721" i="1" s="1"/>
  <c r="I714" i="1"/>
  <c r="J714" i="1"/>
  <c r="G715" i="1"/>
  <c r="G716" i="1"/>
  <c r="G717" i="1"/>
  <c r="G718" i="1"/>
  <c r="G719" i="1"/>
  <c r="G720" i="1"/>
  <c r="G721" i="1"/>
  <c r="H721" i="1"/>
  <c r="J721" i="1"/>
  <c r="G722" i="1"/>
  <c r="G723" i="1"/>
  <c r="G724" i="1"/>
  <c r="G725" i="1"/>
  <c r="G726" i="1"/>
  <c r="G727" i="1"/>
  <c r="G728" i="1"/>
  <c r="H728" i="1"/>
  <c r="I735" i="1" s="1"/>
  <c r="I728" i="1"/>
  <c r="J728" i="1"/>
  <c r="G729" i="1"/>
  <c r="G730" i="1"/>
  <c r="G731" i="1"/>
  <c r="G732" i="1"/>
  <c r="G733" i="1"/>
  <c r="G734" i="1"/>
  <c r="G735" i="1"/>
  <c r="H735" i="1"/>
  <c r="J735" i="1"/>
  <c r="G736" i="1"/>
  <c r="G737" i="1"/>
  <c r="G738" i="1"/>
  <c r="G739" i="1"/>
  <c r="G740" i="1"/>
  <c r="G741" i="1"/>
  <c r="G742" i="1"/>
  <c r="H742" i="1"/>
  <c r="I742" i="1"/>
  <c r="J742" i="1"/>
  <c r="G743" i="1"/>
  <c r="G744" i="1"/>
  <c r="G745" i="1"/>
  <c r="G746" i="1"/>
  <c r="G747" i="1"/>
  <c r="G748" i="1"/>
  <c r="G749" i="1"/>
  <c r="H749" i="1"/>
  <c r="I749" i="1" s="1"/>
  <c r="J749" i="1"/>
  <c r="G750" i="1"/>
  <c r="G751" i="1"/>
  <c r="G752" i="1"/>
  <c r="G753" i="1"/>
  <c r="G754" i="1"/>
  <c r="G755" i="1"/>
  <c r="G756" i="1"/>
  <c r="H756" i="1"/>
  <c r="J756" i="1"/>
  <c r="G757" i="1"/>
  <c r="G758" i="1"/>
  <c r="G759" i="1"/>
  <c r="G760" i="1"/>
  <c r="G761" i="1"/>
  <c r="G762" i="1"/>
  <c r="G763" i="1"/>
  <c r="H763" i="1"/>
  <c r="I770" i="1" s="1"/>
  <c r="J763" i="1"/>
  <c r="G764" i="1"/>
  <c r="G765" i="1"/>
  <c r="G766" i="1"/>
  <c r="G767" i="1"/>
  <c r="G768" i="1"/>
  <c r="G769" i="1"/>
  <c r="G770" i="1"/>
  <c r="H770" i="1"/>
  <c r="J770" i="1"/>
  <c r="G771" i="1"/>
  <c r="G772" i="1"/>
  <c r="G773" i="1"/>
  <c r="G774" i="1"/>
  <c r="G775" i="1"/>
  <c r="G776" i="1"/>
  <c r="G777" i="1"/>
  <c r="H777" i="1"/>
  <c r="I784" i="1" s="1"/>
  <c r="I777" i="1"/>
  <c r="J777" i="1"/>
  <c r="G778" i="1"/>
  <c r="G779" i="1"/>
  <c r="G780" i="1"/>
  <c r="G781" i="1"/>
  <c r="G782" i="1"/>
  <c r="G783" i="1"/>
  <c r="G784" i="1"/>
  <c r="H784" i="1"/>
  <c r="J784" i="1"/>
  <c r="G785" i="1"/>
  <c r="G786" i="1"/>
  <c r="G787" i="1"/>
  <c r="G788" i="1"/>
  <c r="G789" i="1"/>
  <c r="G790" i="1"/>
  <c r="G791" i="1"/>
  <c r="H791" i="1"/>
  <c r="J791" i="1"/>
  <c r="G792" i="1"/>
  <c r="G793" i="1"/>
  <c r="G794" i="1"/>
  <c r="G795" i="1"/>
  <c r="G796" i="1"/>
  <c r="G797" i="1"/>
  <c r="G798" i="1"/>
  <c r="H798" i="1"/>
  <c r="I798" i="1" s="1"/>
  <c r="J798" i="1"/>
  <c r="G799" i="1"/>
  <c r="G800" i="1"/>
  <c r="G801" i="1"/>
  <c r="G802" i="1"/>
  <c r="G803" i="1"/>
  <c r="G804" i="1"/>
  <c r="G805" i="1"/>
  <c r="H805" i="1"/>
  <c r="J805" i="1"/>
  <c r="J238" i="1"/>
  <c r="H238" i="1"/>
  <c r="G238" i="1"/>
  <c r="G237" i="1"/>
  <c r="G236" i="1"/>
  <c r="G235" i="1"/>
  <c r="G234" i="1"/>
  <c r="G233" i="1"/>
  <c r="G232" i="1"/>
  <c r="J231" i="1"/>
  <c r="H231" i="1"/>
  <c r="G231" i="1"/>
  <c r="G230" i="1"/>
  <c r="G229" i="1"/>
  <c r="G228" i="1"/>
  <c r="G227" i="1"/>
  <c r="G226" i="1"/>
  <c r="G225" i="1"/>
  <c r="J224" i="1"/>
  <c r="H224" i="1"/>
  <c r="G224" i="1"/>
  <c r="G223" i="1"/>
  <c r="G222" i="1"/>
  <c r="G221" i="1"/>
  <c r="G220" i="1"/>
  <c r="G219" i="1"/>
  <c r="G218" i="1"/>
  <c r="J217" i="1"/>
  <c r="H217" i="1"/>
  <c r="G217" i="1"/>
  <c r="G216" i="1"/>
  <c r="G215" i="1"/>
  <c r="G214" i="1"/>
  <c r="G213" i="1"/>
  <c r="G212" i="1"/>
  <c r="G211" i="1"/>
  <c r="J210" i="1"/>
  <c r="H210" i="1"/>
  <c r="G210" i="1"/>
  <c r="G209" i="1"/>
  <c r="G208" i="1"/>
  <c r="G207" i="1"/>
  <c r="G206" i="1"/>
  <c r="G205" i="1"/>
  <c r="G204" i="1"/>
  <c r="J203" i="1"/>
  <c r="H203" i="1"/>
  <c r="G203" i="1"/>
  <c r="G202" i="1"/>
  <c r="G201" i="1"/>
  <c r="G200" i="1"/>
  <c r="G199" i="1"/>
  <c r="G198" i="1"/>
  <c r="G197" i="1"/>
  <c r="J196" i="1"/>
  <c r="H196" i="1"/>
  <c r="G196" i="1"/>
  <c r="G195" i="1"/>
  <c r="G194" i="1"/>
  <c r="G193" i="1"/>
  <c r="G192" i="1"/>
  <c r="G191" i="1"/>
  <c r="G190" i="1"/>
  <c r="J189" i="1"/>
  <c r="H189" i="1"/>
  <c r="G189" i="1"/>
  <c r="G188" i="1"/>
  <c r="G187" i="1"/>
  <c r="G186" i="1"/>
  <c r="G185" i="1"/>
  <c r="G184" i="1"/>
  <c r="G183" i="1"/>
  <c r="J182" i="1"/>
  <c r="H182" i="1"/>
  <c r="G182" i="1"/>
  <c r="G181" i="1"/>
  <c r="G180" i="1"/>
  <c r="G179" i="1"/>
  <c r="G178" i="1"/>
  <c r="G177" i="1"/>
  <c r="G176" i="1"/>
  <c r="J175" i="1"/>
  <c r="H175" i="1"/>
  <c r="G175" i="1"/>
  <c r="G174" i="1"/>
  <c r="G173" i="1"/>
  <c r="G172" i="1"/>
  <c r="G171" i="1"/>
  <c r="G170" i="1"/>
  <c r="G169" i="1"/>
  <c r="J168" i="1"/>
  <c r="H168" i="1"/>
  <c r="G168" i="1"/>
  <c r="G167" i="1"/>
  <c r="G166" i="1"/>
  <c r="G165" i="1"/>
  <c r="G164" i="1"/>
  <c r="G163" i="1"/>
  <c r="G162" i="1"/>
  <c r="J161" i="1"/>
  <c r="H161" i="1"/>
  <c r="G161" i="1"/>
  <c r="G160" i="1"/>
  <c r="G159" i="1"/>
  <c r="G158" i="1"/>
  <c r="G157" i="1"/>
  <c r="G156" i="1"/>
  <c r="G155" i="1"/>
  <c r="J154" i="1"/>
  <c r="H154" i="1"/>
  <c r="G154" i="1"/>
  <c r="G153" i="1"/>
  <c r="G152" i="1"/>
  <c r="G151" i="1"/>
  <c r="G150" i="1"/>
  <c r="G149" i="1"/>
  <c r="G148" i="1"/>
  <c r="J147" i="1"/>
  <c r="H147" i="1"/>
  <c r="G147" i="1"/>
  <c r="G146" i="1"/>
  <c r="G145" i="1"/>
  <c r="G144" i="1"/>
  <c r="G143" i="1"/>
  <c r="G142" i="1"/>
  <c r="G141" i="1"/>
  <c r="J140" i="1"/>
  <c r="H140" i="1"/>
  <c r="G140" i="1"/>
  <c r="G139" i="1"/>
  <c r="G138" i="1"/>
  <c r="G137" i="1"/>
  <c r="G136" i="1"/>
  <c r="G135" i="1"/>
  <c r="G134" i="1"/>
  <c r="J133" i="1"/>
  <c r="H133" i="1"/>
  <c r="G133" i="1"/>
  <c r="G132" i="1"/>
  <c r="G131" i="1"/>
  <c r="G130" i="1"/>
  <c r="G129" i="1"/>
  <c r="G128" i="1"/>
  <c r="G127" i="1"/>
  <c r="J126" i="1"/>
  <c r="H126" i="1"/>
  <c r="G126" i="1"/>
  <c r="G125" i="1"/>
  <c r="G124" i="1"/>
  <c r="G123" i="1"/>
  <c r="G122" i="1"/>
  <c r="G121" i="1"/>
  <c r="G120" i="1"/>
  <c r="J119" i="1"/>
  <c r="H119" i="1"/>
  <c r="G119" i="1"/>
  <c r="G118" i="1"/>
  <c r="G117" i="1"/>
  <c r="G116" i="1"/>
  <c r="G115" i="1"/>
  <c r="G114" i="1"/>
  <c r="G113" i="1"/>
  <c r="J112" i="1"/>
  <c r="H112" i="1"/>
  <c r="G112" i="1"/>
  <c r="G111" i="1"/>
  <c r="G110" i="1"/>
  <c r="G109" i="1"/>
  <c r="G108" i="1"/>
  <c r="G107" i="1"/>
  <c r="G106" i="1"/>
  <c r="J105" i="1"/>
  <c r="H105" i="1"/>
  <c r="G105" i="1"/>
  <c r="G104" i="1"/>
  <c r="G103" i="1"/>
  <c r="G102" i="1"/>
  <c r="G101" i="1"/>
  <c r="G100" i="1"/>
  <c r="G99" i="1"/>
  <c r="J98" i="1"/>
  <c r="H98" i="1"/>
  <c r="G98" i="1"/>
  <c r="G97" i="1"/>
  <c r="G96" i="1"/>
  <c r="G95" i="1"/>
  <c r="G94" i="1"/>
  <c r="G93" i="1"/>
  <c r="G92" i="1"/>
  <c r="J91" i="1"/>
  <c r="H91" i="1"/>
  <c r="G91" i="1"/>
  <c r="G90" i="1"/>
  <c r="G89" i="1"/>
  <c r="G88" i="1"/>
  <c r="G87" i="1"/>
  <c r="G86" i="1"/>
  <c r="G85" i="1"/>
  <c r="J84" i="1"/>
  <c r="H84" i="1"/>
  <c r="G84" i="1"/>
  <c r="G83" i="1"/>
  <c r="G82" i="1"/>
  <c r="G81" i="1"/>
  <c r="G80" i="1"/>
  <c r="G79" i="1"/>
  <c r="G78" i="1"/>
  <c r="J77" i="1"/>
  <c r="H77" i="1"/>
  <c r="G77" i="1"/>
  <c r="G76" i="1"/>
  <c r="G75" i="1"/>
  <c r="G74" i="1"/>
  <c r="G73" i="1"/>
  <c r="G72" i="1"/>
  <c r="G71" i="1"/>
  <c r="J70" i="1"/>
  <c r="H70" i="1"/>
  <c r="G70" i="1"/>
  <c r="G69" i="1"/>
  <c r="G68" i="1"/>
  <c r="G67" i="1"/>
  <c r="G66" i="1"/>
  <c r="G65" i="1"/>
  <c r="G64" i="1"/>
  <c r="J63" i="1"/>
  <c r="H63" i="1"/>
  <c r="G63" i="1"/>
  <c r="G62" i="1"/>
  <c r="G61" i="1"/>
  <c r="G60" i="1"/>
  <c r="G59" i="1"/>
  <c r="G58" i="1"/>
  <c r="G57" i="1"/>
  <c r="J56" i="1"/>
  <c r="H56" i="1"/>
  <c r="G56" i="1"/>
  <c r="G55" i="1"/>
  <c r="G54" i="1"/>
  <c r="G53" i="1"/>
  <c r="G52" i="1"/>
  <c r="G51" i="1"/>
  <c r="G50" i="1"/>
  <c r="J49" i="1"/>
  <c r="H49" i="1"/>
  <c r="G49" i="1"/>
  <c r="G48" i="1"/>
  <c r="G47" i="1"/>
  <c r="G46" i="1"/>
  <c r="G45" i="1"/>
  <c r="G44" i="1"/>
  <c r="G43" i="1"/>
  <c r="J42" i="1"/>
  <c r="H42" i="1"/>
  <c r="G42" i="1"/>
  <c r="G41" i="1"/>
  <c r="G40" i="1"/>
  <c r="G39" i="1"/>
  <c r="G38" i="1"/>
  <c r="G37" i="1"/>
  <c r="G36" i="1"/>
  <c r="J35" i="1"/>
  <c r="H35" i="1"/>
  <c r="G35" i="1"/>
  <c r="G34" i="1"/>
  <c r="G33" i="1"/>
  <c r="G32" i="1"/>
  <c r="G31" i="1"/>
  <c r="G30" i="1"/>
  <c r="G29" i="1"/>
  <c r="J28" i="1"/>
  <c r="H28" i="1"/>
  <c r="G28" i="1"/>
  <c r="G27" i="1"/>
  <c r="G26" i="1"/>
  <c r="G25" i="1"/>
  <c r="G24" i="1"/>
  <c r="G23" i="1"/>
  <c r="G22" i="1"/>
  <c r="J21" i="1"/>
  <c r="H21" i="1"/>
  <c r="G21" i="1"/>
  <c r="G20" i="1"/>
  <c r="G19" i="1"/>
  <c r="G18" i="1"/>
  <c r="G17" i="1"/>
  <c r="G16" i="1"/>
  <c r="G15" i="1"/>
  <c r="J14" i="1"/>
  <c r="H14" i="1"/>
  <c r="G14" i="1"/>
  <c r="G13" i="1"/>
  <c r="G12" i="1"/>
  <c r="G11" i="1"/>
  <c r="G10" i="1"/>
  <c r="G9" i="1"/>
  <c r="G8" i="1"/>
  <c r="J7" i="1"/>
  <c r="H7" i="1"/>
  <c r="I7" i="1" s="1"/>
  <c r="G7" i="1"/>
  <c r="J245" i="1"/>
  <c r="H245" i="1"/>
  <c r="I245" i="1" s="1"/>
  <c r="G245" i="1"/>
  <c r="J252" i="1"/>
  <c r="H252" i="1"/>
  <c r="G252" i="1"/>
  <c r="J259" i="1"/>
  <c r="H259" i="1"/>
  <c r="G259" i="1"/>
  <c r="J266" i="1"/>
  <c r="H266" i="1"/>
  <c r="G266" i="1"/>
  <c r="J273" i="1"/>
  <c r="H273" i="1"/>
  <c r="G273" i="1"/>
  <c r="J280" i="1"/>
  <c r="H280" i="1"/>
  <c r="G280" i="1"/>
  <c r="J287" i="1"/>
  <c r="H287" i="1"/>
  <c r="G287" i="1"/>
  <c r="J315" i="1"/>
  <c r="H315" i="1"/>
  <c r="G315" i="1"/>
  <c r="J308" i="1"/>
  <c r="H308" i="1"/>
  <c r="G308" i="1"/>
  <c r="J301" i="1"/>
  <c r="H301" i="1"/>
  <c r="G301" i="1"/>
  <c r="J294" i="1"/>
  <c r="H294" i="1"/>
  <c r="G294" i="1"/>
  <c r="J322" i="1"/>
  <c r="H322" i="1"/>
  <c r="G322" i="1"/>
  <c r="J329" i="1"/>
  <c r="H329" i="1"/>
  <c r="G329" i="1"/>
  <c r="J336" i="1"/>
  <c r="H336" i="1"/>
  <c r="G336" i="1"/>
  <c r="J343" i="1"/>
  <c r="H343" i="1"/>
  <c r="G343" i="1"/>
  <c r="J350" i="1"/>
  <c r="H350" i="1"/>
  <c r="G350" i="1"/>
  <c r="J357" i="1"/>
  <c r="H357" i="1"/>
  <c r="G357" i="1"/>
  <c r="J364" i="1"/>
  <c r="H364" i="1"/>
  <c r="G364" i="1"/>
  <c r="J399" i="1"/>
  <c r="H399" i="1"/>
  <c r="G399" i="1"/>
  <c r="J392" i="1"/>
  <c r="H392" i="1"/>
  <c r="G392" i="1"/>
  <c r="J385" i="1"/>
  <c r="H385" i="1"/>
  <c r="G385" i="1"/>
  <c r="J378" i="1"/>
  <c r="H378" i="1"/>
  <c r="G378" i="1"/>
  <c r="J371" i="1"/>
  <c r="I805" i="1" l="1"/>
  <c r="I756" i="1"/>
  <c r="I693" i="1"/>
  <c r="I644" i="1"/>
  <c r="I581" i="1"/>
  <c r="I532" i="1"/>
  <c r="I469" i="1"/>
  <c r="I763" i="1"/>
  <c r="I651" i="1"/>
  <c r="I539" i="1"/>
  <c r="I434" i="1"/>
  <c r="I791" i="1"/>
  <c r="I700" i="1"/>
  <c r="I679" i="1"/>
  <c r="I588" i="1"/>
  <c r="I567" i="1"/>
  <c r="I476" i="1"/>
  <c r="I455" i="1"/>
  <c r="I154" i="1"/>
  <c r="I210" i="1"/>
  <c r="I105" i="1"/>
  <c r="I42" i="1"/>
  <c r="I70" i="1"/>
  <c r="I133" i="1"/>
  <c r="I126" i="1"/>
  <c r="I329" i="1"/>
  <c r="I259" i="1"/>
  <c r="I63" i="1"/>
  <c r="I119" i="1"/>
  <c r="I189" i="1"/>
  <c r="I49" i="1"/>
  <c r="I315" i="1"/>
  <c r="I14" i="1"/>
  <c r="I161" i="1"/>
  <c r="I217" i="1"/>
  <c r="I301" i="1"/>
  <c r="I21" i="1"/>
  <c r="I322" i="1"/>
  <c r="I308" i="1"/>
  <c r="I77" i="1"/>
  <c r="I98" i="1"/>
  <c r="I182" i="1"/>
  <c r="I336" i="1"/>
  <c r="I175" i="1"/>
  <c r="I266" i="1"/>
  <c r="I350" i="1"/>
  <c r="I287" i="1"/>
  <c r="I35" i="1"/>
  <c r="I147" i="1"/>
  <c r="I413" i="1"/>
  <c r="I231" i="1"/>
  <c r="I273" i="1"/>
  <c r="I91" i="1"/>
  <c r="I203" i="1"/>
  <c r="I238" i="1"/>
  <c r="I28" i="1"/>
  <c r="I84" i="1"/>
  <c r="I112" i="1"/>
  <c r="I140" i="1"/>
  <c r="I168" i="1"/>
  <c r="I196" i="1"/>
  <c r="I224" i="1"/>
  <c r="I56" i="1"/>
  <c r="I252" i="1"/>
  <c r="I280" i="1"/>
  <c r="I294" i="1"/>
  <c r="I399" i="1"/>
  <c r="I385" i="1"/>
  <c r="I364" i="1"/>
  <c r="I392" i="1"/>
  <c r="I357" i="1"/>
  <c r="H371" i="1"/>
  <c r="I371" i="1" s="1"/>
  <c r="K1" i="1"/>
  <c r="G393" i="1"/>
  <c r="G394" i="1"/>
  <c r="G395" i="1"/>
  <c r="G396" i="1"/>
  <c r="G397" i="1"/>
  <c r="G398" i="1"/>
  <c r="G400" i="1"/>
  <c r="G401" i="1"/>
  <c r="G402" i="1"/>
  <c r="G403" i="1"/>
  <c r="G404" i="1"/>
  <c r="G405" i="1"/>
  <c r="E383" i="1"/>
  <c r="G383" i="1"/>
  <c r="E384" i="1"/>
  <c r="G384" i="1"/>
  <c r="E385" i="1"/>
  <c r="E386" i="1"/>
  <c r="G386" i="1"/>
  <c r="E387" i="1"/>
  <c r="G387" i="1"/>
  <c r="E388" i="1"/>
  <c r="G388" i="1"/>
  <c r="E389" i="1"/>
  <c r="G389" i="1"/>
  <c r="E390" i="1"/>
  <c r="G390" i="1"/>
  <c r="E391" i="1"/>
  <c r="G391" i="1"/>
  <c r="E392" i="1"/>
  <c r="E393" i="1"/>
  <c r="I378" i="1" l="1"/>
  <c r="G367" i="1"/>
  <c r="G368" i="1"/>
  <c r="G369" i="1"/>
  <c r="G370" i="1"/>
  <c r="G371" i="1"/>
  <c r="G372" i="1"/>
  <c r="G373" i="1"/>
  <c r="G374" i="1"/>
  <c r="G375" i="1"/>
  <c r="G376" i="1"/>
  <c r="G377" i="1"/>
  <c r="G379" i="1"/>
  <c r="G380" i="1"/>
  <c r="G381" i="1"/>
  <c r="G382" i="1"/>
  <c r="G365" i="1"/>
  <c r="G366" i="1"/>
  <c r="JH37" i="2"/>
  <c r="JE37" i="2"/>
  <c r="JB37" i="2"/>
  <c r="IY37" i="2"/>
  <c r="JH36" i="2"/>
  <c r="JH38" i="2" s="1"/>
  <c r="JE36" i="2"/>
  <c r="JE38" i="2" s="1"/>
  <c r="JB36" i="2"/>
  <c r="JB38" i="2" s="1"/>
  <c r="IY36" i="2"/>
  <c r="IY38" i="2" s="1"/>
  <c r="E367" i="1" l="1"/>
  <c r="E368" i="1"/>
  <c r="E369" i="1"/>
  <c r="E370" i="1"/>
  <c r="E371" i="1"/>
  <c r="E372" i="1"/>
  <c r="E373" i="1"/>
  <c r="E374" i="1"/>
  <c r="E375" i="1"/>
  <c r="E376" i="1"/>
  <c r="E377" i="1"/>
  <c r="E378" i="1"/>
  <c r="E379" i="1"/>
  <c r="E380" i="1"/>
  <c r="E381" i="1"/>
  <c r="E382" i="1"/>
  <c r="IV37" i="2" l="1"/>
  <c r="IS37" i="2"/>
  <c r="IP37" i="2"/>
  <c r="IV36" i="2"/>
  <c r="IV38" i="2" s="1"/>
  <c r="IS36" i="2"/>
  <c r="IS38" i="2" s="1"/>
  <c r="IP36" i="2"/>
  <c r="IP38" i="2" s="1"/>
  <c r="IM37" i="2"/>
  <c r="IJ37" i="2"/>
  <c r="IG37" i="2"/>
  <c r="IM36" i="2"/>
  <c r="IM38" i="2" s="1"/>
  <c r="IJ36" i="2"/>
  <c r="IJ38" i="2" s="1"/>
  <c r="IG36" i="2"/>
  <c r="IG38" i="2" s="1"/>
  <c r="ID37" i="2" l="1"/>
  <c r="IA37" i="2"/>
  <c r="HX37" i="2"/>
  <c r="HU37" i="2"/>
  <c r="HR37" i="2"/>
  <c r="HO37" i="2"/>
  <c r="HL37" i="2"/>
  <c r="HI37" i="2"/>
  <c r="HF37" i="2"/>
  <c r="HC37" i="2"/>
  <c r="GZ37" i="2"/>
  <c r="GW37" i="2"/>
  <c r="ID36" i="2"/>
  <c r="ID38" i="2" s="1"/>
  <c r="IA36" i="2"/>
  <c r="IA38" i="2" s="1"/>
  <c r="HX36" i="2"/>
  <c r="HX38" i="2" s="1"/>
  <c r="HU36" i="2"/>
  <c r="HU38" i="2" s="1"/>
  <c r="HR36" i="2"/>
  <c r="HR38" i="2" s="1"/>
  <c r="HO36" i="2"/>
  <c r="HO38" i="2" s="1"/>
  <c r="HL36" i="2"/>
  <c r="HL38" i="2" s="1"/>
  <c r="HI36" i="2"/>
  <c r="HI38" i="2" s="1"/>
  <c r="HF36" i="2"/>
  <c r="HF38" i="2" s="1"/>
  <c r="HC36" i="2"/>
  <c r="HC38" i="2" s="1"/>
  <c r="GZ36" i="2"/>
  <c r="GZ38" i="2" s="1"/>
  <c r="GW36" i="2"/>
  <c r="GW38" i="2" s="1"/>
  <c r="I343" i="1" l="1"/>
  <c r="GT37" i="2" l="1"/>
  <c r="GQ37" i="2"/>
  <c r="GN37" i="2"/>
  <c r="GK37" i="2"/>
  <c r="GH37" i="2"/>
  <c r="GE37" i="2"/>
  <c r="GB37" i="2"/>
  <c r="GT36" i="2"/>
  <c r="GT38" i="2" s="1"/>
  <c r="GQ36" i="2"/>
  <c r="GQ38" i="2" s="1"/>
  <c r="GN36" i="2"/>
  <c r="GN38" i="2" s="1"/>
  <c r="GK36" i="2"/>
  <c r="GK38" i="2" s="1"/>
  <c r="GH36" i="2"/>
  <c r="GH38" i="2" s="1"/>
  <c r="GE36" i="2"/>
  <c r="GE38" i="2" s="1"/>
  <c r="GB36" i="2"/>
  <c r="GB38" i="2" s="1"/>
  <c r="FY37" i="2" l="1"/>
  <c r="FV37" i="2"/>
  <c r="FS37" i="2"/>
  <c r="FP37" i="2"/>
  <c r="FM37" i="2"/>
  <c r="FJ37" i="2"/>
  <c r="FG37" i="2"/>
  <c r="FD37" i="2"/>
  <c r="FA37" i="2"/>
  <c r="P36" i="2" l="1"/>
  <c r="B40" i="2" s="1"/>
  <c r="FY36" i="2"/>
  <c r="FY38" i="2" s="1"/>
  <c r="FV36" i="2"/>
  <c r="FV38" i="2" s="1"/>
  <c r="FS36" i="2"/>
  <c r="FS38" i="2" s="1"/>
  <c r="FP36" i="2"/>
  <c r="FP38" i="2" s="1"/>
  <c r="FM36" i="2"/>
  <c r="FM38" i="2" s="1"/>
  <c r="FJ36" i="2"/>
  <c r="FJ38" i="2" s="1"/>
  <c r="FG36" i="2"/>
  <c r="FG38" i="2" s="1"/>
  <c r="FD36" i="2"/>
  <c r="FD38" i="2" s="1"/>
  <c r="FA36" i="2"/>
  <c r="FA38" i="2" s="1"/>
  <c r="EX36" i="2"/>
  <c r="EX38" i="2" s="1"/>
  <c r="EU36" i="2"/>
  <c r="EU38" i="2" s="1"/>
  <c r="ER36" i="2"/>
  <c r="ER38" i="2" s="1"/>
  <c r="EO36" i="2"/>
  <c r="EO38" i="2" s="1"/>
  <c r="EL36" i="2"/>
  <c r="EL38" i="2" s="1"/>
  <c r="EI36" i="2"/>
  <c r="EI38" i="2" s="1"/>
  <c r="EF36" i="2"/>
  <c r="EF38" i="2" s="1"/>
  <c r="EC36" i="2"/>
  <c r="EC38" i="2" s="1"/>
  <c r="DZ36" i="2"/>
  <c r="DZ38" i="2" s="1"/>
  <c r="DW36" i="2"/>
  <c r="DW38" i="2" s="1"/>
  <c r="DT36" i="2"/>
  <c r="DQ36" i="2"/>
  <c r="DN36" i="2"/>
  <c r="DK36" i="2"/>
  <c r="DH36" i="2"/>
  <c r="DE36" i="2"/>
  <c r="DB36" i="2"/>
  <c r="CY36" i="2"/>
  <c r="CV36" i="2"/>
  <c r="CS36" i="2"/>
  <c r="CP36" i="2"/>
  <c r="CM36" i="2"/>
  <c r="CJ36" i="2"/>
  <c r="CG36" i="2"/>
  <c r="CD36" i="2"/>
  <c r="CA36" i="2"/>
  <c r="BX36" i="2"/>
  <c r="BU36" i="2"/>
  <c r="BR36" i="2"/>
  <c r="BO36" i="2"/>
  <c r="BL36" i="2"/>
  <c r="BI36" i="2"/>
  <c r="BF36" i="2"/>
  <c r="BC36" i="2"/>
  <c r="AZ36" i="2"/>
  <c r="AW36" i="2"/>
  <c r="AT36" i="2"/>
  <c r="AQ36" i="2"/>
  <c r="AN36" i="2"/>
  <c r="AK36" i="2"/>
  <c r="AH36" i="2"/>
  <c r="AE36" i="2"/>
  <c r="AB36" i="2"/>
  <c r="AB38" i="2" s="1"/>
  <c r="Y36" i="2"/>
  <c r="Y38" i="2" s="1"/>
  <c r="V36" i="2"/>
  <c r="V38" i="2" s="1"/>
  <c r="S36" i="2"/>
  <c r="S38" i="2" s="1"/>
  <c r="B50" i="2" l="1"/>
  <c r="B41" i="2"/>
  <c r="EX37" i="2"/>
  <c r="EU37" i="2"/>
  <c r="ER37" i="2"/>
  <c r="EO37" i="2"/>
  <c r="EL37" i="2"/>
  <c r="EI37" i="2"/>
  <c r="EF37" i="2"/>
  <c r="EC37" i="2"/>
  <c r="DZ37" i="2"/>
  <c r="DW37" i="2"/>
  <c r="DT37" i="2"/>
  <c r="DQ37" i="2"/>
  <c r="DN37" i="2"/>
  <c r="DK37" i="2"/>
  <c r="DH37" i="2"/>
  <c r="DE37" i="2"/>
  <c r="DB37" i="2"/>
  <c r="CY37" i="2"/>
  <c r="CV37" i="2"/>
  <c r="CS37" i="2"/>
  <c r="CP37" i="2"/>
  <c r="CM37" i="2"/>
  <c r="CJ37" i="2"/>
  <c r="F74" i="2" l="1"/>
  <c r="B64" i="4" s="1"/>
  <c r="F50" i="2"/>
  <c r="H50" i="2" s="1"/>
  <c r="H51" i="2" s="1"/>
  <c r="H52" i="2" s="1"/>
  <c r="H53" i="2" s="1"/>
  <c r="H54" i="2" s="1"/>
  <c r="H55" i="2" s="1"/>
  <c r="H56" i="2" s="1"/>
  <c r="H57" i="2" s="1"/>
  <c r="H58" i="2" s="1"/>
  <c r="H59" i="2" s="1"/>
  <c r="G50" i="2"/>
  <c r="I50" i="2" s="1"/>
  <c r="C41" i="2"/>
  <c r="B42" i="2"/>
  <c r="B52" i="2"/>
  <c r="D50" i="2"/>
  <c r="D51" i="2" s="1"/>
  <c r="D52" i="2" s="1"/>
  <c r="D53" i="2" s="1"/>
  <c r="D54" i="2" s="1"/>
  <c r="D55" i="2" s="1"/>
  <c r="D56" i="2" s="1"/>
  <c r="D57" i="2" s="1"/>
  <c r="D58" i="2" s="1"/>
  <c r="D59" i="2" s="1"/>
  <c r="C50" i="2"/>
  <c r="E50" i="2" s="1"/>
  <c r="G323" i="1"/>
  <c r="G324" i="1"/>
  <c r="G325" i="1"/>
  <c r="G326" i="1"/>
  <c r="G327" i="1"/>
  <c r="G328" i="1"/>
  <c r="G330" i="1"/>
  <c r="G331" i="1"/>
  <c r="G332" i="1"/>
  <c r="G333" i="1"/>
  <c r="G334" i="1"/>
  <c r="G335" i="1"/>
  <c r="G337" i="1"/>
  <c r="G338" i="1"/>
  <c r="G339" i="1"/>
  <c r="G340" i="1"/>
  <c r="G341" i="1"/>
  <c r="G342" i="1"/>
  <c r="G344" i="1"/>
  <c r="G345" i="1"/>
  <c r="G346" i="1"/>
  <c r="G347" i="1"/>
  <c r="G348" i="1"/>
  <c r="G349" i="1"/>
  <c r="G351" i="1"/>
  <c r="G352" i="1"/>
  <c r="G353" i="1"/>
  <c r="G354" i="1"/>
  <c r="G355" i="1"/>
  <c r="G356" i="1"/>
  <c r="G358" i="1"/>
  <c r="G359" i="1"/>
  <c r="G360" i="1"/>
  <c r="G361" i="1"/>
  <c r="G362" i="1"/>
  <c r="G363" i="1"/>
  <c r="G309" i="1"/>
  <c r="G310" i="1"/>
  <c r="G311" i="1"/>
  <c r="G312" i="1"/>
  <c r="G313" i="1"/>
  <c r="G314" i="1"/>
  <c r="G316" i="1"/>
  <c r="G317" i="1"/>
  <c r="G318" i="1"/>
  <c r="G319" i="1"/>
  <c r="G320" i="1"/>
  <c r="G321" i="1"/>
  <c r="G3" i="1"/>
  <c r="G4" i="1"/>
  <c r="G5" i="1"/>
  <c r="G6" i="1"/>
  <c r="G239" i="1"/>
  <c r="G240" i="1"/>
  <c r="G241" i="1"/>
  <c r="G242" i="1"/>
  <c r="G243" i="1"/>
  <c r="G244" i="1"/>
  <c r="G246" i="1"/>
  <c r="G247" i="1"/>
  <c r="G248" i="1"/>
  <c r="G249" i="1"/>
  <c r="G250" i="1"/>
  <c r="G251" i="1"/>
  <c r="G253" i="1"/>
  <c r="G254" i="1"/>
  <c r="G255" i="1"/>
  <c r="G256" i="1"/>
  <c r="G257" i="1"/>
  <c r="G258" i="1"/>
  <c r="G260" i="1"/>
  <c r="G261" i="1"/>
  <c r="G262" i="1"/>
  <c r="G263" i="1"/>
  <c r="G264" i="1"/>
  <c r="G265" i="1"/>
  <c r="G267" i="1"/>
  <c r="G268" i="1"/>
  <c r="G269" i="1"/>
  <c r="G270" i="1"/>
  <c r="G271" i="1"/>
  <c r="G272" i="1"/>
  <c r="G274" i="1"/>
  <c r="G275" i="1"/>
  <c r="G276" i="1"/>
  <c r="G277" i="1"/>
  <c r="G278" i="1"/>
  <c r="G279" i="1"/>
  <c r="G281" i="1"/>
  <c r="G282" i="1"/>
  <c r="G283" i="1"/>
  <c r="G284" i="1"/>
  <c r="G285" i="1"/>
  <c r="G286" i="1"/>
  <c r="G288" i="1"/>
  <c r="G289" i="1"/>
  <c r="G290" i="1"/>
  <c r="G291" i="1"/>
  <c r="G292" i="1"/>
  <c r="G293" i="1"/>
  <c r="G295" i="1"/>
  <c r="G296" i="1"/>
  <c r="G297" i="1"/>
  <c r="G298" i="1"/>
  <c r="G299" i="1"/>
  <c r="G300" i="1"/>
  <c r="G302" i="1"/>
  <c r="G303" i="1"/>
  <c r="G304" i="1"/>
  <c r="G305" i="1"/>
  <c r="G306" i="1"/>
  <c r="G307" i="1"/>
  <c r="G2" i="1"/>
  <c r="J50" i="2" l="1"/>
  <c r="F52" i="2"/>
  <c r="F54" i="2" s="1"/>
  <c r="F56" i="2" s="1"/>
  <c r="F58" i="2" s="1"/>
  <c r="F60" i="2" s="1"/>
  <c r="F62" i="2" s="1"/>
  <c r="F64" i="2" s="1"/>
  <c r="F66" i="2" s="1"/>
  <c r="F68" i="2" s="1"/>
  <c r="G74" i="2"/>
  <c r="I74" i="2" s="1"/>
  <c r="H74" i="2"/>
  <c r="H75" i="2" s="1"/>
  <c r="H76" i="2" s="1"/>
  <c r="H77" i="2" s="1"/>
  <c r="H78" i="2" s="1"/>
  <c r="H79" i="2" s="1"/>
  <c r="H80" i="2" s="1"/>
  <c r="H81" i="2" s="1"/>
  <c r="H82" i="2" s="1"/>
  <c r="H83" i="2" s="1"/>
  <c r="H84" i="2" s="1"/>
  <c r="H85" i="2" s="1"/>
  <c r="H86" i="2" s="1"/>
  <c r="H87" i="2" s="1"/>
  <c r="H88" i="2" s="1"/>
  <c r="H89" i="2" s="1"/>
  <c r="H90" i="2" s="1"/>
  <c r="H91" i="2" s="1"/>
  <c r="H92" i="2" s="1"/>
  <c r="H93" i="2" s="1"/>
  <c r="H94" i="2" s="1"/>
  <c r="H95" i="2" s="1"/>
  <c r="H96" i="2" s="1"/>
  <c r="H97" i="2" s="1"/>
  <c r="H98" i="2" s="1"/>
  <c r="H99" i="2" s="1"/>
  <c r="H100" i="2" s="1"/>
  <c r="H101" i="2" s="1"/>
  <c r="H102" i="2" s="1"/>
  <c r="H103" i="2" s="1"/>
  <c r="H104" i="2" s="1"/>
  <c r="H105" i="2" s="1"/>
  <c r="H106" i="2" s="1"/>
  <c r="H107" i="2" s="1"/>
  <c r="H108" i="2" s="1"/>
  <c r="H109" i="2" s="1"/>
  <c r="H110" i="2" s="1"/>
  <c r="F76" i="2"/>
  <c r="B54" i="2"/>
  <c r="C52" i="2"/>
  <c r="E51" i="2" s="1"/>
  <c r="B43" i="2"/>
  <c r="C42" i="2"/>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F78" i="2" l="1"/>
  <c r="G76" i="2"/>
  <c r="I75" i="2" s="1"/>
  <c r="L50" i="2"/>
  <c r="L51" i="2" s="1"/>
  <c r="L52" i="2" s="1"/>
  <c r="L53" i="2" s="1"/>
  <c r="L54" i="2" s="1"/>
  <c r="L55" i="2" s="1"/>
  <c r="L56" i="2" s="1"/>
  <c r="L57" i="2" s="1"/>
  <c r="L58" i="2" s="1"/>
  <c r="L59" i="2" s="1"/>
  <c r="J52" i="2"/>
  <c r="J54" i="2" s="1"/>
  <c r="J56" i="2" s="1"/>
  <c r="J58" i="2" s="1"/>
  <c r="J60" i="2" s="1"/>
  <c r="J62" i="2" s="1"/>
  <c r="J64" i="2" s="1"/>
  <c r="J66" i="2" s="1"/>
  <c r="J68" i="2" s="1"/>
  <c r="K50" i="2"/>
  <c r="M50" i="2" s="1"/>
  <c r="N50" i="2"/>
  <c r="G52" i="2"/>
  <c r="I51" i="2" s="1"/>
  <c r="G54" i="2"/>
  <c r="I52" i="2" s="1"/>
  <c r="B44" i="2"/>
  <c r="C43" i="2"/>
  <c r="B56" i="2"/>
  <c r="C54" i="2"/>
  <c r="E52" i="2" s="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K52" i="2" l="1"/>
  <c r="M51" i="2" s="1"/>
  <c r="R50" i="2"/>
  <c r="P50" i="2"/>
  <c r="P51" i="2" s="1"/>
  <c r="P52" i="2" s="1"/>
  <c r="P53" i="2" s="1"/>
  <c r="P54" i="2" s="1"/>
  <c r="P55" i="2" s="1"/>
  <c r="P56" i="2" s="1"/>
  <c r="P57" i="2" s="1"/>
  <c r="P58" i="2" s="1"/>
  <c r="P59" i="2" s="1"/>
  <c r="O50" i="2"/>
  <c r="Q50" i="2" s="1"/>
  <c r="N52" i="2"/>
  <c r="N54" i="2" s="1"/>
  <c r="G78" i="2"/>
  <c r="I76" i="2" s="1"/>
  <c r="F80" i="2"/>
  <c r="G56" i="2"/>
  <c r="I53" i="2" s="1"/>
  <c r="K54" i="2"/>
  <c r="M52" i="2" s="1"/>
  <c r="B58" i="2"/>
  <c r="C56" i="2"/>
  <c r="E53" i="2" s="1"/>
  <c r="B45" i="2"/>
  <c r="C44" i="2"/>
  <c r="CG37" i="2"/>
  <c r="CD37" i="2"/>
  <c r="CA37" i="2"/>
  <c r="BX37" i="2"/>
  <c r="BU37" i="2"/>
  <c r="BR37" i="2"/>
  <c r="BO37" i="2"/>
  <c r="O52" i="2" l="1"/>
  <c r="Q51" i="2" s="1"/>
  <c r="F82" i="2"/>
  <c r="G80" i="2"/>
  <c r="I77" i="2" s="1"/>
  <c r="V50" i="2"/>
  <c r="S50" i="2"/>
  <c r="U50" i="2" s="1"/>
  <c r="T50" i="2"/>
  <c r="T51" i="2" s="1"/>
  <c r="T52" i="2" s="1"/>
  <c r="T53" i="2" s="1"/>
  <c r="T54" i="2" s="1"/>
  <c r="T55" i="2" s="1"/>
  <c r="T56" i="2" s="1"/>
  <c r="T57" i="2" s="1"/>
  <c r="T58" i="2" s="1"/>
  <c r="T59" i="2" s="1"/>
  <c r="R52" i="2"/>
  <c r="K56" i="2"/>
  <c r="M53" i="2" s="1"/>
  <c r="N56" i="2"/>
  <c r="O54" i="2"/>
  <c r="Q52" i="2" s="1"/>
  <c r="G58" i="2"/>
  <c r="I54" i="2" s="1"/>
  <c r="B46" i="2"/>
  <c r="C45" i="2"/>
  <c r="B60" i="2"/>
  <c r="C58" i="2"/>
  <c r="E54" i="2" s="1"/>
  <c r="BL37" i="2"/>
  <c r="BI37" i="2"/>
  <c r="AT37" i="2"/>
  <c r="R54" i="2" l="1"/>
  <c r="S52" i="2"/>
  <c r="U51" i="2" s="1"/>
  <c r="W50" i="2"/>
  <c r="Y50" i="2" s="1"/>
  <c r="X50" i="2"/>
  <c r="X51" i="2" s="1"/>
  <c r="X52" i="2" s="1"/>
  <c r="X53" i="2" s="1"/>
  <c r="X54" i="2" s="1"/>
  <c r="X55" i="2" s="1"/>
  <c r="X56" i="2" s="1"/>
  <c r="X57" i="2" s="1"/>
  <c r="X58" i="2" s="1"/>
  <c r="X59" i="2" s="1"/>
  <c r="Z50" i="2"/>
  <c r="V52" i="2"/>
  <c r="G82" i="2"/>
  <c r="I78" i="2" s="1"/>
  <c r="F84" i="2"/>
  <c r="O56" i="2"/>
  <c r="Q53" i="2" s="1"/>
  <c r="N58" i="2"/>
  <c r="K58" i="2"/>
  <c r="M54" i="2" s="1"/>
  <c r="G60" i="2"/>
  <c r="I55" i="2" s="1"/>
  <c r="B62" i="2"/>
  <c r="C60" i="2"/>
  <c r="E55" i="2" s="1"/>
  <c r="B47" i="2"/>
  <c r="C47" i="2" s="1"/>
  <c r="C46" i="2"/>
  <c r="BC37" i="2"/>
  <c r="BF37" i="2"/>
  <c r="AZ37" i="2"/>
  <c r="F86" i="2" l="1"/>
  <c r="G84" i="2"/>
  <c r="I79" i="2" s="1"/>
  <c r="W52" i="2"/>
  <c r="Y51" i="2" s="1"/>
  <c r="V54" i="2"/>
  <c r="AA50" i="2"/>
  <c r="AC50" i="2" s="1"/>
  <c r="AB50" i="2"/>
  <c r="AB51" i="2" s="1"/>
  <c r="AB52" i="2" s="1"/>
  <c r="AB53" i="2" s="1"/>
  <c r="AB54" i="2" s="1"/>
  <c r="AB55" i="2" s="1"/>
  <c r="AB56" i="2" s="1"/>
  <c r="AB57" i="2" s="1"/>
  <c r="AB58" i="2" s="1"/>
  <c r="AB59" i="2" s="1"/>
  <c r="Z52" i="2"/>
  <c r="AD50" i="2"/>
  <c r="R56" i="2"/>
  <c r="S54" i="2"/>
  <c r="U52" i="2" s="1"/>
  <c r="K60" i="2"/>
  <c r="M55" i="2" s="1"/>
  <c r="N60" i="2"/>
  <c r="O58" i="2"/>
  <c r="Q54" i="2" s="1"/>
  <c r="G62" i="2"/>
  <c r="I56" i="2" s="1"/>
  <c r="B64" i="2"/>
  <c r="C62" i="2"/>
  <c r="E56" i="2" s="1"/>
  <c r="AW37" i="2"/>
  <c r="AF50" i="2" l="1"/>
  <c r="AF51" i="2" s="1"/>
  <c r="AF52" i="2" s="1"/>
  <c r="AF53" i="2" s="1"/>
  <c r="AF54" i="2" s="1"/>
  <c r="AF55" i="2" s="1"/>
  <c r="AF56" i="2" s="1"/>
  <c r="AF57" i="2" s="1"/>
  <c r="AF58" i="2" s="1"/>
  <c r="AF59" i="2" s="1"/>
  <c r="AD52" i="2"/>
  <c r="AE50" i="2"/>
  <c r="AG50" i="2" s="1"/>
  <c r="Z54" i="2"/>
  <c r="AA52" i="2"/>
  <c r="AC51" i="2" s="1"/>
  <c r="V56" i="2"/>
  <c r="W54" i="2"/>
  <c r="Y52" i="2" s="1"/>
  <c r="S56" i="2"/>
  <c r="U53" i="2" s="1"/>
  <c r="R58" i="2"/>
  <c r="F88" i="2"/>
  <c r="G86" i="2"/>
  <c r="I80" i="2" s="1"/>
  <c r="O60" i="2"/>
  <c r="Q55" i="2" s="1"/>
  <c r="N62" i="2"/>
  <c r="G64" i="2"/>
  <c r="I57" i="2" s="1"/>
  <c r="K62" i="2"/>
  <c r="M56" i="2" s="1"/>
  <c r="B66" i="2"/>
  <c r="C64" i="2"/>
  <c r="E57" i="2" s="1"/>
  <c r="AQ37" i="2"/>
  <c r="AN37" i="2"/>
  <c r="W56" i="2" l="1"/>
  <c r="Y53" i="2" s="1"/>
  <c r="V58" i="2"/>
  <c r="Z56" i="2"/>
  <c r="AA54" i="2"/>
  <c r="AC52" i="2" s="1"/>
  <c r="F90" i="2"/>
  <c r="G88" i="2"/>
  <c r="I81" i="2" s="1"/>
  <c r="AD54" i="2"/>
  <c r="AE52" i="2"/>
  <c r="AG51" i="2" s="1"/>
  <c r="S58" i="2"/>
  <c r="U54" i="2" s="1"/>
  <c r="R60" i="2"/>
  <c r="G68" i="2"/>
  <c r="I59" i="2" s="1"/>
  <c r="G66" i="2"/>
  <c r="I58" i="2" s="1"/>
  <c r="O62" i="2"/>
  <c r="Q56" i="2" s="1"/>
  <c r="N64" i="2"/>
  <c r="K64" i="2"/>
  <c r="M57" i="2" s="1"/>
  <c r="B68" i="2"/>
  <c r="C68" i="2" s="1"/>
  <c r="E59" i="2" s="1"/>
  <c r="C66" i="2"/>
  <c r="E58" i="2" s="1"/>
  <c r="AK37" i="2"/>
  <c r="AH37" i="2"/>
  <c r="Y37" i="2"/>
  <c r="AD56" i="2" l="1"/>
  <c r="AE54" i="2"/>
  <c r="AG52" i="2" s="1"/>
  <c r="G90" i="2"/>
  <c r="I82" i="2" s="1"/>
  <c r="F92" i="2"/>
  <c r="AA56" i="2"/>
  <c r="AC53" i="2" s="1"/>
  <c r="Z58" i="2"/>
  <c r="R62" i="2"/>
  <c r="S60" i="2"/>
  <c r="U55" i="2" s="1"/>
  <c r="W58" i="2"/>
  <c r="Y54" i="2" s="1"/>
  <c r="V60" i="2"/>
  <c r="O64" i="2"/>
  <c r="Q57" i="2" s="1"/>
  <c r="N66" i="2"/>
  <c r="K68" i="2"/>
  <c r="M59" i="2" s="1"/>
  <c r="K66" i="2"/>
  <c r="M58" i="2" s="1"/>
  <c r="AE37" i="2"/>
  <c r="AB37" i="2"/>
  <c r="V62" i="2" l="1"/>
  <c r="W60" i="2"/>
  <c r="Y55" i="2" s="1"/>
  <c r="R64" i="2"/>
  <c r="S62" i="2"/>
  <c r="U56" i="2" s="1"/>
  <c r="Z60" i="2"/>
  <c r="AA58" i="2"/>
  <c r="AC54" i="2" s="1"/>
  <c r="F94" i="2"/>
  <c r="G92" i="2"/>
  <c r="I83" i="2" s="1"/>
  <c r="AD58" i="2"/>
  <c r="AE56" i="2"/>
  <c r="AG53" i="2" s="1"/>
  <c r="N68" i="2"/>
  <c r="O68" i="2" s="1"/>
  <c r="Q59" i="2" s="1"/>
  <c r="O66" i="2"/>
  <c r="Q58" i="2" s="1"/>
  <c r="V37" i="2"/>
  <c r="F96" i="2" l="1"/>
  <c r="G94" i="2"/>
  <c r="I84" i="2" s="1"/>
  <c r="Z62" i="2"/>
  <c r="AA60" i="2"/>
  <c r="AC55" i="2" s="1"/>
  <c r="S64" i="2"/>
  <c r="U57" i="2" s="1"/>
  <c r="R66" i="2"/>
  <c r="AD60" i="2"/>
  <c r="AE58" i="2"/>
  <c r="AG54" i="2" s="1"/>
  <c r="W62" i="2"/>
  <c r="Y56" i="2" s="1"/>
  <c r="V64" i="2"/>
  <c r="S37" i="2"/>
  <c r="AE60" i="2" l="1"/>
  <c r="AG55" i="2" s="1"/>
  <c r="AD62" i="2"/>
  <c r="V66" i="2"/>
  <c r="W64" i="2"/>
  <c r="Y57" i="2" s="1"/>
  <c r="S66" i="2"/>
  <c r="U58" i="2" s="1"/>
  <c r="R68" i="2"/>
  <c r="S68" i="2" s="1"/>
  <c r="U59" i="2" s="1"/>
  <c r="Z64" i="2"/>
  <c r="AA62" i="2"/>
  <c r="AC56" i="2" s="1"/>
  <c r="F98" i="2"/>
  <c r="G96" i="2"/>
  <c r="I85" i="2"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A64" i="2" l="1"/>
  <c r="AC57" i="2" s="1"/>
  <c r="Z66" i="2"/>
  <c r="G98" i="2"/>
  <c r="I86" i="2" s="1"/>
  <c r="F100" i="2"/>
  <c r="V68" i="2"/>
  <c r="W68" i="2" s="1"/>
  <c r="Y59" i="2" s="1"/>
  <c r="W66" i="2"/>
  <c r="Y58" i="2" s="1"/>
  <c r="AD64" i="2"/>
  <c r="AE62" i="2"/>
  <c r="AG56" i="2" s="1"/>
  <c r="O25" i="4"/>
  <c r="N26" i="4"/>
  <c r="N27" i="4"/>
  <c r="N28" i="4"/>
  <c r="N29" i="4"/>
  <c r="N30" i="4"/>
  <c r="N31" i="4"/>
  <c r="N25" i="4"/>
  <c r="AE64" i="2" l="1"/>
  <c r="AG57" i="2" s="1"/>
  <c r="AD66" i="2"/>
  <c r="G100" i="2"/>
  <c r="I87" i="2" s="1"/>
  <c r="F102" i="2"/>
  <c r="Z68" i="2"/>
  <c r="AA68" i="2" s="1"/>
  <c r="AC59" i="2" s="1"/>
  <c r="AA66" i="2"/>
  <c r="AC58" i="2" s="1"/>
  <c r="I1" i="1"/>
  <c r="F104" i="2" l="1"/>
  <c r="G102" i="2"/>
  <c r="I88" i="2" s="1"/>
  <c r="AD68" i="2"/>
  <c r="AE68" i="2" s="1"/>
  <c r="AG59" i="2" s="1"/>
  <c r="AE66" i="2"/>
  <c r="AG58" i="2" s="1"/>
  <c r="J1" i="1"/>
  <c r="B3" i="4" s="1"/>
  <c r="G1" i="1"/>
  <c r="F106" i="2" l="1"/>
  <c r="G104" i="2"/>
  <c r="I89" i="2" s="1"/>
  <c r="B35" i="2"/>
  <c r="A35" i="2" s="1"/>
  <c r="G106" i="2" l="1"/>
  <c r="I90" i="2" s="1"/>
  <c r="F108" i="2"/>
  <c r="C35" i="2"/>
  <c r="F35" i="2"/>
  <c r="F110" i="2" l="1"/>
  <c r="G108" i="2"/>
  <c r="I91" i="2" s="1"/>
  <c r="P37" i="2"/>
  <c r="P38" i="2" s="1"/>
  <c r="B34" i="2"/>
  <c r="A34" i="2" s="1"/>
  <c r="F112" i="2" l="1"/>
  <c r="G110" i="2"/>
  <c r="I92" i="2" s="1"/>
  <c r="A4" i="2"/>
  <c r="C40" i="2"/>
  <c r="C34" i="2"/>
  <c r="F34" i="2"/>
  <c r="B33" i="2"/>
  <c r="A33" i="2" s="1"/>
  <c r="G112" i="2" l="1"/>
  <c r="I93" i="2" s="1"/>
  <c r="F114" i="2"/>
  <c r="F33" i="2"/>
  <c r="C33" i="2"/>
  <c r="B32" i="2"/>
  <c r="A32" i="2" s="1"/>
  <c r="G114" i="2" l="1"/>
  <c r="I94" i="2" s="1"/>
  <c r="F116" i="2"/>
  <c r="F32" i="2"/>
  <c r="C32" i="2"/>
  <c r="B31" i="2"/>
  <c r="A31" i="2" s="1"/>
  <c r="G116" i="2" l="1"/>
  <c r="I95" i="2" s="1"/>
  <c r="F118" i="2"/>
  <c r="F31" i="2"/>
  <c r="C31" i="2"/>
  <c r="B30" i="2"/>
  <c r="A30" i="2" s="1"/>
  <c r="G118" i="2" l="1"/>
  <c r="I96" i="2" s="1"/>
  <c r="F120" i="2"/>
  <c r="F30" i="2"/>
  <c r="C30" i="2"/>
  <c r="B29" i="2"/>
  <c r="A29" i="2" s="1"/>
  <c r="G120" i="2" l="1"/>
  <c r="I97" i="2" s="1"/>
  <c r="F122" i="2"/>
  <c r="F29" i="2"/>
  <c r="C29" i="2"/>
  <c r="B28" i="2"/>
  <c r="A28" i="2" s="1"/>
  <c r="G122" i="2" l="1"/>
  <c r="I98" i="2" s="1"/>
  <c r="F124" i="2"/>
  <c r="F28" i="2"/>
  <c r="C28" i="2"/>
  <c r="B27" i="2"/>
  <c r="A27" i="2" s="1"/>
  <c r="D33" i="2"/>
  <c r="E33" i="2" s="1"/>
  <c r="G124" i="2" l="1"/>
  <c r="I99" i="2" s="1"/>
  <c r="F126" i="2"/>
  <c r="F27" i="2"/>
  <c r="C27" i="2"/>
  <c r="D28" i="2" s="1"/>
  <c r="B26" i="2"/>
  <c r="A26" i="2" s="1"/>
  <c r="D30" i="2"/>
  <c r="E30" i="2" s="1"/>
  <c r="D31" i="2"/>
  <c r="E31" i="2" s="1"/>
  <c r="D29" i="2"/>
  <c r="E29" i="2" s="1"/>
  <c r="D34" i="2"/>
  <c r="E34" i="2" s="1"/>
  <c r="D32" i="2"/>
  <c r="E32" i="2" s="1"/>
  <c r="D35" i="2"/>
  <c r="E35" i="2" s="1"/>
  <c r="F128" i="2" l="1"/>
  <c r="G126" i="2"/>
  <c r="I100" i="2" s="1"/>
  <c r="G28" i="2"/>
  <c r="E28" i="2"/>
  <c r="F26" i="2"/>
  <c r="C26" i="2"/>
  <c r="D27" i="2" s="1"/>
  <c r="E27" i="2" s="1"/>
  <c r="B25" i="2"/>
  <c r="A25" i="2" s="1"/>
  <c r="G128" i="2" l="1"/>
  <c r="I101" i="2" s="1"/>
  <c r="F130" i="2"/>
  <c r="F25" i="2"/>
  <c r="C25" i="2"/>
  <c r="D26" i="2" s="1"/>
  <c r="B24" i="2"/>
  <c r="A24" i="2" s="1"/>
  <c r="G130" i="2" l="1"/>
  <c r="I102" i="2" s="1"/>
  <c r="F132" i="2"/>
  <c r="E26" i="2"/>
  <c r="F24" i="2"/>
  <c r="C24" i="2"/>
  <c r="D25" i="2" s="1"/>
  <c r="B23" i="2"/>
  <c r="A23" i="2" s="1"/>
  <c r="F134" i="2" l="1"/>
  <c r="G132" i="2"/>
  <c r="I103" i="2" s="1"/>
  <c r="E25" i="2"/>
  <c r="J25" i="2"/>
  <c r="F23" i="2"/>
  <c r="C23" i="2"/>
  <c r="D24" i="2" s="1"/>
  <c r="B22" i="2"/>
  <c r="A22" i="2" s="1"/>
  <c r="F136" i="2" l="1"/>
  <c r="G134" i="2"/>
  <c r="I104" i="2" s="1"/>
  <c r="E24" i="2"/>
  <c r="F22" i="2"/>
  <c r="C22" i="2"/>
  <c r="D23" i="2" s="1"/>
  <c r="E23" i="2" s="1"/>
  <c r="B21" i="2"/>
  <c r="A21" i="2" s="1"/>
  <c r="G136" i="2" l="1"/>
  <c r="I105" i="2" s="1"/>
  <c r="F138" i="2"/>
  <c r="F21" i="2"/>
  <c r="C21" i="2"/>
  <c r="D22" i="2" s="1"/>
  <c r="E22" i="2" s="1"/>
  <c r="B20" i="2"/>
  <c r="A20" i="2" s="1"/>
  <c r="G138" i="2" l="1"/>
  <c r="I106" i="2" s="1"/>
  <c r="F140" i="2"/>
  <c r="F20" i="2"/>
  <c r="C20" i="2"/>
  <c r="D21" i="2" s="1"/>
  <c r="G21" i="2" s="1"/>
  <c r="H28" i="2" s="1"/>
  <c r="B19" i="2"/>
  <c r="A19" i="2" s="1"/>
  <c r="F142" i="2" l="1"/>
  <c r="G140" i="2"/>
  <c r="I107" i="2" s="1"/>
  <c r="E21" i="2"/>
  <c r="I21" i="2"/>
  <c r="F19" i="2"/>
  <c r="C19" i="2"/>
  <c r="D20" i="2" s="1"/>
  <c r="E20" i="2" s="1"/>
  <c r="B18" i="2"/>
  <c r="A18" i="2" s="1"/>
  <c r="F144" i="2" l="1"/>
  <c r="G144" i="2" s="1"/>
  <c r="I109" i="2" s="1"/>
  <c r="G142" i="2"/>
  <c r="I108" i="2" s="1"/>
  <c r="F18" i="2"/>
  <c r="C18" i="2"/>
  <c r="D19" i="2" s="1"/>
  <c r="E19" i="2" s="1"/>
  <c r="B17" i="2"/>
  <c r="A17" i="2" s="1"/>
  <c r="F146" i="2" l="1"/>
  <c r="G146" i="2" s="1"/>
  <c r="I110" i="2" s="1"/>
  <c r="F17" i="2"/>
  <c r="C17" i="2"/>
  <c r="D18" i="2" s="1"/>
  <c r="B16" i="2"/>
  <c r="A16" i="2" s="1"/>
  <c r="E18" i="2" l="1"/>
  <c r="J18" i="2"/>
  <c r="K25" i="2" s="1"/>
  <c r="F16" i="2"/>
  <c r="C16" i="2"/>
  <c r="D17" i="2" s="1"/>
  <c r="E17" i="2" s="1"/>
  <c r="B15" i="2"/>
  <c r="A15" i="2" s="1"/>
  <c r="F15" i="2" l="1"/>
  <c r="C15" i="2"/>
  <c r="D16" i="2" s="1"/>
  <c r="E16" i="2" s="1"/>
  <c r="B14" i="2"/>
  <c r="A14" i="2" s="1"/>
  <c r="F14" i="2" l="1"/>
  <c r="C14" i="2"/>
  <c r="D15" i="2" s="1"/>
  <c r="E15" i="2" s="1"/>
  <c r="B13" i="2"/>
  <c r="A13" i="2" s="1"/>
  <c r="F13" i="2" l="1"/>
  <c r="C13" i="2"/>
  <c r="D14" i="2" s="1"/>
  <c r="G14" i="2" s="1"/>
  <c r="B12" i="2"/>
  <c r="A12" i="2" s="1"/>
  <c r="E14" i="2" l="1"/>
  <c r="F12" i="2"/>
  <c r="C12" i="2"/>
  <c r="D13" i="2" s="1"/>
  <c r="E13" i="2" s="1"/>
  <c r="B11" i="2"/>
  <c r="A11" i="2" s="1"/>
  <c r="H21" i="2" l="1"/>
  <c r="F11" i="2"/>
  <c r="C11" i="2"/>
  <c r="D12" i="2" s="1"/>
  <c r="E12" i="2" s="1"/>
  <c r="B10" i="2"/>
  <c r="A10" i="2" s="1"/>
  <c r="B9" i="2" l="1"/>
  <c r="A9" i="2" s="1"/>
  <c r="F10" i="2"/>
  <c r="C10" i="2"/>
  <c r="D11" i="2" s="1"/>
  <c r="E11" i="2" l="1"/>
  <c r="J11" i="2"/>
  <c r="K18" i="2" l="1"/>
  <c r="F9" i="2" l="1"/>
  <c r="B8" i="2"/>
  <c r="A8" i="2" s="1"/>
  <c r="C9" i="2"/>
  <c r="D10" i="2" s="1"/>
  <c r="E10" i="2" s="1"/>
  <c r="F8" i="2" l="1"/>
  <c r="B7" i="2"/>
  <c r="A7" i="2" s="1"/>
  <c r="C8" i="2"/>
  <c r="C7" i="2" l="1"/>
  <c r="B6" i="2"/>
  <c r="A6" i="2" s="1"/>
  <c r="F7" i="2"/>
  <c r="D9" i="2"/>
  <c r="E9" i="2" s="1"/>
  <c r="C6" i="2" l="1"/>
  <c r="D7" i="2" s="1"/>
  <c r="D8" i="2"/>
  <c r="E8" i="2" s="1"/>
  <c r="I7" i="2" l="1"/>
  <c r="E7" i="2"/>
  <c r="G7" i="2"/>
  <c r="H14" i="2" s="1"/>
  <c r="E5" i="2" l="1"/>
  <c r="B40" i="4" s="1"/>
  <c r="B42" i="4" s="1"/>
  <c r="B41"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tc={1B38BC56-62BC-452A-B24B-3719746DEDFA}</author>
  </authors>
  <commentList>
    <comment ref="H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Update automatically</t>
      </text>
    </comment>
  </commentList>
</comments>
</file>

<file path=xl/sharedStrings.xml><?xml version="1.0" encoding="utf-8"?>
<sst xmlns="http://schemas.openxmlformats.org/spreadsheetml/2006/main" count="976" uniqueCount="447">
  <si>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</si>
  <si>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</si>
  <si>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</si>
  <si>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</si>
  <si>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</si>
  <si>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</si>
  <si>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</si>
  <si>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</si>
  <si>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</si>
  <si>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</si>
  <si>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</si>
  <si>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</si>
  <si>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</si>
  <si>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</si>
  <si>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</si>
  <si>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</si>
  <si>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</si>
  <si>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</si>
  <si>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</si>
  <si>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</si>
  <si>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</si>
  <si>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</si>
  <si>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</si>
  <si>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</si>
  <si>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</si>
  <si>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</si>
  <si>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</si>
  <si>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</si>
  <si>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</si>
  <si>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</si>
  <si>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</si>
  <si>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</si>
  <si>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</si>
  <si>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</si>
  <si>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</si>
  <si>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</si>
  <si>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</si>
  <si>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</si>
  <si>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</si>
  <si>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</si>
  <si>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</si>
  <si>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</si>
  <si>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</si>
  <si>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</si>
  <si>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</si>
  <si>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</si>
  <si>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</si>
  <si>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</si>
  <si>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</si>
  <si>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</si>
  <si>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</si>
  <si>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</si>
  <si>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</si>
  <si>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</si>
  <si>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</si>
  <si>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</si>
  <si>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</si>
  <si>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</si>
  <si>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</si>
  <si>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</si>
  <si>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</si>
  <si>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</si>
  <si>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</si>
  <si>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</si>
  <si>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</si>
  <si>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</si>
  <si>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</si>
  <si>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</si>
  <si>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</si>
  <si>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</si>
  <si>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</si>
  <si>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</si>
  <si>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</si>
  <si>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</si>
  <si>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</si>
  <si>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</si>
  <si>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</si>
  <si>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</si>
  <si>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</si>
  <si>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</si>
  <si>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</si>
  <si>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</si>
  <si>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</si>
  <si>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</si>
  <si>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</si>
  <si>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</si>
  <si>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</si>
  <si>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</si>
  <si>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</si>
  <si>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</si>
  <si>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</si>
  <si>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</si>
  <si>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</si>
  <si>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</si>
  <si>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</si>
  <si>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</si>
  <si>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</si>
  <si>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</si>
  <si>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</si>
  <si>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</si>
  <si>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</si>
  <si>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</si>
  <si>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</si>
  <si>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</si>
  <si>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</si>
  <si>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</si>
  <si>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</si>
  <si>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</si>
  <si>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</si>
  <si>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</si>
  <si>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</si>
  <si>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</si>
  <si>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</si>
  <si>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</si>
  <si>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</si>
  <si>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</si>
  <si>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</si>
  <si>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</si>
  <si>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</si>
  <si>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</si>
  <si>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</si>
  <si>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</si>
  <si>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</si>
  <si>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</si>
  <si>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</si>
  <si>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</si>
  <si>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</si>
  <si>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</si>
  <si>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</si>
  <si>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</si>
  <si>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</si>
  <si>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</si>
  <si>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</si>
  <si>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</si>
  <si>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</si>
  <si>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</si>
  <si>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</si>
  <si>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</si>
  <si>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</si>
  <si>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</si>
  <si>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</si>
  <si>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</si>
  <si>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</si>
  <si>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</si>
  <si>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</si>
  <si>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</si>
  <si>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</si>
  <si>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</si>
  <si>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</si>
  <si>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</si>
  <si>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</si>
  <si>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</si>
  <si>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</si>
  <si>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</si>
  <si>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</si>
  <si>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</si>
  <si>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</si>
  <si>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</si>
  <si>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</si>
  <si>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</si>
  <si>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</si>
  <si>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</si>
  <si>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</si>
  <si>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</si>
  <si>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</si>
  <si>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</si>
  <si>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</si>
  <si>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</si>
  <si>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</si>
  <si>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</si>
  <si>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</si>
  <si>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</si>
  <si>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</si>
  <si>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</si>
  <si>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</si>
  <si>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</si>
  <si>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</si>
  <si>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</si>
  <si>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</si>
  <si>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</si>
  <si>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</si>
  <si>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</si>
  <si>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</si>
  <si>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</si>
  <si>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</si>
  <si>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</si>
  <si>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</si>
  <si>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</si>
  <si>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</si>
  <si>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</si>
  <si>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</si>
  <si>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</si>
  <si>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</si>
  <si>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</si>
  <si>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</si>
  <si>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</si>
  <si>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</si>
  <si>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</si>
  <si>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</si>
  <si>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</si>
  <si>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</si>
  <si>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</si>
  <si>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</si>
  <si>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</si>
  <si>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</si>
  <si>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</si>
  <si>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</si>
  <si>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</si>
  <si>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</si>
  <si>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</si>
  <si>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</si>
  <si>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</si>
  <si>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</si>
  <si>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</si>
  <si>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</si>
  <si>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</si>
  <si>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</si>
  <si>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</si>
  <si>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</si>
  <si>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</si>
  <si>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</si>
  <si>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</si>
  <si>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</si>
  <si>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</si>
  <si>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</si>
  <si>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</si>
  <si>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</si>
  <si>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</si>
  <si>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</si>
  <si>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</si>
  <si>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</si>
  <si>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</si>
  <si>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</si>
  <si>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</si>
  <si>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</si>
  <si>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</si>
  <si>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</si>
  <si>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</si>
  <si>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</si>
  <si>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</si>
  <si>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</si>
  <si>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</si>
  <si>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</si>
  <si>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</si>
  <si>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</si>
  <si>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</si>
  <si>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</si>
  <si>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</si>
  <si>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</si>
  <si>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</si>
  <si>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</si>
  <si>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</si>
  <si>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</si>
  <si>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</si>
  <si>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</si>
  <si>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</si>
  <si>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</si>
  <si>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</si>
  <si>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</si>
  <si>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</si>
  <si>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</si>
  <si>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</si>
  <si>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</si>
  <si>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</si>
  <si>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</si>
  <si>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</si>
  <si>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</si>
  <si>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</si>
  <si>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</si>
  <si>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</si>
  <si>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</si>
  <si>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</si>
  <si>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</si>
  <si>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</si>
  <si>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</si>
  <si>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</si>
  <si>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</si>
  <si>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</si>
  <si>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</si>
  <si>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</si>
  <si>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</si>
  <si>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</si>
  <si>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</si>
  <si>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</si>
  <si>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</si>
  <si>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</si>
  <si>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</si>
  <si>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</si>
  <si>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</si>
  <si>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</si>
  <si>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</si>
  <si>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</si>
  <si>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</si>
  <si>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</si>
  <si>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</si>
  <si>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</si>
  <si>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</si>
  <si>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</si>
  <si>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</si>
  <si>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</si>
  <si>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</si>
  <si>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</si>
  <si>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</si>
  <si>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</si>
  <si>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</si>
  <si>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</si>
  <si>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</si>
  <si>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</si>
  <si>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</si>
  <si>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</si>
  <si>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</si>
  <si>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</si>
  <si>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</si>
  <si>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</si>
  <si>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</si>
  <si>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</si>
  <si>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</si>
  <si>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</si>
  <si>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</si>
  <si>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</si>
  <si>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</si>
  <si>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</si>
  <si>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</si>
  <si>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</si>
  <si>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</si>
  <si>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</si>
  <si>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</si>
  <si>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</si>
  <si>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</si>
  <si>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</si>
  <si>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</si>
  <si>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</si>
  <si>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</si>
  <si>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</si>
  <si>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</si>
  <si>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</si>
  <si>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</si>
  <si>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</si>
  <si>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</si>
  <si>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</si>
  <si>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</si>
  <si>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</si>
  <si>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</si>
  <si>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</si>
  <si>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</si>
  <si>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</si>
  <si>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</si>
  <si>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</si>
  <si>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</si>
  <si>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</si>
  <si>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</si>
  <si>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</si>
  <si>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</si>
  <si>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</si>
  <si>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</si>
  <si>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</si>
  <si>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</si>
  <si>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</si>
  <si>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</si>
  <si>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</si>
  <si>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</si>
  <si>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</si>
  <si>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</si>
  <si>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</si>
  <si>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</si>
  <si>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</si>
  <si>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</si>
  <si>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</si>
  <si>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</si>
  <si>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</si>
  <si>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</si>
  <si>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</si>
  <si>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</si>
  <si>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</si>
  <si>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</si>
  <si>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</si>
  <si>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</si>
  <si>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</si>
  <si>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</si>
  <si>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</si>
  <si>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</si>
  <si>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</si>
  <si>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</si>
  <si>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</si>
  <si>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</si>
  <si>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</si>
  <si>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</si>
  <si>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</si>
  <si>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</si>
  <si>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</si>
  <si>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</si>
  <si>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</si>
  <si>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</si>
  <si>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</si>
  <si>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</si>
  <si>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</si>
  <si>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</si>
  <si>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</si>
  <si>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</si>
  <si>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</si>
  <si>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</si>
  <si>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</si>
  <si>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</si>
  <si>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</si>
  <si>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</si>
  <si>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</si>
  <si>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</si>
  <si>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</si>
  <si>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</si>
  <si>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</si>
  <si>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</si>
  <si>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</si>
  <si>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</si>
  <si>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</si>
  <si>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</si>
  <si>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</si>
  <si>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</si>
  <si>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</si>
  <si>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</si>
  <si>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</si>
  <si>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</si>
  <si>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Data välilehdeltä kuvaajat</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</si>
  <si>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</si>
  <si>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</si>
  <si>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</si>
  <si>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</si>
  <si>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</si>
  <si>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</si>
  <si>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</si>
  <si>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</si>
  <si>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</si>
  <si>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</si>
  <si>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</si>
  <si>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</si>
  <si>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</si>
  <si>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</si>
  <si>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</si>
  <si>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</si>
  <si>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</si>
  <si>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</si>
  <si>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</si>
  <si>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</si>
  <si>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</si>
  <si>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</si>
  <si>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</si>
  <si>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</si>
  <si>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2021-02-15T09:35:43.380Z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</si>
</sst>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m/yyyy;@"/>
    <numFmt numFmtId="165" formatCode="d/m\ hh:mm"/>
    <numFmt numFmtId="166" formatCode="d/m/;@"/>
    <numFmt numFmtId="167" formatCode="d/m"/>
    <numFmt numFmtId="168" formatCode="d/m/yyyy\ h:mm;@"/>
    <numFmt numFmtId="169" formatCode="0.0"/>
    <numFmt numFmtId="170" formatCode="d\.m\.yyyy;@"/>
  </numFmts>
  <fonts count="7">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
      <sz val="11"/>
      <color theme="1"/>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6" fillId="0" borderId="0" applyFont="0" applyFill="0" applyBorder="0" applyAlignment="0" applyProtection="0"/>
  </cellStyleXfs>
  <cellXfs count="35">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Kuvaajat!$B$3</c:f>
          <c:strCache>
            <c:ptCount val="1"/>
            <c:pt idx="0">
              <c:v>Päivittäisiä COVID-19 tapauksia vuoden 2020 alusta lähtien 11.2.2021 saakka. Suurin arvo 619, joka 25.11.2020. Uusimpien 4 päivien arvot tulevat viiveellä, joten ne jätetty pois kuvaajasta.</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05"/>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strCache>
            </c:strRef>
          </c:cat>
          <c:val>
            <c:numRef>
              <c:f>[0]!PlotY</c:f>
              <c:numCache>
                <c:formatCode>General</c:formatCode>
                <c:ptCount val="408"/>
                <c:pt idx="0">
                  <c:v>0</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1</c:v>
                </c:pt>
                <c:pt idx="34">
                  <c:v>0</c:v>
                </c:pt>
                <c:pt idx="35">
                  <c:v>1</c:v>
                </c:pt>
                <c:pt idx="36">
                  <c:v>0</c:v>
                </c:pt>
                <c:pt idx="37">
                  <c:v>1</c:v>
                </c:pt>
                <c:pt idx="38">
                  <c:v>2</c:v>
                </c:pt>
                <c:pt idx="39">
                  <c:v>0</c:v>
                </c:pt>
                <c:pt idx="40">
                  <c:v>3</c:v>
                </c:pt>
                <c:pt idx="41">
                  <c:v>1</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376</c:v>
                </c:pt>
                <c:pt idx="323">
                  <c:v>478</c:v>
                </c:pt>
                <c:pt idx="324">
                  <c:v>428</c:v>
                </c:pt>
                <c:pt idx="325">
                  <c:v>268</c:v>
                </c:pt>
                <c:pt idx="326">
                  <c:v>266</c:v>
                </c:pt>
                <c:pt idx="327">
                  <c:v>503</c:v>
                </c:pt>
                <c:pt idx="328">
                  <c:v>471</c:v>
                </c:pt>
                <c:pt idx="329">
                  <c:v>619</c:v>
                </c:pt>
                <c:pt idx="330">
                  <c:v>510</c:v>
                </c:pt>
                <c:pt idx="331">
                  <c:v>455</c:v>
                </c:pt>
                <c:pt idx="332">
                  <c:v>284</c:v>
                </c:pt>
                <c:pt idx="333">
                  <c:v>293</c:v>
                </c:pt>
                <c:pt idx="334">
                  <c:v>595</c:v>
                </c:pt>
                <c:pt idx="335">
                  <c:v>439</c:v>
                </c:pt>
                <c:pt idx="336">
                  <c:v>495</c:v>
                </c:pt>
                <c:pt idx="337">
                  <c:v>477</c:v>
                </c:pt>
                <c:pt idx="338">
                  <c:v>472</c:v>
                </c:pt>
                <c:pt idx="339">
                  <c:v>251</c:v>
                </c:pt>
                <c:pt idx="340">
                  <c:v>283</c:v>
                </c:pt>
                <c:pt idx="341">
                  <c:v>587</c:v>
                </c:pt>
                <c:pt idx="342">
                  <c:v>478</c:v>
                </c:pt>
                <c:pt idx="343">
                  <c:v>462</c:v>
                </c:pt>
                <c:pt idx="344">
                  <c:v>407</c:v>
                </c:pt>
                <c:pt idx="345">
                  <c:v>445</c:v>
                </c:pt>
                <c:pt idx="346">
                  <c:v>250</c:v>
                </c:pt>
                <c:pt idx="347">
                  <c:v>276</c:v>
                </c:pt>
                <c:pt idx="348">
                  <c:v>463</c:v>
                </c:pt>
                <c:pt idx="349">
                  <c:v>359</c:v>
                </c:pt>
                <c:pt idx="350">
                  <c:v>352</c:v>
                </c:pt>
                <c:pt idx="351">
                  <c:v>323</c:v>
                </c:pt>
                <c:pt idx="352">
                  <c:v>393</c:v>
                </c:pt>
                <c:pt idx="353">
                  <c:v>190</c:v>
                </c:pt>
                <c:pt idx="354">
                  <c:v>244</c:v>
                </c:pt>
                <c:pt idx="355">
                  <c:v>376</c:v>
                </c:pt>
                <c:pt idx="356">
                  <c:v>334</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398</c:v>
                </c:pt>
                <c:pt idx="370">
                  <c:v>262</c:v>
                </c:pt>
                <c:pt idx="371">
                  <c:v>209</c:v>
                </c:pt>
                <c:pt idx="372">
                  <c:v>331</c:v>
                </c:pt>
                <c:pt idx="373">
                  <c:v>251</c:v>
                </c:pt>
                <c:pt idx="374">
                  <c:v>194</c:v>
                </c:pt>
                <c:pt idx="375">
                  <c:v>186</c:v>
                </c:pt>
                <c:pt idx="376">
                  <c:v>384</c:v>
                </c:pt>
                <c:pt idx="377">
                  <c:v>229</c:v>
                </c:pt>
                <c:pt idx="378">
                  <c:v>258</c:v>
                </c:pt>
                <c:pt idx="379">
                  <c:v>249</c:v>
                </c:pt>
                <c:pt idx="380">
                  <c:v>266</c:v>
                </c:pt>
                <c:pt idx="381">
                  <c:v>168</c:v>
                </c:pt>
                <c:pt idx="382">
                  <c:v>195</c:v>
                </c:pt>
                <c:pt idx="383">
                  <c:v>447</c:v>
                </c:pt>
                <c:pt idx="384">
                  <c:v>342</c:v>
                </c:pt>
                <c:pt idx="385">
                  <c:v>406</c:v>
                </c:pt>
                <c:pt idx="386">
                  <c:v>376</c:v>
                </c:pt>
                <c:pt idx="387">
                  <c:v>360</c:v>
                </c:pt>
                <c:pt idx="388">
                  <c:v>168</c:v>
                </c:pt>
                <c:pt idx="389">
                  <c:v>244</c:v>
                </c:pt>
                <c:pt idx="390">
                  <c:v>604</c:v>
                </c:pt>
                <c:pt idx="391">
                  <c:v>399</c:v>
                </c:pt>
                <c:pt idx="392">
                  <c:v>383</c:v>
                </c:pt>
                <c:pt idx="393">
                  <c:v>435</c:v>
                </c:pt>
                <c:pt idx="394">
                  <c:v>375</c:v>
                </c:pt>
                <c:pt idx="395">
                  <c:v>232</c:v>
                </c:pt>
                <c:pt idx="396">
                  <c:v>272</c:v>
                </c:pt>
                <c:pt idx="397">
                  <c:v>531</c:v>
                </c:pt>
                <c:pt idx="398">
                  <c:v>395</c:v>
                </c:pt>
                <c:pt idx="399">
                  <c:v>437</c:v>
                </c:pt>
                <c:pt idx="400">
                  <c:v>369</c:v>
                </c:pt>
                <c:pt idx="401">
                  <c:v>365</c:v>
                </c:pt>
                <c:pt idx="402">
                  <c:v>240</c:v>
                </c:pt>
                <c:pt idx="403">
                  <c:v>262</c:v>
                </c:pt>
                <c:pt idx="404">
                  <c:v>458</c:v>
                </c:pt>
                <c:pt idx="405">
                  <c:v>367</c:v>
                </c:pt>
                <c:pt idx="406">
                  <c:v>383</c:v>
                </c:pt>
                <c:pt idx="407">
                  <c:v>343</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153.14285714285714</c:v>
                </c:pt>
                <c:pt idx="1">
                  <c:v>127.41071428571429</c:v>
                </c:pt>
                <c:pt idx="2">
                  <c:v>124</c:v>
                </c:pt>
                <c:pt idx="3">
                  <c:v>119.98214285714286</c:v>
                </c:pt>
                <c:pt idx="4">
                  <c:v>111.98214285714286</c:v>
                </c:pt>
                <c:pt idx="5">
                  <c:v>71.571428571428569</c:v>
                </c:pt>
                <c:pt idx="6">
                  <c:v>79.178571428571431</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Lisäys!$A$4</c:f>
          <c:strCache>
            <c:ptCount val="1"/>
            <c:pt idx="0">
              <c:v>Kirjattuja (näytteenottopäivä) COVID-19 tapauksia. N=50662. Uusimmat 15.2.2021 lisäykset punaisella n=343.</c:v>
            </c:pt>
          </c:strCache>
        </c:strRef>
      </c:tx>
      <c:layout>
        <c:manualLayout>
          <c:xMode val="edge"/>
          <c:yMode val="edge"/>
          <c:x val="0.14510690687329378"/>
          <c:y val="4.31526844874421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Lisäys!$A$7:$A$34</c:f>
              <c:strCache>
                <c:ptCount val="28"/>
                <c:pt idx="0">
                  <c:v>Ma 18</c:v>
                </c:pt>
                <c:pt idx="1">
                  <c:v>19.1</c:v>
                </c:pt>
                <c:pt idx="2">
                  <c:v>20.1</c:v>
                </c:pt>
                <c:pt idx="3">
                  <c:v>21.1</c:v>
                </c:pt>
                <c:pt idx="4">
                  <c:v>22.1</c:v>
                </c:pt>
                <c:pt idx="5">
                  <c:v>23.1</c:v>
                </c:pt>
                <c:pt idx="6">
                  <c:v>24.1</c:v>
                </c:pt>
                <c:pt idx="7">
                  <c:v>Ma 25</c:v>
                </c:pt>
                <c:pt idx="8">
                  <c:v>26.1</c:v>
                </c:pt>
                <c:pt idx="9">
                  <c:v>27.1</c:v>
                </c:pt>
                <c:pt idx="10">
                  <c:v>28.1</c:v>
                </c:pt>
                <c:pt idx="11">
                  <c:v>29.1</c:v>
                </c:pt>
                <c:pt idx="12">
                  <c:v>30.1</c:v>
                </c:pt>
                <c:pt idx="13">
                  <c:v>31.1</c:v>
                </c:pt>
                <c:pt idx="14">
                  <c:v>Ma 1</c:v>
                </c:pt>
                <c:pt idx="15">
                  <c:v>2.2</c:v>
                </c:pt>
                <c:pt idx="16">
                  <c:v>3.2</c:v>
                </c:pt>
                <c:pt idx="17">
                  <c:v>4.2</c:v>
                </c:pt>
                <c:pt idx="18">
                  <c:v>5.2</c:v>
                </c:pt>
                <c:pt idx="19">
                  <c:v>6.2</c:v>
                </c:pt>
                <c:pt idx="20">
                  <c:v>7.2</c:v>
                </c:pt>
                <c:pt idx="21">
                  <c:v>Ma 8</c:v>
                </c:pt>
                <c:pt idx="22">
                  <c:v>9.2</c:v>
                </c:pt>
                <c:pt idx="23">
                  <c:v>10.2</c:v>
                </c:pt>
                <c:pt idx="24">
                  <c:v>11.2</c:v>
                </c:pt>
                <c:pt idx="25">
                  <c:v>12.2</c:v>
                </c:pt>
                <c:pt idx="26">
                  <c:v>13.2</c:v>
                </c:pt>
                <c:pt idx="27">
                  <c:v>14.2</c:v>
                </c:pt>
              </c:strCache>
            </c:strRef>
          </c:cat>
          <c:val>
            <c:numRef>
              <c:f>Lisäys!$D$7:$D$34</c:f>
              <c:numCache>
                <c:formatCode>General</c:formatCode>
                <c:ptCount val="28"/>
                <c:pt idx="0">
                  <c:v>447</c:v>
                </c:pt>
                <c:pt idx="1">
                  <c:v>342</c:v>
                </c:pt>
                <c:pt idx="2">
                  <c:v>406</c:v>
                </c:pt>
                <c:pt idx="3">
                  <c:v>376</c:v>
                </c:pt>
                <c:pt idx="4">
                  <c:v>360</c:v>
                </c:pt>
                <c:pt idx="5">
                  <c:v>168</c:v>
                </c:pt>
                <c:pt idx="6">
                  <c:v>244</c:v>
                </c:pt>
                <c:pt idx="7">
                  <c:v>604</c:v>
                </c:pt>
                <c:pt idx="8">
                  <c:v>399</c:v>
                </c:pt>
                <c:pt idx="9">
                  <c:v>383</c:v>
                </c:pt>
                <c:pt idx="10">
                  <c:v>435</c:v>
                </c:pt>
                <c:pt idx="11">
                  <c:v>375</c:v>
                </c:pt>
                <c:pt idx="12">
                  <c:v>232</c:v>
                </c:pt>
                <c:pt idx="13">
                  <c:v>272</c:v>
                </c:pt>
                <c:pt idx="14">
                  <c:v>531</c:v>
                </c:pt>
                <c:pt idx="15">
                  <c:v>395</c:v>
                </c:pt>
                <c:pt idx="16">
                  <c:v>437</c:v>
                </c:pt>
                <c:pt idx="17">
                  <c:v>369</c:v>
                </c:pt>
                <c:pt idx="18">
                  <c:v>365</c:v>
                </c:pt>
                <c:pt idx="19">
                  <c:v>240</c:v>
                </c:pt>
                <c:pt idx="20">
                  <c:v>262</c:v>
                </c:pt>
                <c:pt idx="21">
                  <c:v>458</c:v>
                </c:pt>
                <c:pt idx="22">
                  <c:v>367</c:v>
                </c:pt>
                <c:pt idx="23">
                  <c:v>383</c:v>
                </c:pt>
                <c:pt idx="24">
                  <c:v>343</c:v>
                </c:pt>
                <c:pt idx="25">
                  <c:v>362</c:v>
                </c:pt>
                <c:pt idx="26">
                  <c:v>209</c:v>
                </c:pt>
                <c:pt idx="27">
                  <c:v>157</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Lisäys!$A$7:$A$34</c:f>
              <c:strCache>
                <c:ptCount val="28"/>
                <c:pt idx="0">
                  <c:v>Ma 18</c:v>
                </c:pt>
                <c:pt idx="1">
                  <c:v>19.1</c:v>
                </c:pt>
                <c:pt idx="2">
                  <c:v>20.1</c:v>
                </c:pt>
                <c:pt idx="3">
                  <c:v>21.1</c:v>
                </c:pt>
                <c:pt idx="4">
                  <c:v>22.1</c:v>
                </c:pt>
                <c:pt idx="5">
                  <c:v>23.1</c:v>
                </c:pt>
                <c:pt idx="6">
                  <c:v>24.1</c:v>
                </c:pt>
                <c:pt idx="7">
                  <c:v>Ma 25</c:v>
                </c:pt>
                <c:pt idx="8">
                  <c:v>26.1</c:v>
                </c:pt>
                <c:pt idx="9">
                  <c:v>27.1</c:v>
                </c:pt>
                <c:pt idx="10">
                  <c:v>28.1</c:v>
                </c:pt>
                <c:pt idx="11">
                  <c:v>29.1</c:v>
                </c:pt>
                <c:pt idx="12">
                  <c:v>30.1</c:v>
                </c:pt>
                <c:pt idx="13">
                  <c:v>31.1</c:v>
                </c:pt>
                <c:pt idx="14">
                  <c:v>Ma 1</c:v>
                </c:pt>
                <c:pt idx="15">
                  <c:v>2.2</c:v>
                </c:pt>
                <c:pt idx="16">
                  <c:v>3.2</c:v>
                </c:pt>
                <c:pt idx="17">
                  <c:v>4.2</c:v>
                </c:pt>
                <c:pt idx="18">
                  <c:v>5.2</c:v>
                </c:pt>
                <c:pt idx="19">
                  <c:v>6.2</c:v>
                </c:pt>
                <c:pt idx="20">
                  <c:v>7.2</c:v>
                </c:pt>
                <c:pt idx="21">
                  <c:v>Ma 8</c:v>
                </c:pt>
                <c:pt idx="22">
                  <c:v>9.2</c:v>
                </c:pt>
                <c:pt idx="23">
                  <c:v>10.2</c:v>
                </c:pt>
                <c:pt idx="24">
                  <c:v>11.2</c:v>
                </c:pt>
                <c:pt idx="25">
                  <c:v>12.2</c:v>
                </c:pt>
                <c:pt idx="26">
                  <c:v>13.2</c:v>
                </c:pt>
                <c:pt idx="27">
                  <c:v>14.2</c:v>
                </c:pt>
              </c:strCache>
            </c:strRef>
          </c:cat>
          <c:val>
            <c:numRef>
              <c:f>Lisäys!$E$7:$E$34</c:f>
              <c:numCache>
                <c:formatCode>General</c:formatCode>
                <c:ptCount val="28"/>
                <c:pt idx="0">
                  <c:v>0</c:v>
                </c:pt>
                <c:pt idx="1">
                  <c:v>-1</c:v>
                </c:pt>
                <c:pt idx="2">
                  <c:v>0</c:v>
                </c:pt>
                <c:pt idx="3">
                  <c:v>1</c:v>
                </c:pt>
                <c:pt idx="4">
                  <c:v>1</c:v>
                </c:pt>
                <c:pt idx="5">
                  <c:v>0</c:v>
                </c:pt>
                <c:pt idx="6">
                  <c:v>0</c:v>
                </c:pt>
                <c:pt idx="7">
                  <c:v>1</c:v>
                </c:pt>
                <c:pt idx="8">
                  <c:v>1</c:v>
                </c:pt>
                <c:pt idx="9">
                  <c:v>0</c:v>
                </c:pt>
                <c:pt idx="10">
                  <c:v>0</c:v>
                </c:pt>
                <c:pt idx="11">
                  <c:v>1</c:v>
                </c:pt>
                <c:pt idx="12">
                  <c:v>1</c:v>
                </c:pt>
                <c:pt idx="13">
                  <c:v>-1</c:v>
                </c:pt>
                <c:pt idx="14">
                  <c:v>6</c:v>
                </c:pt>
                <c:pt idx="15">
                  <c:v>-5</c:v>
                </c:pt>
                <c:pt idx="16">
                  <c:v>0</c:v>
                </c:pt>
                <c:pt idx="17">
                  <c:v>0</c:v>
                </c:pt>
                <c:pt idx="18">
                  <c:v>1</c:v>
                </c:pt>
                <c:pt idx="19">
                  <c:v>0</c:v>
                </c:pt>
                <c:pt idx="20">
                  <c:v>-1</c:v>
                </c:pt>
                <c:pt idx="21">
                  <c:v>-5</c:v>
                </c:pt>
                <c:pt idx="22">
                  <c:v>1</c:v>
                </c:pt>
                <c:pt idx="23">
                  <c:v>-1</c:v>
                </c:pt>
                <c:pt idx="24">
                  <c:v>41</c:v>
                </c:pt>
                <c:pt idx="25">
                  <c:v>48</c:v>
                </c:pt>
                <c:pt idx="26">
                  <c:v>89</c:v>
                </c:pt>
                <c:pt idx="27">
                  <c:v>157</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Kuvaajat!$B$64</c:f>
          <c:strCache>
            <c:ptCount val="1"/>
            <c:pt idx="0">
              <c:v> COVID-19 tapauksia 7 päivän välein 11.2.2021 saakka (- uusin ... vanhin).</c:v>
            </c:pt>
          </c:strCache>
        </c:strRef>
      </c:tx>
      <c:layout>
        <c:manualLayout>
          <c:xMode val="edge"/>
          <c:yMode val="edge"/>
          <c:x val="0.18249457042557674"/>
          <c:y val="2.33242122225448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44238.625</c:v>
                </c:pt>
                <c:pt idx="1">
                  <c:v>44231.625</c:v>
                </c:pt>
                <c:pt idx="2">
                  <c:v>44224.625</c:v>
                </c:pt>
                <c:pt idx="3">
                  <c:v>44217.625</c:v>
                </c:pt>
                <c:pt idx="4">
                  <c:v>44210.625</c:v>
                </c:pt>
                <c:pt idx="5">
                  <c:v>44203.625</c:v>
                </c:pt>
                <c:pt idx="6">
                  <c:v>44196.625</c:v>
                </c:pt>
                <c:pt idx="7">
                  <c:v>44189.625</c:v>
                </c:pt>
                <c:pt idx="8">
                  <c:v>44182.625</c:v>
                </c:pt>
                <c:pt idx="9">
                  <c:v>44175.625</c:v>
                </c:pt>
              </c:numCache>
            </c:numRef>
          </c:xVal>
          <c:yVal>
            <c:numRef>
              <c:f>Lisäys!$E$50:$E$59</c:f>
              <c:numCache>
                <c:formatCode>General</c:formatCode>
                <c:ptCount val="10"/>
                <c:pt idx="0">
                  <c:v>343</c:v>
                </c:pt>
                <c:pt idx="1">
                  <c:v>369</c:v>
                </c:pt>
                <c:pt idx="2">
                  <c:v>435</c:v>
                </c:pt>
                <c:pt idx="3">
                  <c:v>376</c:v>
                </c:pt>
                <c:pt idx="4">
                  <c:v>249</c:v>
                </c:pt>
                <c:pt idx="5">
                  <c:v>331</c:v>
                </c:pt>
                <c:pt idx="6">
                  <c:v>253</c:v>
                </c:pt>
                <c:pt idx="7">
                  <c:v>138</c:v>
                </c:pt>
                <c:pt idx="8">
                  <c:v>323</c:v>
                </c:pt>
                <c:pt idx="9">
                  <c:v>407</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44237.625</c:v>
                </c:pt>
                <c:pt idx="1">
                  <c:v>44230.625</c:v>
                </c:pt>
                <c:pt idx="2">
                  <c:v>44223.625</c:v>
                </c:pt>
                <c:pt idx="3">
                  <c:v>44216.625</c:v>
                </c:pt>
                <c:pt idx="4">
                  <c:v>44209.625</c:v>
                </c:pt>
                <c:pt idx="5">
                  <c:v>44202.625</c:v>
                </c:pt>
                <c:pt idx="6">
                  <c:v>44195.625</c:v>
                </c:pt>
                <c:pt idx="7">
                  <c:v>44188.625</c:v>
                </c:pt>
                <c:pt idx="8">
                  <c:v>44181.625</c:v>
                </c:pt>
                <c:pt idx="9">
                  <c:v>44174.625</c:v>
                </c:pt>
              </c:numCache>
            </c:numRef>
          </c:xVal>
          <c:yVal>
            <c:numRef>
              <c:f>Lisäys!$I$50:$I$59</c:f>
              <c:numCache>
                <c:formatCode>General</c:formatCode>
                <c:ptCount val="10"/>
                <c:pt idx="0">
                  <c:v>383</c:v>
                </c:pt>
                <c:pt idx="1">
                  <c:v>437</c:v>
                </c:pt>
                <c:pt idx="2">
                  <c:v>383</c:v>
                </c:pt>
                <c:pt idx="3">
                  <c:v>406</c:v>
                </c:pt>
                <c:pt idx="4">
                  <c:v>258</c:v>
                </c:pt>
                <c:pt idx="5">
                  <c:v>209</c:v>
                </c:pt>
                <c:pt idx="6">
                  <c:v>256</c:v>
                </c:pt>
                <c:pt idx="7">
                  <c:v>277</c:v>
                </c:pt>
                <c:pt idx="8">
                  <c:v>352</c:v>
                </c:pt>
                <c:pt idx="9">
                  <c:v>462</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44236.625</c:v>
                </c:pt>
                <c:pt idx="1">
                  <c:v>44229.625</c:v>
                </c:pt>
                <c:pt idx="2">
                  <c:v>44222.625</c:v>
                </c:pt>
                <c:pt idx="3">
                  <c:v>44215.625</c:v>
                </c:pt>
                <c:pt idx="4">
                  <c:v>44208.625</c:v>
                </c:pt>
                <c:pt idx="5">
                  <c:v>44201.625</c:v>
                </c:pt>
                <c:pt idx="6">
                  <c:v>44194.625</c:v>
                </c:pt>
                <c:pt idx="7">
                  <c:v>44187.625</c:v>
                </c:pt>
                <c:pt idx="8">
                  <c:v>44180.625</c:v>
                </c:pt>
                <c:pt idx="9">
                  <c:v>44173.625</c:v>
                </c:pt>
              </c:numCache>
            </c:numRef>
          </c:xVal>
          <c:yVal>
            <c:numRef>
              <c:f>Lisäys!$M$50:$M$59</c:f>
              <c:numCache>
                <c:formatCode>General</c:formatCode>
                <c:ptCount val="10"/>
                <c:pt idx="0">
                  <c:v>367</c:v>
                </c:pt>
                <c:pt idx="1">
                  <c:v>395</c:v>
                </c:pt>
                <c:pt idx="2">
                  <c:v>399</c:v>
                </c:pt>
                <c:pt idx="3">
                  <c:v>342</c:v>
                </c:pt>
                <c:pt idx="4">
                  <c:v>229</c:v>
                </c:pt>
                <c:pt idx="5">
                  <c:v>262</c:v>
                </c:pt>
                <c:pt idx="6">
                  <c:v>307</c:v>
                </c:pt>
                <c:pt idx="7">
                  <c:v>334</c:v>
                </c:pt>
                <c:pt idx="8">
                  <c:v>359</c:v>
                </c:pt>
                <c:pt idx="9">
                  <c:v>478</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44235.625</c:v>
                </c:pt>
                <c:pt idx="1">
                  <c:v>44228.625</c:v>
                </c:pt>
                <c:pt idx="2">
                  <c:v>44221.625</c:v>
                </c:pt>
                <c:pt idx="3">
                  <c:v>44214.625</c:v>
                </c:pt>
                <c:pt idx="4">
                  <c:v>44207.625</c:v>
                </c:pt>
                <c:pt idx="5">
                  <c:v>44200.625</c:v>
                </c:pt>
                <c:pt idx="6">
                  <c:v>44193.625</c:v>
                </c:pt>
                <c:pt idx="7">
                  <c:v>44186.625</c:v>
                </c:pt>
                <c:pt idx="8">
                  <c:v>44179.625</c:v>
                </c:pt>
                <c:pt idx="9">
                  <c:v>44172.625</c:v>
                </c:pt>
              </c:numCache>
            </c:numRef>
          </c:xVal>
          <c:yVal>
            <c:numRef>
              <c:f>Lisäys!$Q$50:$Q$59</c:f>
              <c:numCache>
                <c:formatCode>General</c:formatCode>
                <c:ptCount val="10"/>
                <c:pt idx="0">
                  <c:v>458</c:v>
                </c:pt>
                <c:pt idx="1">
                  <c:v>531</c:v>
                </c:pt>
                <c:pt idx="2">
                  <c:v>604</c:v>
                </c:pt>
                <c:pt idx="3">
                  <c:v>447</c:v>
                </c:pt>
                <c:pt idx="4">
                  <c:v>384</c:v>
                </c:pt>
                <c:pt idx="5">
                  <c:v>398</c:v>
                </c:pt>
                <c:pt idx="6">
                  <c:v>437</c:v>
                </c:pt>
                <c:pt idx="7">
                  <c:v>376</c:v>
                </c:pt>
                <c:pt idx="8">
                  <c:v>463</c:v>
                </c:pt>
                <c:pt idx="9">
                  <c:v>587</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44234.625</c:v>
                </c:pt>
                <c:pt idx="1">
                  <c:v>44227.625</c:v>
                </c:pt>
                <c:pt idx="2">
                  <c:v>44220.625</c:v>
                </c:pt>
                <c:pt idx="3">
                  <c:v>44213.625</c:v>
                </c:pt>
                <c:pt idx="4">
                  <c:v>44206.625</c:v>
                </c:pt>
                <c:pt idx="5">
                  <c:v>44199.625</c:v>
                </c:pt>
                <c:pt idx="6">
                  <c:v>44192.625</c:v>
                </c:pt>
                <c:pt idx="7">
                  <c:v>44185.625</c:v>
                </c:pt>
                <c:pt idx="8">
                  <c:v>44178.625</c:v>
                </c:pt>
                <c:pt idx="9">
                  <c:v>44171.625</c:v>
                </c:pt>
              </c:numCache>
            </c:numRef>
          </c:xVal>
          <c:yVal>
            <c:numRef>
              <c:f>Lisäys!$U$50:$U$59</c:f>
              <c:numCache>
                <c:formatCode>General</c:formatCode>
                <c:ptCount val="10"/>
                <c:pt idx="0">
                  <c:v>262</c:v>
                </c:pt>
                <c:pt idx="1">
                  <c:v>272</c:v>
                </c:pt>
                <c:pt idx="2">
                  <c:v>244</c:v>
                </c:pt>
                <c:pt idx="3">
                  <c:v>195</c:v>
                </c:pt>
                <c:pt idx="4">
                  <c:v>186</c:v>
                </c:pt>
                <c:pt idx="5">
                  <c:v>169</c:v>
                </c:pt>
                <c:pt idx="6">
                  <c:v>191</c:v>
                </c:pt>
                <c:pt idx="7">
                  <c:v>244</c:v>
                </c:pt>
                <c:pt idx="8">
                  <c:v>276</c:v>
                </c:pt>
                <c:pt idx="9">
                  <c:v>283</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44233.625</c:v>
                </c:pt>
                <c:pt idx="1">
                  <c:v>44226.625</c:v>
                </c:pt>
                <c:pt idx="2">
                  <c:v>44219.625</c:v>
                </c:pt>
                <c:pt idx="3">
                  <c:v>44212.625</c:v>
                </c:pt>
                <c:pt idx="4">
                  <c:v>44205.625</c:v>
                </c:pt>
                <c:pt idx="5">
                  <c:v>44198.625</c:v>
                </c:pt>
                <c:pt idx="6">
                  <c:v>44191.625</c:v>
                </c:pt>
                <c:pt idx="7">
                  <c:v>44184.625</c:v>
                </c:pt>
                <c:pt idx="8">
                  <c:v>44177.625</c:v>
                </c:pt>
                <c:pt idx="9">
                  <c:v>44170.625</c:v>
                </c:pt>
              </c:numCache>
            </c:numRef>
          </c:xVal>
          <c:yVal>
            <c:numRef>
              <c:f>Lisäys!$Y$50:$Y$59</c:f>
              <c:numCache>
                <c:formatCode>General</c:formatCode>
                <c:ptCount val="10"/>
                <c:pt idx="0">
                  <c:v>240</c:v>
                </c:pt>
                <c:pt idx="1">
                  <c:v>232</c:v>
                </c:pt>
                <c:pt idx="2">
                  <c:v>168</c:v>
                </c:pt>
                <c:pt idx="3">
                  <c:v>168</c:v>
                </c:pt>
                <c:pt idx="4">
                  <c:v>194</c:v>
                </c:pt>
                <c:pt idx="5">
                  <c:v>206</c:v>
                </c:pt>
                <c:pt idx="6">
                  <c:v>183</c:v>
                </c:pt>
                <c:pt idx="7">
                  <c:v>190</c:v>
                </c:pt>
                <c:pt idx="8">
                  <c:v>250</c:v>
                </c:pt>
                <c:pt idx="9">
                  <c:v>251</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44232.625</c:v>
                </c:pt>
                <c:pt idx="1">
                  <c:v>44225.625</c:v>
                </c:pt>
                <c:pt idx="2">
                  <c:v>44218.625</c:v>
                </c:pt>
                <c:pt idx="3">
                  <c:v>44211.625</c:v>
                </c:pt>
                <c:pt idx="4">
                  <c:v>44204.625</c:v>
                </c:pt>
                <c:pt idx="5">
                  <c:v>44197.625</c:v>
                </c:pt>
                <c:pt idx="6">
                  <c:v>44190.625</c:v>
                </c:pt>
                <c:pt idx="7">
                  <c:v>44183.625</c:v>
                </c:pt>
                <c:pt idx="8">
                  <c:v>44176.625</c:v>
                </c:pt>
                <c:pt idx="9">
                  <c:v>44169.625</c:v>
                </c:pt>
              </c:numCache>
            </c:numRef>
          </c:xVal>
          <c:yVal>
            <c:numRef>
              <c:f>Lisäys!$AC$50:$AC$59</c:f>
              <c:numCache>
                <c:formatCode>General</c:formatCode>
                <c:ptCount val="10"/>
                <c:pt idx="0">
                  <c:v>365</c:v>
                </c:pt>
                <c:pt idx="1">
                  <c:v>375</c:v>
                </c:pt>
                <c:pt idx="2">
                  <c:v>360</c:v>
                </c:pt>
                <c:pt idx="3">
                  <c:v>266</c:v>
                </c:pt>
                <c:pt idx="4">
                  <c:v>251</c:v>
                </c:pt>
                <c:pt idx="5">
                  <c:v>129</c:v>
                </c:pt>
                <c:pt idx="6">
                  <c:v>157</c:v>
                </c:pt>
                <c:pt idx="7">
                  <c:v>393</c:v>
                </c:pt>
                <c:pt idx="8">
                  <c:v>445</c:v>
                </c:pt>
                <c:pt idx="9">
                  <c:v>472</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0</xdr:row>
          <xdr:rowOff>76200</xdr:rowOff>
        </xdr:from>
        <xdr:to>
          <xdr:col>2</xdr:col>
          <xdr:colOff>59871</xdr:colOff>
          <xdr:row>2</xdr:row>
          <xdr:rowOff>76200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85725</xdr:colOff>
      <xdr:row>3</xdr:row>
      <xdr:rowOff>180975</xdr:rowOff>
    </xdr:from>
    <xdr:to>
      <xdr:col>15</xdr:col>
      <xdr:colOff>322491</xdr:colOff>
      <xdr:row>21</xdr:row>
      <xdr:rowOff>129268</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92528</xdr:colOff>
      <xdr:row>42</xdr:row>
      <xdr:rowOff>174171</xdr:rowOff>
    </xdr:from>
    <xdr:to>
      <xdr:col>18</xdr:col>
      <xdr:colOff>6885</xdr:colOff>
      <xdr:row>62</xdr:row>
      <xdr:rowOff>85164</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65</xdr:row>
      <xdr:rowOff>38100</xdr:rowOff>
    </xdr:from>
    <xdr:to>
      <xdr:col>14</xdr:col>
      <xdr:colOff>382281</xdr:colOff>
      <xdr:row>87</xdr:row>
      <xdr:rowOff>175052</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76200</xdr:rowOff>
        </xdr:from>
        <xdr:to>
          <xdr:col>2</xdr:col>
          <xdr:colOff>348343</xdr:colOff>
          <xdr:row>1</xdr:row>
          <xdr:rowOff>457200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ussi Virkkala" id="{1A0DCB5E-D646-4716-9DD3-1D7F3C16060F}" userId="ee2e9d07c907016a"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1" dT="2021-01-30T10:08:22.16" personId="{1A0DCB5E-D646-4716-9DD3-1D7F3C16060F}" id="{1B38BC56-62BC-452A-B24B-3719746DEDFA}">
    <text>Update automatically</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5"/>
  <sheetViews>
    <sheetView workbookViewId="0">
      <selection activeCell="A9" sqref="A9"/>
    </sheetView>
  </sheetViews>
  <sheetFormatPr defaultRowHeight="14.6"/>
  <sheetData>
    <row r="2" spans="2:12" ht="14.7" customHeight="1">
      <c r="B2" s="32" t="s">
        <v>10</v>
      </c>
      <c r="C2" s="33"/>
      <c r="D2" s="33"/>
      <c r="E2" s="33"/>
      <c r="F2" s="33"/>
      <c r="G2" s="33"/>
      <c r="H2" s="33"/>
      <c r="I2" s="34"/>
      <c r="J2" s="34"/>
      <c r="K2" s="34"/>
      <c r="L2" s="34"/>
    </row>
    <row r="3" spans="2:12">
      <c r="B3" s="33"/>
      <c r="C3" s="33"/>
      <c r="D3" s="33"/>
      <c r="E3" s="33"/>
      <c r="F3" s="33"/>
      <c r="G3" s="33"/>
      <c r="H3" s="33"/>
      <c r="I3" s="34"/>
      <c r="J3" s="34"/>
      <c r="K3" s="34"/>
      <c r="L3" s="34"/>
    </row>
    <row r="4" spans="2:12">
      <c r="B4" s="33"/>
      <c r="C4" s="33"/>
      <c r="D4" s="33"/>
      <c r="E4" s="33"/>
      <c r="F4" s="33"/>
      <c r="G4" s="33"/>
      <c r="H4" s="33"/>
      <c r="I4" s="34"/>
      <c r="J4" s="34"/>
      <c r="K4" s="34"/>
      <c r="L4" s="34"/>
    </row>
    <row r="5" spans="2:12">
      <c r="B5" s="33"/>
      <c r="C5" s="33"/>
      <c r="D5" s="33"/>
      <c r="E5" s="33"/>
      <c r="F5" s="33"/>
      <c r="G5" s="33"/>
      <c r="H5" s="33"/>
      <c r="I5" s="34"/>
      <c r="J5" s="34"/>
      <c r="K5" s="34"/>
      <c r="L5" s="34"/>
    </row>
    <row r="6" spans="2:12">
      <c r="B6" s="33"/>
      <c r="C6" s="33"/>
      <c r="D6" s="33"/>
      <c r="E6" s="33"/>
      <c r="F6" s="33"/>
      <c r="G6" s="33"/>
      <c r="H6" s="33"/>
      <c r="I6" s="34"/>
      <c r="J6" s="34"/>
      <c r="K6" s="34"/>
      <c r="L6" s="34"/>
    </row>
    <row r="7" spans="2:12">
      <c r="B7" s="33"/>
      <c r="C7" s="33"/>
      <c r="D7" s="33"/>
      <c r="E7" s="33"/>
      <c r="F7" s="33"/>
      <c r="G7" s="33"/>
      <c r="H7" s="33"/>
      <c r="I7" s="34"/>
      <c r="J7" s="34"/>
      <c r="K7" s="34"/>
      <c r="L7" s="34"/>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805"/>
  <sheetViews>
    <sheetView workbookViewId="0">
      <pane ySplit="1" topLeftCell="A2" activePane="bottomLeft" state="frozen"/>
      <selection pane="bottomLeft" activeCell="A2" sqref="A2"/>
    </sheetView>
  </sheetViews>
  <sheetFormatPr defaultRowHeight="14.6"/>
  <cols>
    <col min="1" max="1" width="9.3046875" style="3"/>
    <col min="2" max="2" width="22.84375" bestFit="1" customWidth="1"/>
    <col min="3" max="3" width="17.07421875" bestFit="1" customWidth="1"/>
    <col min="4" max="4" width="6.07421875" customWidth="1"/>
    <col min="5" max="5" width="15.3046875" style="3" bestFit="1" customWidth="1"/>
    <col min="6" max="6" width="14" style="5" bestFit="1" customWidth="1"/>
    <col min="7" max="7" width="8.84375" style="4" bestFit="1" customWidth="1"/>
    <col min="8" max="8" width="16.69140625" customWidth="1"/>
    <col min="10" max="10" width="9.84375" bestFit="1" customWidth="1"/>
    <col min="11" max="11" width="14" bestFit="1" customWidth="1"/>
  </cols>
  <sheetData>
    <row r="1" spans="1:11" s="7" customFormat="1" ht="39.9" customHeight="1">
      <c r="A1" s="31" t="s">
        <v>291</v>
      </c>
      <c r="B1" s="1" t="s">
        <v>1</v>
      </c>
      <c r="C1" s="1" t="s">
        <v>9</v>
      </c>
      <c r="D1" s="1" t="s">
        <v>292</v>
      </c>
      <c r="E1" s="1" t="s">
        <v>300</v>
      </c>
      <c r="F1" s="6" t="s">
        <v>7</v>
      </c>
      <c r="G1" s="7">
        <f>SUM(A:A)</f>
        <v>50662</v>
      </c>
      <c r="H1" s="8">
        <v>44242.48541666667</v>
      </c>
      <c r="I1" s="7">
        <f>MAX(DataN)</f>
        <v>619</v>
      </c>
      <c r="J1" s="15">
        <f>VLOOKUP(I1,A:F,6,FALSE)</f>
        <v>44160.625</v>
      </c>
      <c r="K1" s="7">
        <f>COUNT(DataN)-5</f>
        <v>407</v>
      </c>
    </row>
    <row r="2" spans="1:11">
      <c r="A2" s="3">
        <v>0</v>
      </c>
      <c r="B2" t="s">
        <v>235</v>
      </c>
      <c r="C2" t="s">
        <v>8</v>
      </c>
      <c r="E2" s="3">
        <f>WEEKDAY(F2,2)</f>
        <v>3</v>
      </c>
      <c r="F2" s="5">
        <v>43831.625</v>
      </c>
      <c r="G2" s="19" t="str">
        <f>IF(WEEKDAY(F2,2)=1,"W"&amp;WEEKNUM(F2,14),"")</f>
        <v/>
      </c>
    </row>
    <row r="3" spans="1:11">
      <c r="A3" s="3">
        <v>1</v>
      </c>
      <c r="B3" t="s">
        <v>236</v>
      </c>
      <c r="C3" t="s">
        <v>8</v>
      </c>
      <c r="E3" s="3">
        <f t="shared" ref="E3:E66" si="0">WEEKDAY(F3,2)</f>
        <v>4</v>
      </c>
      <c r="F3" s="5">
        <v>43832.625</v>
      </c>
      <c r="G3" s="19" t="str">
        <f t="shared" ref="G3:G66" si="1">IF(WEEKDAY(F3,2)=1,"W"&amp;WEEKNUM(F3,14),"")</f>
        <v/>
      </c>
    </row>
    <row r="4" spans="1:11">
      <c r="A4" s="3">
        <v>0</v>
      </c>
      <c r="B4" t="s">
        <v>237</v>
      </c>
      <c r="C4" t="s">
        <v>8</v>
      </c>
      <c r="E4" s="3">
        <f t="shared" si="0"/>
        <v>5</v>
      </c>
      <c r="F4" s="5">
        <v>43833.625</v>
      </c>
      <c r="G4" s="19" t="str">
        <f t="shared" si="1"/>
        <v/>
      </c>
    </row>
    <row r="5" spans="1:11">
      <c r="A5" s="3">
        <v>0</v>
      </c>
      <c r="B5" t="s">
        <v>238</v>
      </c>
      <c r="C5" t="s">
        <v>8</v>
      </c>
      <c r="E5" s="3">
        <f t="shared" si="0"/>
        <v>6</v>
      </c>
      <c r="F5" s="5">
        <v>43834.625</v>
      </c>
      <c r="G5" s="19" t="str">
        <f t="shared" si="1"/>
        <v/>
      </c>
    </row>
    <row r="6" spans="1:11">
      <c r="A6" s="3">
        <v>0</v>
      </c>
      <c r="B6" t="s">
        <v>239</v>
      </c>
      <c r="C6" t="s">
        <v>8</v>
      </c>
      <c r="E6" s="3">
        <f t="shared" si="0"/>
        <v>7</v>
      </c>
      <c r="F6" s="5">
        <v>43835.625</v>
      </c>
      <c r="G6" s="19" t="str">
        <f t="shared" si="1"/>
        <v/>
      </c>
    </row>
    <row r="7" spans="1:11">
      <c r="A7" s="3">
        <v>0</v>
      </c>
      <c r="B7" t="s">
        <v>240</v>
      </c>
      <c r="C7" t="s">
        <v>8</v>
      </c>
      <c r="E7" s="3">
        <f t="shared" si="0"/>
        <v>1</v>
      </c>
      <c r="F7" s="5">
        <v>43836.625</v>
      </c>
      <c r="G7" s="19" t="str">
        <f t="shared" si="1"/>
        <v>W2</v>
      </c>
      <c r="H7">
        <f>SUM(A7:A13)</f>
        <v>0</v>
      </c>
      <c r="I7" s="28" t="e">
        <f>H7/#REF!-1</f>
        <v>#REF!</v>
      </c>
      <c r="J7" s="28" t="e">
        <f>A7/#REF!-1</f>
        <v>#REF!</v>
      </c>
    </row>
    <row r="8" spans="1:11">
      <c r="A8" s="3">
        <v>0</v>
      </c>
      <c r="B8" t="s">
        <v>241</v>
      </c>
      <c r="C8" t="s">
        <v>8</v>
      </c>
      <c r="E8" s="3">
        <f t="shared" si="0"/>
        <v>2</v>
      </c>
      <c r="F8" s="5">
        <v>43837.625</v>
      </c>
      <c r="G8" s="19" t="str">
        <f t="shared" si="1"/>
        <v/>
      </c>
    </row>
    <row r="9" spans="1:11">
      <c r="A9" s="3">
        <v>0</v>
      </c>
      <c r="B9" t="s">
        <v>242</v>
      </c>
      <c r="C9" t="s">
        <v>8</v>
      </c>
      <c r="E9" s="3">
        <f t="shared" si="0"/>
        <v>3</v>
      </c>
      <c r="F9" s="5">
        <v>43838.625</v>
      </c>
      <c r="G9" s="19" t="str">
        <f t="shared" si="1"/>
        <v/>
      </c>
    </row>
    <row r="10" spans="1:11">
      <c r="A10" s="3">
        <v>0</v>
      </c>
      <c r="B10" t="s">
        <v>243</v>
      </c>
      <c r="C10" t="s">
        <v>8</v>
      </c>
      <c r="E10" s="3">
        <f t="shared" si="0"/>
        <v>4</v>
      </c>
      <c r="F10" s="5">
        <v>43839.625</v>
      </c>
      <c r="G10" s="19" t="str">
        <f t="shared" si="1"/>
        <v/>
      </c>
    </row>
    <row r="11" spans="1:11">
      <c r="A11" s="3">
        <v>0</v>
      </c>
      <c r="B11" t="s">
        <v>244</v>
      </c>
      <c r="C11" t="s">
        <v>8</v>
      </c>
      <c r="E11" s="3">
        <f t="shared" si="0"/>
        <v>5</v>
      </c>
      <c r="F11" s="5">
        <v>43840.625</v>
      </c>
      <c r="G11" s="19" t="str">
        <f t="shared" si="1"/>
        <v/>
      </c>
    </row>
    <row r="12" spans="1:11">
      <c r="A12" s="3">
        <v>0</v>
      </c>
      <c r="B12" t="s">
        <v>245</v>
      </c>
      <c r="C12" t="s">
        <v>8</v>
      </c>
      <c r="E12" s="3">
        <f t="shared" si="0"/>
        <v>6</v>
      </c>
      <c r="F12" s="5">
        <v>43841.625</v>
      </c>
      <c r="G12" s="19" t="str">
        <f t="shared" si="1"/>
        <v/>
      </c>
    </row>
    <row r="13" spans="1:11">
      <c r="A13" s="3">
        <v>0</v>
      </c>
      <c r="B13" t="s">
        <v>246</v>
      </c>
      <c r="C13" t="s">
        <v>8</v>
      </c>
      <c r="E13" s="3">
        <f t="shared" si="0"/>
        <v>7</v>
      </c>
      <c r="F13" s="5">
        <v>43842.625</v>
      </c>
      <c r="G13" s="19" t="str">
        <f t="shared" si="1"/>
        <v/>
      </c>
    </row>
    <row r="14" spans="1:11">
      <c r="A14" s="3">
        <v>0</v>
      </c>
      <c r="B14" t="s">
        <v>247</v>
      </c>
      <c r="C14" t="s">
        <v>8</v>
      </c>
      <c r="E14" s="3">
        <f t="shared" si="0"/>
        <v>1</v>
      </c>
      <c r="F14" s="5">
        <v>43843.625</v>
      </c>
      <c r="G14" s="19" t="str">
        <f t="shared" si="1"/>
        <v>W3</v>
      </c>
      <c r="H14">
        <f>SUM(A14:A20)</f>
        <v>0</v>
      </c>
      <c r="I14" s="28" t="e">
        <f>H14/H7-1</f>
        <v>#DIV/0!</v>
      </c>
      <c r="J14" s="28" t="e">
        <f>A14/A7-1</f>
        <v>#DIV/0!</v>
      </c>
    </row>
    <row r="15" spans="1:11">
      <c r="A15" s="3">
        <v>0</v>
      </c>
      <c r="B15" t="s">
        <v>248</v>
      </c>
      <c r="C15" t="s">
        <v>8</v>
      </c>
      <c r="E15" s="3">
        <f t="shared" si="0"/>
        <v>2</v>
      </c>
      <c r="F15" s="5">
        <v>43844.625</v>
      </c>
      <c r="G15" s="19" t="str">
        <f t="shared" si="1"/>
        <v/>
      </c>
    </row>
    <row r="16" spans="1:11">
      <c r="A16" s="3">
        <v>0</v>
      </c>
      <c r="B16" t="s">
        <v>249</v>
      </c>
      <c r="C16" t="s">
        <v>8</v>
      </c>
      <c r="E16" s="3">
        <f t="shared" si="0"/>
        <v>3</v>
      </c>
      <c r="F16" s="5">
        <v>43845.625</v>
      </c>
      <c r="G16" s="19" t="str">
        <f t="shared" si="1"/>
        <v/>
      </c>
    </row>
    <row r="17" spans="1:10">
      <c r="A17" s="3">
        <v>0</v>
      </c>
      <c r="B17" t="s">
        <v>250</v>
      </c>
      <c r="C17" t="s">
        <v>8</v>
      </c>
      <c r="E17" s="3">
        <f t="shared" si="0"/>
        <v>4</v>
      </c>
      <c r="F17" s="5">
        <v>43846.625</v>
      </c>
      <c r="G17" s="19" t="str">
        <f t="shared" si="1"/>
        <v/>
      </c>
    </row>
    <row r="18" spans="1:10">
      <c r="A18" s="3">
        <v>0</v>
      </c>
      <c r="B18" t="s">
        <v>251</v>
      </c>
      <c r="C18" t="s">
        <v>8</v>
      </c>
      <c r="E18" s="3">
        <f t="shared" si="0"/>
        <v>5</v>
      </c>
      <c r="F18" s="5">
        <v>43847.625</v>
      </c>
      <c r="G18" s="19" t="str">
        <f t="shared" si="1"/>
        <v/>
      </c>
    </row>
    <row r="19" spans="1:10">
      <c r="A19" s="3">
        <v>0</v>
      </c>
      <c r="B19" t="s">
        <v>252</v>
      </c>
      <c r="C19" t="s">
        <v>8</v>
      </c>
      <c r="E19" s="3">
        <f t="shared" si="0"/>
        <v>6</v>
      </c>
      <c r="F19" s="5">
        <v>43848.625</v>
      </c>
      <c r="G19" s="19" t="str">
        <f t="shared" si="1"/>
        <v/>
      </c>
    </row>
    <row r="20" spans="1:10">
      <c r="A20" s="3">
        <v>0</v>
      </c>
      <c r="B20" t="s">
        <v>253</v>
      </c>
      <c r="C20" t="s">
        <v>8</v>
      </c>
      <c r="E20" s="3">
        <f t="shared" si="0"/>
        <v>7</v>
      </c>
      <c r="F20" s="5">
        <v>43849.625</v>
      </c>
      <c r="G20" s="19" t="str">
        <f t="shared" si="1"/>
        <v/>
      </c>
    </row>
    <row r="21" spans="1:10">
      <c r="A21" s="3">
        <v>0</v>
      </c>
      <c r="B21" t="s">
        <v>254</v>
      </c>
      <c r="C21" t="s">
        <v>8</v>
      </c>
      <c r="E21" s="3">
        <f t="shared" si="0"/>
        <v>1</v>
      </c>
      <c r="F21" s="5">
        <v>43850.625</v>
      </c>
      <c r="G21" s="19" t="str">
        <f t="shared" si="1"/>
        <v>W4</v>
      </c>
      <c r="H21">
        <f>SUM(A21:A27)</f>
        <v>0</v>
      </c>
      <c r="I21" s="28" t="e">
        <f>H21/H14-1</f>
        <v>#DIV/0!</v>
      </c>
      <c r="J21" s="28" t="e">
        <f>A21/A14-1</f>
        <v>#DIV/0!</v>
      </c>
    </row>
    <row r="22" spans="1:10">
      <c r="A22" s="3">
        <v>0</v>
      </c>
      <c r="B22" t="s">
        <v>255</v>
      </c>
      <c r="C22" t="s">
        <v>8</v>
      </c>
      <c r="E22" s="3">
        <f t="shared" si="0"/>
        <v>2</v>
      </c>
      <c r="F22" s="5">
        <v>43851.625</v>
      </c>
      <c r="G22" s="19" t="str">
        <f t="shared" si="1"/>
        <v/>
      </c>
    </row>
    <row r="23" spans="1:10">
      <c r="A23" s="3">
        <v>0</v>
      </c>
      <c r="B23" t="s">
        <v>256</v>
      </c>
      <c r="C23" t="s">
        <v>8</v>
      </c>
      <c r="E23" s="3">
        <f t="shared" si="0"/>
        <v>3</v>
      </c>
      <c r="F23" s="5">
        <v>43852.625</v>
      </c>
      <c r="G23" s="19" t="str">
        <f t="shared" si="1"/>
        <v/>
      </c>
    </row>
    <row r="24" spans="1:10">
      <c r="A24" s="3">
        <v>0</v>
      </c>
      <c r="B24" t="s">
        <v>257</v>
      </c>
      <c r="C24" t="s">
        <v>8</v>
      </c>
      <c r="E24" s="3">
        <f t="shared" si="0"/>
        <v>4</v>
      </c>
      <c r="F24" s="5">
        <v>43853.625</v>
      </c>
      <c r="G24" s="19" t="str">
        <f t="shared" si="1"/>
        <v/>
      </c>
    </row>
    <row r="25" spans="1:10">
      <c r="A25" s="3">
        <v>0</v>
      </c>
      <c r="B25" t="s">
        <v>258</v>
      </c>
      <c r="C25" t="s">
        <v>8</v>
      </c>
      <c r="E25" s="3">
        <f t="shared" si="0"/>
        <v>5</v>
      </c>
      <c r="F25" s="5">
        <v>43854.625</v>
      </c>
      <c r="G25" s="19" t="str">
        <f t="shared" si="1"/>
        <v/>
      </c>
    </row>
    <row r="26" spans="1:10">
      <c r="A26" s="3">
        <v>0</v>
      </c>
      <c r="B26" t="s">
        <v>259</v>
      </c>
      <c r="C26" t="s">
        <v>8</v>
      </c>
      <c r="E26" s="3">
        <f t="shared" si="0"/>
        <v>6</v>
      </c>
      <c r="F26" s="5">
        <v>43855.625</v>
      </c>
      <c r="G26" s="19" t="str">
        <f t="shared" si="1"/>
        <v/>
      </c>
    </row>
    <row r="27" spans="1:10">
      <c r="A27" s="3">
        <v>0</v>
      </c>
      <c r="B27" t="s">
        <v>260</v>
      </c>
      <c r="C27" t="s">
        <v>8</v>
      </c>
      <c r="E27" s="3">
        <f t="shared" si="0"/>
        <v>7</v>
      </c>
      <c r="F27" s="5">
        <v>43856.625</v>
      </c>
      <c r="G27" s="19" t="str">
        <f t="shared" si="1"/>
        <v/>
      </c>
    </row>
    <row r="28" spans="1:10">
      <c r="A28" s="3">
        <v>0</v>
      </c>
      <c r="B28" t="s">
        <v>261</v>
      </c>
      <c r="C28" t="s">
        <v>8</v>
      </c>
      <c r="E28" s="3">
        <f t="shared" si="0"/>
        <v>1</v>
      </c>
      <c r="F28" s="5">
        <v>43857.625</v>
      </c>
      <c r="G28" s="19" t="str">
        <f t="shared" si="1"/>
        <v>W5</v>
      </c>
      <c r="H28">
        <f>SUM(A28:A34)</f>
        <v>1</v>
      </c>
      <c r="I28" s="28" t="e">
        <f>H28/H21-1</f>
        <v>#DIV/0!</v>
      </c>
      <c r="J28" s="28" t="e">
        <f>A28/A21-1</f>
        <v>#DIV/0!</v>
      </c>
    </row>
    <row r="29" spans="1:10">
      <c r="A29" s="3">
        <v>1</v>
      </c>
      <c r="B29" t="s">
        <v>11</v>
      </c>
      <c r="C29" t="s">
        <v>8</v>
      </c>
      <c r="E29" s="3">
        <f t="shared" si="0"/>
        <v>2</v>
      </c>
      <c r="F29" s="5">
        <v>43858.625</v>
      </c>
      <c r="G29" s="19" t="str">
        <f t="shared" si="1"/>
        <v/>
      </c>
    </row>
    <row r="30" spans="1:10">
      <c r="A30" s="3">
        <v>0</v>
      </c>
      <c r="B30" t="s">
        <v>262</v>
      </c>
      <c r="C30" t="s">
        <v>8</v>
      </c>
      <c r="E30" s="3">
        <f t="shared" si="0"/>
        <v>3</v>
      </c>
      <c r="F30" s="5">
        <v>43859.625</v>
      </c>
      <c r="G30" s="19" t="str">
        <f t="shared" si="1"/>
        <v/>
      </c>
    </row>
    <row r="31" spans="1:10">
      <c r="A31" s="3">
        <v>0</v>
      </c>
      <c r="B31" t="s">
        <v>263</v>
      </c>
      <c r="C31" t="s">
        <v>8</v>
      </c>
      <c r="E31" s="3">
        <f t="shared" si="0"/>
        <v>4</v>
      </c>
      <c r="F31" s="5">
        <v>43860.625</v>
      </c>
      <c r="G31" s="19" t="str">
        <f t="shared" si="1"/>
        <v/>
      </c>
    </row>
    <row r="32" spans="1:10">
      <c r="A32" s="3">
        <v>0</v>
      </c>
      <c r="B32" t="s">
        <v>264</v>
      </c>
      <c r="C32" t="s">
        <v>8</v>
      </c>
      <c r="E32" s="3">
        <f t="shared" si="0"/>
        <v>5</v>
      </c>
      <c r="F32" s="5">
        <v>43861.625</v>
      </c>
      <c r="G32" s="19" t="str">
        <f t="shared" si="1"/>
        <v/>
      </c>
    </row>
    <row r="33" spans="1:10">
      <c r="A33" s="3">
        <v>0</v>
      </c>
      <c r="B33" t="s">
        <v>265</v>
      </c>
      <c r="C33" t="s">
        <v>8</v>
      </c>
      <c r="E33" s="3">
        <f t="shared" si="0"/>
        <v>6</v>
      </c>
      <c r="F33" s="5">
        <v>43862.625</v>
      </c>
      <c r="G33" s="19" t="str">
        <f t="shared" si="1"/>
        <v/>
      </c>
    </row>
    <row r="34" spans="1:10">
      <c r="A34" s="3">
        <v>0</v>
      </c>
      <c r="B34" t="s">
        <v>266</v>
      </c>
      <c r="C34" t="s">
        <v>8</v>
      </c>
      <c r="E34" s="3">
        <f t="shared" si="0"/>
        <v>7</v>
      </c>
      <c r="F34" s="5">
        <v>43863.625</v>
      </c>
      <c r="G34" s="19" t="str">
        <f t="shared" si="1"/>
        <v/>
      </c>
    </row>
    <row r="35" spans="1:10">
      <c r="A35" s="3">
        <v>1</v>
      </c>
      <c r="B35" t="s">
        <v>267</v>
      </c>
      <c r="C35" t="s">
        <v>8</v>
      </c>
      <c r="E35" s="3">
        <f t="shared" si="0"/>
        <v>1</v>
      </c>
      <c r="F35" s="5">
        <v>43864.625</v>
      </c>
      <c r="G35" s="19" t="str">
        <f t="shared" si="1"/>
        <v>W6</v>
      </c>
      <c r="H35">
        <f>SUM(A35:A41)</f>
        <v>5</v>
      </c>
      <c r="I35" s="28">
        <f>H35/H28-1</f>
        <v>4</v>
      </c>
      <c r="J35" s="28" t="e">
        <f>A35/A28-1</f>
        <v>#DIV/0!</v>
      </c>
    </row>
    <row r="36" spans="1:10">
      <c r="A36" s="3">
        <v>0</v>
      </c>
      <c r="B36" t="s">
        <v>268</v>
      </c>
      <c r="C36" t="s">
        <v>8</v>
      </c>
      <c r="E36" s="3">
        <f t="shared" si="0"/>
        <v>2</v>
      </c>
      <c r="F36" s="5">
        <v>43865.625</v>
      </c>
      <c r="G36" s="19" t="str">
        <f t="shared" si="1"/>
        <v/>
      </c>
    </row>
    <row r="37" spans="1:10">
      <c r="A37" s="3">
        <v>1</v>
      </c>
      <c r="B37" t="s">
        <v>269</v>
      </c>
      <c r="C37" t="s">
        <v>8</v>
      </c>
      <c r="E37" s="3">
        <f t="shared" si="0"/>
        <v>3</v>
      </c>
      <c r="F37" s="5">
        <v>43866.625</v>
      </c>
      <c r="G37" s="19" t="str">
        <f t="shared" si="1"/>
        <v/>
      </c>
    </row>
    <row r="38" spans="1:10">
      <c r="A38" s="3">
        <v>0</v>
      </c>
      <c r="B38" t="s">
        <v>270</v>
      </c>
      <c r="C38" t="s">
        <v>8</v>
      </c>
      <c r="E38" s="3">
        <f t="shared" si="0"/>
        <v>4</v>
      </c>
      <c r="F38" s="5">
        <v>43867.625</v>
      </c>
      <c r="G38" s="19" t="str">
        <f t="shared" si="1"/>
        <v/>
      </c>
    </row>
    <row r="39" spans="1:10">
      <c r="A39" s="3">
        <v>1</v>
      </c>
      <c r="B39" t="s">
        <v>271</v>
      </c>
      <c r="C39" t="s">
        <v>8</v>
      </c>
      <c r="E39" s="3">
        <f t="shared" si="0"/>
        <v>5</v>
      </c>
      <c r="F39" s="5">
        <v>43868.625</v>
      </c>
      <c r="G39" s="19" t="str">
        <f t="shared" si="1"/>
        <v/>
      </c>
    </row>
    <row r="40" spans="1:10">
      <c r="A40" s="3">
        <v>2</v>
      </c>
      <c r="B40" t="s">
        <v>272</v>
      </c>
      <c r="C40" t="s">
        <v>8</v>
      </c>
      <c r="E40" s="3">
        <f t="shared" si="0"/>
        <v>6</v>
      </c>
      <c r="F40" s="5">
        <v>43869.625</v>
      </c>
      <c r="G40" s="19" t="str">
        <f t="shared" si="1"/>
        <v/>
      </c>
    </row>
    <row r="41" spans="1:10">
      <c r="A41" s="3">
        <v>0</v>
      </c>
      <c r="B41" t="s">
        <v>273</v>
      </c>
      <c r="C41" t="s">
        <v>8</v>
      </c>
      <c r="E41" s="3">
        <f t="shared" si="0"/>
        <v>7</v>
      </c>
      <c r="F41" s="5">
        <v>43870.625</v>
      </c>
      <c r="G41" s="19" t="str">
        <f t="shared" si="1"/>
        <v/>
      </c>
    </row>
    <row r="42" spans="1:10">
      <c r="A42" s="3">
        <v>3</v>
      </c>
      <c r="B42" t="s">
        <v>12</v>
      </c>
      <c r="C42" t="s">
        <v>8</v>
      </c>
      <c r="E42" s="3">
        <f t="shared" si="0"/>
        <v>1</v>
      </c>
      <c r="F42" s="5">
        <v>43871.625</v>
      </c>
      <c r="G42" s="19" t="str">
        <f t="shared" si="1"/>
        <v>W7</v>
      </c>
      <c r="H42">
        <f>SUM(A42:A48)</f>
        <v>4</v>
      </c>
      <c r="I42" s="28">
        <f>H42/H35-1</f>
        <v>-0.19999999999999996</v>
      </c>
      <c r="J42" s="28">
        <f>A42/A35-1</f>
        <v>2</v>
      </c>
    </row>
    <row r="43" spans="1:10">
      <c r="A43" s="3">
        <v>1</v>
      </c>
      <c r="B43" t="s">
        <v>274</v>
      </c>
      <c r="C43" t="s">
        <v>8</v>
      </c>
      <c r="E43" s="3">
        <f t="shared" si="0"/>
        <v>2</v>
      </c>
      <c r="F43" s="5">
        <v>43872.625</v>
      </c>
      <c r="G43" s="19" t="str">
        <f t="shared" si="1"/>
        <v/>
      </c>
    </row>
    <row r="44" spans="1:10">
      <c r="A44" s="3">
        <v>0</v>
      </c>
      <c r="B44" t="s">
        <v>275</v>
      </c>
      <c r="C44" t="s">
        <v>8</v>
      </c>
      <c r="E44" s="3">
        <f t="shared" si="0"/>
        <v>3</v>
      </c>
      <c r="F44" s="5">
        <v>43873.625</v>
      </c>
      <c r="G44" s="19" t="str">
        <f t="shared" si="1"/>
        <v/>
      </c>
    </row>
    <row r="45" spans="1:10">
      <c r="A45" s="3">
        <v>0</v>
      </c>
      <c r="B45" t="s">
        <v>276</v>
      </c>
      <c r="C45" t="s">
        <v>8</v>
      </c>
      <c r="E45" s="3">
        <f t="shared" si="0"/>
        <v>4</v>
      </c>
      <c r="F45" s="5">
        <v>43874.625</v>
      </c>
      <c r="G45" s="19" t="str">
        <f t="shared" si="1"/>
        <v/>
      </c>
    </row>
    <row r="46" spans="1:10">
      <c r="A46" s="3">
        <v>0</v>
      </c>
      <c r="B46" t="s">
        <v>277</v>
      </c>
      <c r="C46" t="s">
        <v>8</v>
      </c>
      <c r="E46" s="3">
        <f t="shared" si="0"/>
        <v>5</v>
      </c>
      <c r="F46" s="5">
        <v>43875.625</v>
      </c>
      <c r="G46" s="19" t="str">
        <f t="shared" si="1"/>
        <v/>
      </c>
    </row>
    <row r="47" spans="1:10">
      <c r="A47" s="3">
        <v>0</v>
      </c>
      <c r="B47" t="s">
        <v>278</v>
      </c>
      <c r="C47" t="s">
        <v>8</v>
      </c>
      <c r="E47" s="3">
        <f t="shared" si="0"/>
        <v>6</v>
      </c>
      <c r="F47" s="5">
        <v>43876.625</v>
      </c>
      <c r="G47" s="19" t="str">
        <f t="shared" si="1"/>
        <v/>
      </c>
    </row>
    <row r="48" spans="1:10">
      <c r="A48" s="3">
        <v>0</v>
      </c>
      <c r="B48" t="s">
        <v>279</v>
      </c>
      <c r="C48" t="s">
        <v>8</v>
      </c>
      <c r="E48" s="3">
        <f t="shared" si="0"/>
        <v>7</v>
      </c>
      <c r="F48" s="5">
        <v>43877.625</v>
      </c>
      <c r="G48" s="19" t="str">
        <f t="shared" si="1"/>
        <v/>
      </c>
    </row>
    <row r="49" spans="1:10">
      <c r="A49" s="3">
        <v>0</v>
      </c>
      <c r="B49" t="s">
        <v>280</v>
      </c>
      <c r="C49" t="s">
        <v>8</v>
      </c>
      <c r="E49" s="3">
        <f t="shared" si="0"/>
        <v>1</v>
      </c>
      <c r="F49" s="5">
        <v>43878.625</v>
      </c>
      <c r="G49" s="19" t="str">
        <f t="shared" si="1"/>
        <v>W8</v>
      </c>
      <c r="H49">
        <f>SUM(A49:A55)</f>
        <v>1</v>
      </c>
      <c r="I49" s="28">
        <f>H49/H42-1</f>
        <v>-0.75</v>
      </c>
      <c r="J49" s="28">
        <f>A49/A42-1</f>
        <v>-1</v>
      </c>
    </row>
    <row r="50" spans="1:10">
      <c r="A50" s="3">
        <v>0</v>
      </c>
      <c r="B50" t="s">
        <v>281</v>
      </c>
      <c r="C50" t="s">
        <v>8</v>
      </c>
      <c r="E50" s="3">
        <f t="shared" si="0"/>
        <v>2</v>
      </c>
      <c r="F50" s="5">
        <v>43879.625</v>
      </c>
      <c r="G50" s="19" t="str">
        <f t="shared" si="1"/>
        <v/>
      </c>
    </row>
    <row r="51" spans="1:10">
      <c r="A51" s="3">
        <v>0</v>
      </c>
      <c r="B51" t="s">
        <v>282</v>
      </c>
      <c r="C51" t="s">
        <v>8</v>
      </c>
      <c r="E51" s="3">
        <f t="shared" si="0"/>
        <v>3</v>
      </c>
      <c r="F51" s="5">
        <v>43880.625</v>
      </c>
      <c r="G51" s="19" t="str">
        <f t="shared" si="1"/>
        <v/>
      </c>
    </row>
    <row r="52" spans="1:10">
      <c r="A52" s="3">
        <v>0</v>
      </c>
      <c r="B52" t="s">
        <v>283</v>
      </c>
      <c r="C52" t="s">
        <v>8</v>
      </c>
      <c r="E52" s="3">
        <f t="shared" si="0"/>
        <v>4</v>
      </c>
      <c r="F52" s="5">
        <v>43881.625</v>
      </c>
      <c r="G52" s="19" t="str">
        <f t="shared" si="1"/>
        <v/>
      </c>
    </row>
    <row r="53" spans="1:10">
      <c r="A53" s="3">
        <v>0</v>
      </c>
      <c r="B53" t="s">
        <v>284</v>
      </c>
      <c r="C53" t="s">
        <v>8</v>
      </c>
      <c r="E53" s="3">
        <f t="shared" si="0"/>
        <v>5</v>
      </c>
      <c r="F53" s="5">
        <v>43882.625</v>
      </c>
      <c r="G53" s="19" t="str">
        <f t="shared" si="1"/>
        <v/>
      </c>
    </row>
    <row r="54" spans="1:10">
      <c r="A54" s="3">
        <v>1</v>
      </c>
      <c r="B54" t="s">
        <v>13</v>
      </c>
      <c r="C54" t="s">
        <v>8</v>
      </c>
      <c r="E54" s="3">
        <f t="shared" si="0"/>
        <v>6</v>
      </c>
      <c r="F54" s="5">
        <v>43883.625</v>
      </c>
      <c r="G54" s="19" t="str">
        <f t="shared" si="1"/>
        <v/>
      </c>
    </row>
    <row r="55" spans="1:10">
      <c r="A55" s="3">
        <v>0</v>
      </c>
      <c r="B55" t="s">
        <v>285</v>
      </c>
      <c r="C55" t="s">
        <v>8</v>
      </c>
      <c r="E55" s="3">
        <f t="shared" si="0"/>
        <v>7</v>
      </c>
      <c r="F55" s="5">
        <v>43884.625</v>
      </c>
      <c r="G55" s="19" t="str">
        <f t="shared" si="1"/>
        <v/>
      </c>
    </row>
    <row r="56" spans="1:10">
      <c r="A56" s="3">
        <v>0</v>
      </c>
      <c r="B56" t="s">
        <v>286</v>
      </c>
      <c r="C56" t="s">
        <v>8</v>
      </c>
      <c r="E56" s="3">
        <f t="shared" si="0"/>
        <v>1</v>
      </c>
      <c r="F56" s="5">
        <v>43885.625</v>
      </c>
      <c r="G56" s="19" t="str">
        <f t="shared" si="1"/>
        <v>W9</v>
      </c>
      <c r="H56">
        <f>SUM(A56:A62)</f>
        <v>7</v>
      </c>
      <c r="I56" s="28">
        <f>H56/H49-1</f>
        <v>6</v>
      </c>
      <c r="J56" s="28" t="e">
        <f>A56/A49-1</f>
        <v>#DIV/0!</v>
      </c>
    </row>
    <row r="57" spans="1:10">
      <c r="A57" s="3">
        <v>1</v>
      </c>
      <c r="B57" t="s">
        <v>14</v>
      </c>
      <c r="C57" t="s">
        <v>8</v>
      </c>
      <c r="E57" s="3">
        <f t="shared" si="0"/>
        <v>2</v>
      </c>
      <c r="F57" s="5">
        <v>43886.625</v>
      </c>
      <c r="G57" s="19" t="str">
        <f t="shared" si="1"/>
        <v/>
      </c>
    </row>
    <row r="58" spans="1:10">
      <c r="A58" s="3">
        <v>0</v>
      </c>
      <c r="B58" t="s">
        <v>287</v>
      </c>
      <c r="C58" t="s">
        <v>8</v>
      </c>
      <c r="E58" s="3">
        <f t="shared" si="0"/>
        <v>3</v>
      </c>
      <c r="F58" s="5">
        <v>43887.625</v>
      </c>
      <c r="G58" s="19" t="str">
        <f t="shared" si="1"/>
        <v/>
      </c>
    </row>
    <row r="59" spans="1:10">
      <c r="A59" s="3">
        <v>1</v>
      </c>
      <c r="B59" t="s">
        <v>15</v>
      </c>
      <c r="C59" t="s">
        <v>8</v>
      </c>
      <c r="E59" s="3">
        <f t="shared" si="0"/>
        <v>4</v>
      </c>
      <c r="F59" s="5">
        <v>43888.625</v>
      </c>
      <c r="G59" s="19" t="str">
        <f t="shared" si="1"/>
        <v/>
      </c>
    </row>
    <row r="60" spans="1:10">
      <c r="A60" s="3">
        <v>3</v>
      </c>
      <c r="B60" t="s">
        <v>16</v>
      </c>
      <c r="C60" t="s">
        <v>8</v>
      </c>
      <c r="E60" s="3">
        <f t="shared" si="0"/>
        <v>5</v>
      </c>
      <c r="F60" s="5">
        <v>43889.625</v>
      </c>
      <c r="G60" s="19" t="str">
        <f t="shared" si="1"/>
        <v/>
      </c>
    </row>
    <row r="61" spans="1:10">
      <c r="A61" s="3">
        <v>1</v>
      </c>
      <c r="B61" t="s">
        <v>17</v>
      </c>
      <c r="C61" t="s">
        <v>8</v>
      </c>
      <c r="E61" s="3">
        <f t="shared" si="0"/>
        <v>6</v>
      </c>
      <c r="F61" s="5">
        <v>43890.625</v>
      </c>
      <c r="G61" s="19" t="str">
        <f t="shared" si="1"/>
        <v/>
      </c>
    </row>
    <row r="62" spans="1:10">
      <c r="A62" s="3">
        <v>1</v>
      </c>
      <c r="B62" t="s">
        <v>18</v>
      </c>
      <c r="C62" t="s">
        <v>8</v>
      </c>
      <c r="E62" s="3">
        <f t="shared" si="0"/>
        <v>7</v>
      </c>
      <c r="F62" s="5">
        <v>43891.625</v>
      </c>
      <c r="G62" s="19" t="str">
        <f t="shared" si="1"/>
        <v/>
      </c>
    </row>
    <row r="63" spans="1:10">
      <c r="A63" s="3">
        <v>0</v>
      </c>
      <c r="B63" t="s">
        <v>288</v>
      </c>
      <c r="C63" t="s">
        <v>8</v>
      </c>
      <c r="E63" s="3">
        <f t="shared" si="0"/>
        <v>1</v>
      </c>
      <c r="F63" s="5">
        <v>43892.625</v>
      </c>
      <c r="G63" s="19" t="str">
        <f t="shared" si="1"/>
        <v>W10</v>
      </c>
      <c r="H63">
        <f>SUM(A63:A69)</f>
        <v>34</v>
      </c>
      <c r="I63" s="28">
        <f>H63/H56-1</f>
        <v>3.8571428571428568</v>
      </c>
      <c r="J63" s="28" t="e">
        <f>A63/A56-1</f>
        <v>#DIV/0!</v>
      </c>
    </row>
    <row r="64" spans="1:10">
      <c r="A64" s="3">
        <v>4</v>
      </c>
      <c r="B64" t="s">
        <v>19</v>
      </c>
      <c r="C64" t="s">
        <v>8</v>
      </c>
      <c r="E64" s="3">
        <f t="shared" si="0"/>
        <v>2</v>
      </c>
      <c r="F64" s="5">
        <v>43893.625</v>
      </c>
      <c r="G64" s="19" t="str">
        <f t="shared" si="1"/>
        <v/>
      </c>
    </row>
    <row r="65" spans="1:10">
      <c r="A65" s="3">
        <v>6</v>
      </c>
      <c r="B65" t="s">
        <v>20</v>
      </c>
      <c r="C65" t="s">
        <v>8</v>
      </c>
      <c r="E65" s="3">
        <f t="shared" si="0"/>
        <v>3</v>
      </c>
      <c r="F65" s="5">
        <v>43894.625</v>
      </c>
      <c r="G65" s="19" t="str">
        <f t="shared" si="1"/>
        <v/>
      </c>
    </row>
    <row r="66" spans="1:10">
      <c r="A66" s="3">
        <v>1</v>
      </c>
      <c r="B66" t="s">
        <v>21</v>
      </c>
      <c r="C66" t="s">
        <v>8</v>
      </c>
      <c r="E66" s="3">
        <f t="shared" si="0"/>
        <v>4</v>
      </c>
      <c r="F66" s="5">
        <v>43895.625</v>
      </c>
      <c r="G66" s="19" t="str">
        <f t="shared" si="1"/>
        <v/>
      </c>
    </row>
    <row r="67" spans="1:10">
      <c r="A67" s="3">
        <v>7</v>
      </c>
      <c r="B67" t="s">
        <v>22</v>
      </c>
      <c r="C67" t="s">
        <v>8</v>
      </c>
      <c r="E67" s="3">
        <f t="shared" ref="E67:E130" si="2">WEEKDAY(F67,2)</f>
        <v>5</v>
      </c>
      <c r="F67" s="5">
        <v>43896.625</v>
      </c>
      <c r="G67" s="19" t="str">
        <f t="shared" ref="G67:G130" si="3">IF(WEEKDAY(F67,2)=1,"W"&amp;WEEKNUM(F67,14),"")</f>
        <v/>
      </c>
    </row>
    <row r="68" spans="1:10">
      <c r="A68" s="3">
        <v>7</v>
      </c>
      <c r="B68" t="s">
        <v>23</v>
      </c>
      <c r="C68" t="s">
        <v>8</v>
      </c>
      <c r="E68" s="3">
        <f t="shared" si="2"/>
        <v>6</v>
      </c>
      <c r="F68" s="5">
        <v>43897.625</v>
      </c>
      <c r="G68" s="19" t="str">
        <f t="shared" si="3"/>
        <v/>
      </c>
    </row>
    <row r="69" spans="1:10">
      <c r="A69" s="3">
        <v>9</v>
      </c>
      <c r="B69" t="s">
        <v>24</v>
      </c>
      <c r="C69" t="s">
        <v>8</v>
      </c>
      <c r="E69" s="3">
        <f t="shared" si="2"/>
        <v>7</v>
      </c>
      <c r="F69" s="5">
        <v>43898.625</v>
      </c>
      <c r="G69" s="19" t="str">
        <f t="shared" si="3"/>
        <v/>
      </c>
    </row>
    <row r="70" spans="1:10">
      <c r="A70" s="3">
        <v>17</v>
      </c>
      <c r="B70" t="s">
        <v>25</v>
      </c>
      <c r="C70" t="s">
        <v>8</v>
      </c>
      <c r="E70" s="3">
        <f t="shared" si="2"/>
        <v>1</v>
      </c>
      <c r="F70" s="5">
        <v>43899.625</v>
      </c>
      <c r="G70" s="19" t="str">
        <f t="shared" si="3"/>
        <v>W11</v>
      </c>
      <c r="H70">
        <f>SUM(A70:A76)</f>
        <v>317</v>
      </c>
      <c r="I70" s="28">
        <f>H70/H63-1</f>
        <v>8.3235294117647065</v>
      </c>
      <c r="J70" s="28" t="e">
        <f>A70/A63-1</f>
        <v>#DIV/0!</v>
      </c>
    </row>
    <row r="71" spans="1:10">
      <c r="A71" s="3">
        <v>54</v>
      </c>
      <c r="B71" t="s">
        <v>26</v>
      </c>
      <c r="C71" t="s">
        <v>8</v>
      </c>
      <c r="E71" s="3">
        <f t="shared" si="2"/>
        <v>2</v>
      </c>
      <c r="F71" s="5">
        <v>43900.625</v>
      </c>
      <c r="G71" s="19" t="str">
        <f t="shared" si="3"/>
        <v/>
      </c>
    </row>
    <row r="72" spans="1:10">
      <c r="A72" s="3">
        <v>76</v>
      </c>
      <c r="B72" t="s">
        <v>27</v>
      </c>
      <c r="C72" t="s">
        <v>8</v>
      </c>
      <c r="E72" s="3">
        <f t="shared" si="2"/>
        <v>3</v>
      </c>
      <c r="F72" s="5">
        <v>43901.625</v>
      </c>
      <c r="G72" s="19" t="str">
        <f t="shared" si="3"/>
        <v/>
      </c>
    </row>
    <row r="73" spans="1:10">
      <c r="A73" s="3">
        <v>60</v>
      </c>
      <c r="B73" t="s">
        <v>28</v>
      </c>
      <c r="C73" t="s">
        <v>8</v>
      </c>
      <c r="E73" s="3">
        <f t="shared" si="2"/>
        <v>4</v>
      </c>
      <c r="F73" s="5">
        <v>43902.625</v>
      </c>
      <c r="G73" s="19" t="str">
        <f t="shared" si="3"/>
        <v/>
      </c>
    </row>
    <row r="74" spans="1:10">
      <c r="A74" s="3">
        <v>28</v>
      </c>
      <c r="B74" t="s">
        <v>29</v>
      </c>
      <c r="C74" t="s">
        <v>8</v>
      </c>
      <c r="E74" s="3">
        <f t="shared" si="2"/>
        <v>5</v>
      </c>
      <c r="F74" s="5">
        <v>43903.625</v>
      </c>
      <c r="G74" s="19" t="str">
        <f t="shared" si="3"/>
        <v/>
      </c>
    </row>
    <row r="75" spans="1:10">
      <c r="A75" s="3">
        <v>29</v>
      </c>
      <c r="B75" t="s">
        <v>30</v>
      </c>
      <c r="C75" t="s">
        <v>8</v>
      </c>
      <c r="E75" s="3">
        <f t="shared" si="2"/>
        <v>6</v>
      </c>
      <c r="F75" s="5">
        <v>43904.625</v>
      </c>
      <c r="G75" s="19" t="str">
        <f t="shared" si="3"/>
        <v/>
      </c>
    </row>
    <row r="76" spans="1:10">
      <c r="A76" s="3">
        <v>53</v>
      </c>
      <c r="B76" t="s">
        <v>31</v>
      </c>
      <c r="C76" t="s">
        <v>8</v>
      </c>
      <c r="E76" s="3">
        <f t="shared" si="2"/>
        <v>7</v>
      </c>
      <c r="F76" s="5">
        <v>43905.625</v>
      </c>
      <c r="G76" s="19" t="str">
        <f t="shared" si="3"/>
        <v/>
      </c>
    </row>
    <row r="77" spans="1:10">
      <c r="A77" s="3">
        <v>52</v>
      </c>
      <c r="B77" t="s">
        <v>32</v>
      </c>
      <c r="C77" t="s">
        <v>8</v>
      </c>
      <c r="E77" s="3">
        <f t="shared" si="2"/>
        <v>1</v>
      </c>
      <c r="F77" s="5">
        <v>43906.625</v>
      </c>
      <c r="G77" s="19" t="str">
        <f t="shared" si="3"/>
        <v>W12</v>
      </c>
      <c r="H77">
        <f>SUM(A77:A83)</f>
        <v>541</v>
      </c>
      <c r="I77" s="28">
        <f>H77/H70-1</f>
        <v>0.70662460567823349</v>
      </c>
      <c r="J77" s="28">
        <f>A77/A70-1</f>
        <v>2.0588235294117645</v>
      </c>
    </row>
    <row r="78" spans="1:10">
      <c r="A78" s="3">
        <v>47</v>
      </c>
      <c r="B78" t="s">
        <v>33</v>
      </c>
      <c r="C78" t="s">
        <v>8</v>
      </c>
      <c r="E78" s="3">
        <f t="shared" si="2"/>
        <v>2</v>
      </c>
      <c r="F78" s="5">
        <v>43907.625</v>
      </c>
      <c r="G78" s="19" t="str">
        <f t="shared" si="3"/>
        <v/>
      </c>
    </row>
    <row r="79" spans="1:10">
      <c r="A79" s="3">
        <v>90</v>
      </c>
      <c r="B79" t="s">
        <v>34</v>
      </c>
      <c r="C79" t="s">
        <v>8</v>
      </c>
      <c r="E79" s="3">
        <f t="shared" si="2"/>
        <v>3</v>
      </c>
      <c r="F79" s="5">
        <v>43908.625</v>
      </c>
      <c r="G79" s="19" t="str">
        <f t="shared" si="3"/>
        <v/>
      </c>
    </row>
    <row r="80" spans="1:10">
      <c r="A80" s="3">
        <v>100</v>
      </c>
      <c r="B80" t="s">
        <v>35</v>
      </c>
      <c r="C80" t="s">
        <v>8</v>
      </c>
      <c r="E80" s="3">
        <f t="shared" si="2"/>
        <v>4</v>
      </c>
      <c r="F80" s="5">
        <v>43909.625</v>
      </c>
      <c r="G80" s="19" t="str">
        <f t="shared" si="3"/>
        <v/>
      </c>
    </row>
    <row r="81" spans="1:10">
      <c r="A81" s="3">
        <v>87</v>
      </c>
      <c r="B81" t="s">
        <v>36</v>
      </c>
      <c r="C81" t="s">
        <v>8</v>
      </c>
      <c r="E81" s="3">
        <f t="shared" si="2"/>
        <v>5</v>
      </c>
      <c r="F81" s="5">
        <v>43910.625</v>
      </c>
      <c r="G81" s="19" t="str">
        <f t="shared" si="3"/>
        <v/>
      </c>
    </row>
    <row r="82" spans="1:10">
      <c r="A82" s="3">
        <v>87</v>
      </c>
      <c r="B82" t="s">
        <v>37</v>
      </c>
      <c r="C82" t="s">
        <v>8</v>
      </c>
      <c r="E82" s="3">
        <f t="shared" si="2"/>
        <v>6</v>
      </c>
      <c r="F82" s="5">
        <v>43911.625</v>
      </c>
      <c r="G82" s="19" t="str">
        <f t="shared" si="3"/>
        <v/>
      </c>
    </row>
    <row r="83" spans="1:10">
      <c r="A83" s="3">
        <v>78</v>
      </c>
      <c r="B83" t="s">
        <v>38</v>
      </c>
      <c r="C83" t="s">
        <v>8</v>
      </c>
      <c r="E83" s="3">
        <f t="shared" si="2"/>
        <v>7</v>
      </c>
      <c r="F83" s="5">
        <v>43912.625</v>
      </c>
      <c r="G83" s="19" t="str">
        <f t="shared" si="3"/>
        <v/>
      </c>
    </row>
    <row r="84" spans="1:10">
      <c r="A84" s="3">
        <v>84</v>
      </c>
      <c r="B84" t="s">
        <v>39</v>
      </c>
      <c r="C84" t="s">
        <v>8</v>
      </c>
      <c r="E84" s="3">
        <f t="shared" si="2"/>
        <v>1</v>
      </c>
      <c r="F84" s="5">
        <v>43913.625</v>
      </c>
      <c r="G84" s="19" t="str">
        <f t="shared" si="3"/>
        <v>W13</v>
      </c>
      <c r="H84">
        <f>SUM(A84:A90)</f>
        <v>643</v>
      </c>
      <c r="I84" s="28">
        <f>H84/H77-1</f>
        <v>0.18853974121996298</v>
      </c>
      <c r="J84" s="28">
        <f>A84/A77-1</f>
        <v>0.61538461538461542</v>
      </c>
    </row>
    <row r="85" spans="1:10">
      <c r="A85" s="3">
        <v>99</v>
      </c>
      <c r="B85" t="s">
        <v>40</v>
      </c>
      <c r="C85" t="s">
        <v>8</v>
      </c>
      <c r="E85" s="3">
        <f t="shared" si="2"/>
        <v>2</v>
      </c>
      <c r="F85" s="5">
        <v>43914.625</v>
      </c>
      <c r="G85" s="19" t="str">
        <f t="shared" si="3"/>
        <v/>
      </c>
    </row>
    <row r="86" spans="1:10">
      <c r="A86" s="3">
        <v>104</v>
      </c>
      <c r="B86" t="s">
        <v>41</v>
      </c>
      <c r="C86" t="s">
        <v>8</v>
      </c>
      <c r="E86" s="3">
        <f t="shared" si="2"/>
        <v>3</v>
      </c>
      <c r="F86" s="5">
        <v>43915.625</v>
      </c>
      <c r="G86" s="19" t="str">
        <f t="shared" si="3"/>
        <v/>
      </c>
    </row>
    <row r="87" spans="1:10">
      <c r="A87" s="3">
        <v>114</v>
      </c>
      <c r="B87" t="s">
        <v>42</v>
      </c>
      <c r="C87" t="s">
        <v>8</v>
      </c>
      <c r="E87" s="3">
        <f t="shared" si="2"/>
        <v>4</v>
      </c>
      <c r="F87" s="5">
        <v>43916.625</v>
      </c>
      <c r="G87" s="19" t="str">
        <f t="shared" si="3"/>
        <v/>
      </c>
    </row>
    <row r="88" spans="1:10">
      <c r="A88" s="3">
        <v>95</v>
      </c>
      <c r="B88" t="s">
        <v>43</v>
      </c>
      <c r="C88" t="s">
        <v>8</v>
      </c>
      <c r="E88" s="3">
        <f t="shared" si="2"/>
        <v>5</v>
      </c>
      <c r="F88" s="5">
        <v>43917.625</v>
      </c>
      <c r="G88" s="19" t="str">
        <f t="shared" si="3"/>
        <v/>
      </c>
    </row>
    <row r="89" spans="1:10">
      <c r="A89" s="3">
        <v>77</v>
      </c>
      <c r="B89" t="s">
        <v>44</v>
      </c>
      <c r="C89" t="s">
        <v>8</v>
      </c>
      <c r="E89" s="3">
        <f t="shared" si="2"/>
        <v>6</v>
      </c>
      <c r="F89" s="5">
        <v>43918.625</v>
      </c>
      <c r="G89" s="19" t="str">
        <f t="shared" si="3"/>
        <v/>
      </c>
    </row>
    <row r="90" spans="1:10">
      <c r="A90" s="3">
        <v>70</v>
      </c>
      <c r="B90" t="s">
        <v>45</v>
      </c>
      <c r="C90" t="s">
        <v>8</v>
      </c>
      <c r="E90" s="3">
        <f t="shared" si="2"/>
        <v>7</v>
      </c>
      <c r="F90" s="5">
        <v>43919.625</v>
      </c>
      <c r="G90" s="19" t="str">
        <f t="shared" si="3"/>
        <v/>
      </c>
    </row>
    <row r="91" spans="1:10">
      <c r="A91" s="3">
        <v>129</v>
      </c>
      <c r="B91" t="s">
        <v>46</v>
      </c>
      <c r="C91" t="s">
        <v>8</v>
      </c>
      <c r="E91" s="3">
        <f t="shared" si="2"/>
        <v>1</v>
      </c>
      <c r="F91" s="5">
        <v>43920.625</v>
      </c>
      <c r="G91" s="19" t="str">
        <f t="shared" si="3"/>
        <v>W14</v>
      </c>
      <c r="H91">
        <f>SUM(A91:A97)</f>
        <v>966</v>
      </c>
      <c r="I91" s="28">
        <f>H91/H84-1</f>
        <v>0.50233281493001547</v>
      </c>
      <c r="J91" s="28">
        <f>A91/A84-1</f>
        <v>0.53571428571428581</v>
      </c>
    </row>
    <row r="92" spans="1:10">
      <c r="A92" s="3">
        <v>125</v>
      </c>
      <c r="B92" t="s">
        <v>47</v>
      </c>
      <c r="C92" t="s">
        <v>8</v>
      </c>
      <c r="E92" s="3">
        <f t="shared" si="2"/>
        <v>2</v>
      </c>
      <c r="F92" s="5">
        <v>43921.625</v>
      </c>
      <c r="G92" s="19" t="str">
        <f t="shared" si="3"/>
        <v/>
      </c>
    </row>
    <row r="93" spans="1:10">
      <c r="A93" s="3">
        <v>149</v>
      </c>
      <c r="B93" t="s">
        <v>48</v>
      </c>
      <c r="C93" t="s">
        <v>8</v>
      </c>
      <c r="E93" s="3">
        <f t="shared" si="2"/>
        <v>3</v>
      </c>
      <c r="F93" s="5">
        <v>43922.625</v>
      </c>
      <c r="G93" s="19" t="str">
        <f t="shared" si="3"/>
        <v/>
      </c>
    </row>
    <row r="94" spans="1:10">
      <c r="A94" s="3">
        <v>161</v>
      </c>
      <c r="B94" t="s">
        <v>49</v>
      </c>
      <c r="C94" t="s">
        <v>8</v>
      </c>
      <c r="E94" s="3">
        <f t="shared" si="2"/>
        <v>4</v>
      </c>
      <c r="F94" s="5">
        <v>43923.625</v>
      </c>
      <c r="G94" s="19" t="str">
        <f t="shared" si="3"/>
        <v/>
      </c>
    </row>
    <row r="95" spans="1:10">
      <c r="A95" s="3">
        <v>199</v>
      </c>
      <c r="B95" t="s">
        <v>50</v>
      </c>
      <c r="C95" t="s">
        <v>8</v>
      </c>
      <c r="E95" s="3">
        <f t="shared" si="2"/>
        <v>5</v>
      </c>
      <c r="F95" s="5">
        <v>43924.625</v>
      </c>
      <c r="G95" s="19" t="str">
        <f t="shared" si="3"/>
        <v/>
      </c>
    </row>
    <row r="96" spans="1:10">
      <c r="A96" s="3">
        <v>81</v>
      </c>
      <c r="B96" t="s">
        <v>51</v>
      </c>
      <c r="C96" t="s">
        <v>8</v>
      </c>
      <c r="E96" s="3">
        <f t="shared" si="2"/>
        <v>6</v>
      </c>
      <c r="F96" s="5">
        <v>43925.625</v>
      </c>
      <c r="G96" s="19" t="str">
        <f t="shared" si="3"/>
        <v/>
      </c>
    </row>
    <row r="97" spans="1:10">
      <c r="A97" s="3">
        <v>122</v>
      </c>
      <c r="B97" s="1" t="s">
        <v>52</v>
      </c>
      <c r="C97" t="s">
        <v>8</v>
      </c>
      <c r="D97" s="1"/>
      <c r="E97" s="3">
        <f t="shared" si="2"/>
        <v>7</v>
      </c>
      <c r="F97" s="6">
        <v>43926.625</v>
      </c>
      <c r="G97" s="19" t="str">
        <f t="shared" si="3"/>
        <v/>
      </c>
    </row>
    <row r="98" spans="1:10">
      <c r="A98" s="3">
        <v>209</v>
      </c>
      <c r="B98" t="s">
        <v>53</v>
      </c>
      <c r="C98" t="s">
        <v>8</v>
      </c>
      <c r="E98" s="3">
        <f t="shared" si="2"/>
        <v>1</v>
      </c>
      <c r="F98" s="5">
        <v>43927.625</v>
      </c>
      <c r="G98" s="19" t="str">
        <f t="shared" si="3"/>
        <v>W15</v>
      </c>
      <c r="H98">
        <f>SUM(A98:A104)</f>
        <v>931</v>
      </c>
      <c r="I98" s="28">
        <f>H98/H91-1</f>
        <v>-3.6231884057971064E-2</v>
      </c>
      <c r="J98" s="28">
        <f>A98/A91-1</f>
        <v>0.62015503875968991</v>
      </c>
    </row>
    <row r="99" spans="1:10">
      <c r="A99" s="3">
        <v>200</v>
      </c>
      <c r="B99" t="s">
        <v>54</v>
      </c>
      <c r="C99" t="s">
        <v>8</v>
      </c>
      <c r="E99" s="3">
        <f t="shared" si="2"/>
        <v>2</v>
      </c>
      <c r="F99" s="5">
        <v>43928.625</v>
      </c>
      <c r="G99" s="19" t="str">
        <f t="shared" si="3"/>
        <v/>
      </c>
    </row>
    <row r="100" spans="1:10">
      <c r="A100" s="3">
        <v>138</v>
      </c>
      <c r="B100" t="s">
        <v>55</v>
      </c>
      <c r="C100" t="s">
        <v>8</v>
      </c>
      <c r="E100" s="3">
        <f t="shared" si="2"/>
        <v>3</v>
      </c>
      <c r="F100" s="5">
        <v>43929.625</v>
      </c>
      <c r="G100" s="19" t="str">
        <f t="shared" si="3"/>
        <v/>
      </c>
    </row>
    <row r="101" spans="1:10">
      <c r="A101" s="3">
        <v>158</v>
      </c>
      <c r="B101" t="s">
        <v>56</v>
      </c>
      <c r="C101" t="s">
        <v>8</v>
      </c>
      <c r="E101" s="3">
        <f t="shared" si="2"/>
        <v>4</v>
      </c>
      <c r="F101" s="5">
        <v>43930.625</v>
      </c>
      <c r="G101" s="19" t="str">
        <f t="shared" si="3"/>
        <v/>
      </c>
    </row>
    <row r="102" spans="1:10">
      <c r="A102" s="3">
        <v>71</v>
      </c>
      <c r="B102" t="s">
        <v>57</v>
      </c>
      <c r="C102" t="s">
        <v>8</v>
      </c>
      <c r="E102" s="3">
        <f t="shared" si="2"/>
        <v>5</v>
      </c>
      <c r="F102" s="5">
        <v>43931.625</v>
      </c>
      <c r="G102" s="19" t="str">
        <f t="shared" si="3"/>
        <v/>
      </c>
    </row>
    <row r="103" spans="1:10">
      <c r="A103" s="3">
        <v>75</v>
      </c>
      <c r="B103" t="s">
        <v>58</v>
      </c>
      <c r="C103" t="s">
        <v>8</v>
      </c>
      <c r="E103" s="3">
        <f t="shared" si="2"/>
        <v>6</v>
      </c>
      <c r="F103" s="5">
        <v>43932.625</v>
      </c>
      <c r="G103" s="19" t="str">
        <f t="shared" si="3"/>
        <v/>
      </c>
    </row>
    <row r="104" spans="1:10">
      <c r="A104" s="3">
        <v>80</v>
      </c>
      <c r="B104" t="s">
        <v>59</v>
      </c>
      <c r="C104" t="s">
        <v>8</v>
      </c>
      <c r="E104" s="3">
        <f t="shared" si="2"/>
        <v>7</v>
      </c>
      <c r="F104" s="5">
        <v>43933.625</v>
      </c>
      <c r="G104" s="19" t="str">
        <f t="shared" si="3"/>
        <v/>
      </c>
    </row>
    <row r="105" spans="1:10">
      <c r="A105" s="3">
        <v>117</v>
      </c>
      <c r="B105" t="s">
        <v>60</v>
      </c>
      <c r="C105" t="s">
        <v>8</v>
      </c>
      <c r="E105" s="3">
        <f t="shared" si="2"/>
        <v>1</v>
      </c>
      <c r="F105" s="5">
        <v>43934.625</v>
      </c>
      <c r="G105" s="19" t="str">
        <f t="shared" si="3"/>
        <v>W16</v>
      </c>
      <c r="H105">
        <f>SUM(A105:A111)</f>
        <v>790</v>
      </c>
      <c r="I105" s="28">
        <f>H105/H98-1</f>
        <v>-0.15145005370569276</v>
      </c>
      <c r="J105" s="28">
        <f>A105/A98-1</f>
        <v>-0.44019138755980858</v>
      </c>
    </row>
    <row r="106" spans="1:10">
      <c r="A106" s="3">
        <v>175</v>
      </c>
      <c r="B106" t="s">
        <v>61</v>
      </c>
      <c r="C106" t="s">
        <v>8</v>
      </c>
      <c r="E106" s="3">
        <f t="shared" si="2"/>
        <v>2</v>
      </c>
      <c r="F106" s="5">
        <v>43935.625</v>
      </c>
      <c r="G106" s="19" t="str">
        <f t="shared" si="3"/>
        <v/>
      </c>
    </row>
    <row r="107" spans="1:10">
      <c r="A107" s="3">
        <v>130</v>
      </c>
      <c r="B107" t="s">
        <v>62</v>
      </c>
      <c r="C107" t="s">
        <v>8</v>
      </c>
      <c r="E107" s="3">
        <f t="shared" si="2"/>
        <v>3</v>
      </c>
      <c r="F107" s="5">
        <v>43936.625</v>
      </c>
      <c r="G107" s="19" t="str">
        <f t="shared" si="3"/>
        <v/>
      </c>
    </row>
    <row r="108" spans="1:10">
      <c r="A108" s="3">
        <v>120</v>
      </c>
      <c r="B108" t="s">
        <v>63</v>
      </c>
      <c r="C108" t="s">
        <v>8</v>
      </c>
      <c r="E108" s="3">
        <f t="shared" si="2"/>
        <v>4</v>
      </c>
      <c r="F108" s="5">
        <v>43937.625</v>
      </c>
      <c r="G108" s="19" t="str">
        <f t="shared" si="3"/>
        <v/>
      </c>
    </row>
    <row r="109" spans="1:10">
      <c r="A109" s="3">
        <v>125</v>
      </c>
      <c r="B109" t="s">
        <v>64</v>
      </c>
      <c r="C109" t="s">
        <v>8</v>
      </c>
      <c r="E109" s="3">
        <f t="shared" si="2"/>
        <v>5</v>
      </c>
      <c r="F109" s="5">
        <v>43938.625</v>
      </c>
      <c r="G109" s="19" t="str">
        <f t="shared" si="3"/>
        <v/>
      </c>
    </row>
    <row r="110" spans="1:10">
      <c r="A110" s="3">
        <v>56</v>
      </c>
      <c r="B110" t="s">
        <v>65</v>
      </c>
      <c r="C110" t="s">
        <v>8</v>
      </c>
      <c r="E110" s="3">
        <f t="shared" si="2"/>
        <v>6</v>
      </c>
      <c r="F110" s="5">
        <v>43939.625</v>
      </c>
      <c r="G110" s="19" t="str">
        <f t="shared" si="3"/>
        <v/>
      </c>
    </row>
    <row r="111" spans="1:10">
      <c r="A111" s="3">
        <v>67</v>
      </c>
      <c r="B111" t="s">
        <v>66</v>
      </c>
      <c r="C111" t="s">
        <v>8</v>
      </c>
      <c r="E111" s="3">
        <f t="shared" si="2"/>
        <v>7</v>
      </c>
      <c r="F111" s="5">
        <v>43940.625</v>
      </c>
      <c r="G111" s="19" t="str">
        <f t="shared" si="3"/>
        <v/>
      </c>
    </row>
    <row r="112" spans="1:10">
      <c r="A112" s="3">
        <v>143</v>
      </c>
      <c r="B112" t="s">
        <v>67</v>
      </c>
      <c r="C112" t="s">
        <v>8</v>
      </c>
      <c r="E112" s="3">
        <f t="shared" si="2"/>
        <v>1</v>
      </c>
      <c r="F112" s="5">
        <v>43941.625</v>
      </c>
      <c r="G112" s="19" t="str">
        <f t="shared" si="3"/>
        <v>W17</v>
      </c>
      <c r="H112">
        <f>SUM(A112:A118)</f>
        <v>736</v>
      </c>
      <c r="I112" s="28">
        <f>H112/H105-1</f>
        <v>-6.8354430379746867E-2</v>
      </c>
      <c r="J112" s="28">
        <f>A112/A105-1</f>
        <v>0.22222222222222232</v>
      </c>
    </row>
    <row r="113" spans="1:10">
      <c r="A113" s="3">
        <v>112</v>
      </c>
      <c r="B113" t="s">
        <v>68</v>
      </c>
      <c r="C113" t="s">
        <v>8</v>
      </c>
      <c r="E113" s="3">
        <f t="shared" si="2"/>
        <v>2</v>
      </c>
      <c r="F113" s="5">
        <v>43942.625</v>
      </c>
      <c r="G113" s="19" t="str">
        <f t="shared" si="3"/>
        <v/>
      </c>
    </row>
    <row r="114" spans="1:10">
      <c r="A114" s="3">
        <v>124</v>
      </c>
      <c r="B114" t="s">
        <v>69</v>
      </c>
      <c r="C114" t="s">
        <v>8</v>
      </c>
      <c r="E114" s="3">
        <f t="shared" si="2"/>
        <v>3</v>
      </c>
      <c r="F114" s="5">
        <v>43943.625</v>
      </c>
      <c r="G114" s="19" t="str">
        <f t="shared" si="3"/>
        <v/>
      </c>
    </row>
    <row r="115" spans="1:10">
      <c r="A115" s="3">
        <v>116</v>
      </c>
      <c r="B115" t="s">
        <v>70</v>
      </c>
      <c r="C115" t="s">
        <v>8</v>
      </c>
      <c r="E115" s="3">
        <f t="shared" si="2"/>
        <v>4</v>
      </c>
      <c r="F115" s="5">
        <v>43944.625</v>
      </c>
      <c r="G115" s="19" t="str">
        <f t="shared" si="3"/>
        <v/>
      </c>
    </row>
    <row r="116" spans="1:10">
      <c r="A116" s="3">
        <v>92</v>
      </c>
      <c r="B116" t="s">
        <v>71</v>
      </c>
      <c r="C116" t="s">
        <v>8</v>
      </c>
      <c r="E116" s="3">
        <f t="shared" si="2"/>
        <v>5</v>
      </c>
      <c r="F116" s="5">
        <v>43945.625</v>
      </c>
      <c r="G116" s="19" t="str">
        <f t="shared" si="3"/>
        <v/>
      </c>
    </row>
    <row r="117" spans="1:10">
      <c r="A117" s="3">
        <v>76</v>
      </c>
      <c r="B117" t="s">
        <v>72</v>
      </c>
      <c r="C117" t="s">
        <v>8</v>
      </c>
      <c r="E117" s="3">
        <f t="shared" si="2"/>
        <v>6</v>
      </c>
      <c r="F117" s="5">
        <v>43946.625</v>
      </c>
      <c r="G117" s="19" t="str">
        <f t="shared" si="3"/>
        <v/>
      </c>
    </row>
    <row r="118" spans="1:10">
      <c r="A118" s="3">
        <v>73</v>
      </c>
      <c r="B118" t="s">
        <v>73</v>
      </c>
      <c r="C118" t="s">
        <v>8</v>
      </c>
      <c r="E118" s="3">
        <f t="shared" si="2"/>
        <v>7</v>
      </c>
      <c r="F118" s="5">
        <v>43947.625</v>
      </c>
      <c r="G118" s="19" t="str">
        <f t="shared" si="3"/>
        <v/>
      </c>
    </row>
    <row r="119" spans="1:10">
      <c r="A119" s="3">
        <v>123</v>
      </c>
      <c r="B119" t="s">
        <v>74</v>
      </c>
      <c r="C119" t="s">
        <v>8</v>
      </c>
      <c r="E119" s="3">
        <f t="shared" si="2"/>
        <v>1</v>
      </c>
      <c r="F119" s="5">
        <v>43948.625</v>
      </c>
      <c r="G119" s="19" t="str">
        <f t="shared" si="3"/>
        <v>W18</v>
      </c>
      <c r="H119">
        <f>SUM(A119:A125)</f>
        <v>623</v>
      </c>
      <c r="I119" s="28">
        <f>H119/H112-1</f>
        <v>-0.15353260869565222</v>
      </c>
      <c r="J119" s="28">
        <f>A119/A112-1</f>
        <v>-0.1398601398601399</v>
      </c>
    </row>
    <row r="120" spans="1:10">
      <c r="A120" s="3">
        <v>139</v>
      </c>
      <c r="B120" t="s">
        <v>75</v>
      </c>
      <c r="C120" t="s">
        <v>8</v>
      </c>
      <c r="E120" s="3">
        <f t="shared" si="2"/>
        <v>2</v>
      </c>
      <c r="F120" s="5">
        <v>43949.625</v>
      </c>
      <c r="G120" s="19" t="str">
        <f t="shared" si="3"/>
        <v/>
      </c>
    </row>
    <row r="121" spans="1:10">
      <c r="A121" s="3">
        <v>108</v>
      </c>
      <c r="B121" t="s">
        <v>76</v>
      </c>
      <c r="C121" t="s">
        <v>8</v>
      </c>
      <c r="E121" s="3">
        <f t="shared" si="2"/>
        <v>3</v>
      </c>
      <c r="F121" s="5">
        <v>43950.625</v>
      </c>
      <c r="G121" s="19" t="str">
        <f t="shared" si="3"/>
        <v/>
      </c>
    </row>
    <row r="122" spans="1:10">
      <c r="A122" s="3">
        <v>86</v>
      </c>
      <c r="B122" t="s">
        <v>77</v>
      </c>
      <c r="C122" t="s">
        <v>8</v>
      </c>
      <c r="E122" s="3">
        <f t="shared" si="2"/>
        <v>4</v>
      </c>
      <c r="F122" s="5">
        <v>43951.625</v>
      </c>
      <c r="G122" s="19" t="str">
        <f t="shared" si="3"/>
        <v/>
      </c>
    </row>
    <row r="123" spans="1:10">
      <c r="A123" s="3">
        <v>48</v>
      </c>
      <c r="B123" t="s">
        <v>78</v>
      </c>
      <c r="C123" t="s">
        <v>8</v>
      </c>
      <c r="E123" s="3">
        <f t="shared" si="2"/>
        <v>5</v>
      </c>
      <c r="F123" s="5">
        <v>43952.625</v>
      </c>
      <c r="G123" s="19" t="str">
        <f t="shared" si="3"/>
        <v/>
      </c>
    </row>
    <row r="124" spans="1:10">
      <c r="A124" s="3">
        <v>58</v>
      </c>
      <c r="B124" t="s">
        <v>79</v>
      </c>
      <c r="C124" t="s">
        <v>8</v>
      </c>
      <c r="E124" s="3">
        <f t="shared" si="2"/>
        <v>6</v>
      </c>
      <c r="F124" s="5">
        <v>43953.625</v>
      </c>
      <c r="G124" s="19" t="str">
        <f t="shared" si="3"/>
        <v/>
      </c>
    </row>
    <row r="125" spans="1:10">
      <c r="A125" s="3">
        <v>61</v>
      </c>
      <c r="B125" t="s">
        <v>80</v>
      </c>
      <c r="C125" t="s">
        <v>8</v>
      </c>
      <c r="E125" s="3">
        <f t="shared" si="2"/>
        <v>7</v>
      </c>
      <c r="F125" s="5">
        <v>43954.625</v>
      </c>
      <c r="G125" s="19" t="str">
        <f t="shared" si="3"/>
        <v/>
      </c>
    </row>
    <row r="126" spans="1:10">
      <c r="A126" s="3">
        <v>133</v>
      </c>
      <c r="B126" t="s">
        <v>81</v>
      </c>
      <c r="C126" t="s">
        <v>8</v>
      </c>
      <c r="E126" s="3">
        <f t="shared" si="2"/>
        <v>1</v>
      </c>
      <c r="F126" s="5">
        <v>43955.625</v>
      </c>
      <c r="G126" s="19" t="str">
        <f t="shared" si="3"/>
        <v>W19</v>
      </c>
      <c r="H126">
        <f>SUM(A126:A132)</f>
        <v>617</v>
      </c>
      <c r="I126" s="28">
        <f>H126/H119-1</f>
        <v>-9.6308186195827039E-3</v>
      </c>
      <c r="J126" s="28">
        <f>A126/A119-1</f>
        <v>8.1300813008130079E-2</v>
      </c>
    </row>
    <row r="127" spans="1:10">
      <c r="A127" s="3">
        <v>125</v>
      </c>
      <c r="B127" t="s">
        <v>82</v>
      </c>
      <c r="C127" t="s">
        <v>8</v>
      </c>
      <c r="E127" s="3">
        <f t="shared" si="2"/>
        <v>2</v>
      </c>
      <c r="F127" s="5">
        <v>43956.625</v>
      </c>
      <c r="G127" s="19" t="str">
        <f t="shared" si="3"/>
        <v/>
      </c>
    </row>
    <row r="128" spans="1:10">
      <c r="A128" s="3">
        <v>95</v>
      </c>
      <c r="B128" t="s">
        <v>83</v>
      </c>
      <c r="C128" t="s">
        <v>8</v>
      </c>
      <c r="E128" s="3">
        <f t="shared" si="2"/>
        <v>3</v>
      </c>
      <c r="F128" s="5">
        <v>43957.625</v>
      </c>
      <c r="G128" s="19" t="str">
        <f t="shared" si="3"/>
        <v/>
      </c>
    </row>
    <row r="129" spans="1:10">
      <c r="A129" s="3">
        <v>108</v>
      </c>
      <c r="B129" t="s">
        <v>84</v>
      </c>
      <c r="C129" t="s">
        <v>8</v>
      </c>
      <c r="E129" s="3">
        <f t="shared" si="2"/>
        <v>4</v>
      </c>
      <c r="F129" s="5">
        <v>43958.625</v>
      </c>
      <c r="G129" s="19" t="str">
        <f t="shared" si="3"/>
        <v/>
      </c>
    </row>
    <row r="130" spans="1:10">
      <c r="A130" s="3">
        <v>81</v>
      </c>
      <c r="B130" t="s">
        <v>85</v>
      </c>
      <c r="C130" t="s">
        <v>8</v>
      </c>
      <c r="E130" s="3">
        <f t="shared" si="2"/>
        <v>5</v>
      </c>
      <c r="F130" s="5">
        <v>43959.625</v>
      </c>
      <c r="G130" s="19" t="str">
        <f t="shared" si="3"/>
        <v/>
      </c>
    </row>
    <row r="131" spans="1:10">
      <c r="A131" s="3">
        <v>47</v>
      </c>
      <c r="B131" t="s">
        <v>86</v>
      </c>
      <c r="C131" t="s">
        <v>8</v>
      </c>
      <c r="E131" s="3">
        <f t="shared" ref="E131:E194" si="4">WEEKDAY(F131,2)</f>
        <v>6</v>
      </c>
      <c r="F131" s="5">
        <v>43960.625</v>
      </c>
      <c r="G131" s="19" t="str">
        <f t="shared" ref="G131:G194" si="5">IF(WEEKDAY(F131,2)=1,"W"&amp;WEEKNUM(F131,14),"")</f>
        <v/>
      </c>
    </row>
    <row r="132" spans="1:10">
      <c r="A132" s="3">
        <v>28</v>
      </c>
      <c r="B132" t="s">
        <v>87</v>
      </c>
      <c r="C132" t="s">
        <v>8</v>
      </c>
      <c r="E132" s="3">
        <f t="shared" si="4"/>
        <v>7</v>
      </c>
      <c r="F132" s="5">
        <v>43961.625</v>
      </c>
      <c r="G132" s="19" t="str">
        <f t="shared" si="5"/>
        <v/>
      </c>
    </row>
    <row r="133" spans="1:10">
      <c r="A133" s="3">
        <v>92</v>
      </c>
      <c r="B133" t="s">
        <v>88</v>
      </c>
      <c r="C133" t="s">
        <v>8</v>
      </c>
      <c r="E133" s="3">
        <f t="shared" si="4"/>
        <v>1</v>
      </c>
      <c r="F133" s="5">
        <v>43962.625</v>
      </c>
      <c r="G133" s="19" t="str">
        <f t="shared" si="5"/>
        <v>W20</v>
      </c>
      <c r="H133">
        <f>SUM(A133:A139)</f>
        <v>397</v>
      </c>
      <c r="I133" s="28">
        <f>H133/H126-1</f>
        <v>-0.35656401944894656</v>
      </c>
      <c r="J133" s="28">
        <f>A133/A126-1</f>
        <v>-0.30827067669172936</v>
      </c>
    </row>
    <row r="134" spans="1:10">
      <c r="A134" s="3">
        <v>67</v>
      </c>
      <c r="B134" t="s">
        <v>89</v>
      </c>
      <c r="C134" t="s">
        <v>8</v>
      </c>
      <c r="E134" s="3">
        <f t="shared" si="4"/>
        <v>2</v>
      </c>
      <c r="F134" s="5">
        <v>43963.625</v>
      </c>
      <c r="G134" s="19" t="str">
        <f t="shared" si="5"/>
        <v/>
      </c>
    </row>
    <row r="135" spans="1:10">
      <c r="A135" s="3">
        <v>79</v>
      </c>
      <c r="B135" t="s">
        <v>90</v>
      </c>
      <c r="C135" t="s">
        <v>8</v>
      </c>
      <c r="E135" s="3">
        <f t="shared" si="4"/>
        <v>3</v>
      </c>
      <c r="F135" s="5">
        <v>43964.625</v>
      </c>
      <c r="G135" s="19" t="str">
        <f t="shared" si="5"/>
        <v/>
      </c>
    </row>
    <row r="136" spans="1:10">
      <c r="A136" s="3">
        <v>50</v>
      </c>
      <c r="B136" t="s">
        <v>91</v>
      </c>
      <c r="C136" t="s">
        <v>8</v>
      </c>
      <c r="E136" s="3">
        <f t="shared" si="4"/>
        <v>4</v>
      </c>
      <c r="F136" s="5">
        <v>43965.625</v>
      </c>
      <c r="G136" s="19" t="str">
        <f t="shared" si="5"/>
        <v/>
      </c>
    </row>
    <row r="137" spans="1:10">
      <c r="A137" s="3">
        <v>55</v>
      </c>
      <c r="B137" t="s">
        <v>92</v>
      </c>
      <c r="C137" t="s">
        <v>8</v>
      </c>
      <c r="E137" s="3">
        <f t="shared" si="4"/>
        <v>5</v>
      </c>
      <c r="F137" s="5">
        <v>43966.625</v>
      </c>
      <c r="G137" s="19" t="str">
        <f t="shared" si="5"/>
        <v/>
      </c>
    </row>
    <row r="138" spans="1:10">
      <c r="A138" s="3">
        <v>25</v>
      </c>
      <c r="B138" t="s">
        <v>93</v>
      </c>
      <c r="C138" t="s">
        <v>8</v>
      </c>
      <c r="E138" s="3">
        <f t="shared" si="4"/>
        <v>6</v>
      </c>
      <c r="F138" s="5">
        <v>43967.625</v>
      </c>
      <c r="G138" s="19" t="str">
        <f t="shared" si="5"/>
        <v/>
      </c>
    </row>
    <row r="139" spans="1:10">
      <c r="A139" s="3">
        <v>29</v>
      </c>
      <c r="B139" t="s">
        <v>94</v>
      </c>
      <c r="C139" t="s">
        <v>8</v>
      </c>
      <c r="E139" s="3">
        <f t="shared" si="4"/>
        <v>7</v>
      </c>
      <c r="F139" s="5">
        <v>43968.625</v>
      </c>
      <c r="G139" s="19" t="str">
        <f t="shared" si="5"/>
        <v/>
      </c>
    </row>
    <row r="140" spans="1:10">
      <c r="A140" s="3">
        <v>45</v>
      </c>
      <c r="B140" t="s">
        <v>95</v>
      </c>
      <c r="C140" t="s">
        <v>8</v>
      </c>
      <c r="E140" s="3">
        <f t="shared" si="4"/>
        <v>1</v>
      </c>
      <c r="F140" s="5">
        <v>43969.625</v>
      </c>
      <c r="G140" s="19" t="str">
        <f t="shared" si="5"/>
        <v>W21</v>
      </c>
      <c r="H140">
        <f>SUM(A140:A146)</f>
        <v>221</v>
      </c>
      <c r="I140" s="28">
        <f>H140/H133-1</f>
        <v>-0.44332493702770781</v>
      </c>
      <c r="J140" s="28">
        <f>A140/A133-1</f>
        <v>-0.51086956521739135</v>
      </c>
    </row>
    <row r="141" spans="1:10">
      <c r="A141" s="3">
        <v>41</v>
      </c>
      <c r="B141" t="s">
        <v>96</v>
      </c>
      <c r="C141" t="s">
        <v>8</v>
      </c>
      <c r="E141" s="3">
        <f t="shared" si="4"/>
        <v>2</v>
      </c>
      <c r="F141" s="5">
        <v>43970.625</v>
      </c>
      <c r="G141" s="19" t="str">
        <f t="shared" si="5"/>
        <v/>
      </c>
    </row>
    <row r="142" spans="1:10">
      <c r="A142" s="3">
        <v>43</v>
      </c>
      <c r="B142" t="s">
        <v>97</v>
      </c>
      <c r="C142" t="s">
        <v>8</v>
      </c>
      <c r="E142" s="3">
        <f t="shared" si="4"/>
        <v>3</v>
      </c>
      <c r="F142" s="5">
        <v>43971.625</v>
      </c>
      <c r="G142" s="19" t="str">
        <f t="shared" si="5"/>
        <v/>
      </c>
    </row>
    <row r="143" spans="1:10">
      <c r="A143" s="3">
        <v>22</v>
      </c>
      <c r="B143" t="s">
        <v>98</v>
      </c>
      <c r="C143" t="s">
        <v>8</v>
      </c>
      <c r="E143" s="3">
        <f t="shared" si="4"/>
        <v>4</v>
      </c>
      <c r="F143" s="5">
        <v>43972.625</v>
      </c>
      <c r="G143" s="19" t="str">
        <f t="shared" si="5"/>
        <v/>
      </c>
    </row>
    <row r="144" spans="1:10">
      <c r="A144" s="3">
        <v>32</v>
      </c>
      <c r="B144" t="s">
        <v>99</v>
      </c>
      <c r="C144" t="s">
        <v>8</v>
      </c>
      <c r="E144" s="3">
        <f t="shared" si="4"/>
        <v>5</v>
      </c>
      <c r="F144" s="5">
        <v>43973.625</v>
      </c>
      <c r="G144" s="19" t="str">
        <f t="shared" si="5"/>
        <v/>
      </c>
    </row>
    <row r="145" spans="1:10">
      <c r="A145" s="3">
        <v>18</v>
      </c>
      <c r="B145" t="s">
        <v>100</v>
      </c>
      <c r="C145" t="s">
        <v>8</v>
      </c>
      <c r="E145" s="3">
        <f t="shared" si="4"/>
        <v>6</v>
      </c>
      <c r="F145" s="5">
        <v>43974.625</v>
      </c>
      <c r="G145" s="19" t="str">
        <f t="shared" si="5"/>
        <v/>
      </c>
    </row>
    <row r="146" spans="1:10">
      <c r="A146" s="3">
        <v>20</v>
      </c>
      <c r="B146" t="s">
        <v>101</v>
      </c>
      <c r="C146" t="s">
        <v>8</v>
      </c>
      <c r="E146" s="3">
        <f t="shared" si="4"/>
        <v>7</v>
      </c>
      <c r="F146" s="5">
        <v>43975.625</v>
      </c>
      <c r="G146" s="19" t="str">
        <f t="shared" si="5"/>
        <v/>
      </c>
    </row>
    <row r="147" spans="1:10">
      <c r="A147" s="3">
        <v>45</v>
      </c>
      <c r="B147" t="s">
        <v>102</v>
      </c>
      <c r="C147" t="s">
        <v>8</v>
      </c>
      <c r="E147" s="3">
        <f t="shared" si="4"/>
        <v>1</v>
      </c>
      <c r="F147" s="5">
        <v>43976.625</v>
      </c>
      <c r="G147" s="19" t="str">
        <f t="shared" si="5"/>
        <v>W22</v>
      </c>
      <c r="H147">
        <f>SUM(A147:A153)</f>
        <v>163</v>
      </c>
      <c r="I147" s="28">
        <f>H147/H140-1</f>
        <v>-0.26244343891402711</v>
      </c>
      <c r="J147" s="28">
        <f>A147/A140-1</f>
        <v>0</v>
      </c>
    </row>
    <row r="148" spans="1:10">
      <c r="A148" s="3">
        <v>33</v>
      </c>
      <c r="B148" t="s">
        <v>103</v>
      </c>
      <c r="C148" t="s">
        <v>8</v>
      </c>
      <c r="E148" s="3">
        <f t="shared" si="4"/>
        <v>2</v>
      </c>
      <c r="F148" s="5">
        <v>43977.625</v>
      </c>
      <c r="G148" s="19" t="str">
        <f t="shared" si="5"/>
        <v/>
      </c>
    </row>
    <row r="149" spans="1:10">
      <c r="A149" s="3">
        <v>12</v>
      </c>
      <c r="B149" t="s">
        <v>104</v>
      </c>
      <c r="C149" t="s">
        <v>8</v>
      </c>
      <c r="E149" s="3">
        <f t="shared" si="4"/>
        <v>3</v>
      </c>
      <c r="F149" s="5">
        <v>43978.625</v>
      </c>
      <c r="G149" s="19" t="str">
        <f t="shared" si="5"/>
        <v/>
      </c>
    </row>
    <row r="150" spans="1:10">
      <c r="A150" s="3">
        <v>30</v>
      </c>
      <c r="B150" t="s">
        <v>105</v>
      </c>
      <c r="C150" t="s">
        <v>8</v>
      </c>
      <c r="E150" s="3">
        <f t="shared" si="4"/>
        <v>4</v>
      </c>
      <c r="F150" s="5">
        <v>43979.625</v>
      </c>
      <c r="G150" s="19" t="str">
        <f t="shared" si="5"/>
        <v/>
      </c>
    </row>
    <row r="151" spans="1:10">
      <c r="A151" s="3">
        <v>21</v>
      </c>
      <c r="B151" t="s">
        <v>106</v>
      </c>
      <c r="C151" t="s">
        <v>8</v>
      </c>
      <c r="E151" s="3">
        <f t="shared" si="4"/>
        <v>5</v>
      </c>
      <c r="F151" s="5">
        <v>43980.625</v>
      </c>
      <c r="G151" s="19" t="str">
        <f t="shared" si="5"/>
        <v/>
      </c>
    </row>
    <row r="152" spans="1:10">
      <c r="A152" s="3">
        <v>10</v>
      </c>
      <c r="B152" t="s">
        <v>107</v>
      </c>
      <c r="C152" t="s">
        <v>8</v>
      </c>
      <c r="E152" s="3">
        <f t="shared" si="4"/>
        <v>6</v>
      </c>
      <c r="F152" s="5">
        <v>43981.625</v>
      </c>
      <c r="G152" s="19" t="str">
        <f t="shared" si="5"/>
        <v/>
      </c>
    </row>
    <row r="153" spans="1:10">
      <c r="A153" s="3">
        <v>12</v>
      </c>
      <c r="B153" t="s">
        <v>108</v>
      </c>
      <c r="C153" t="s">
        <v>8</v>
      </c>
      <c r="E153" s="3">
        <f t="shared" si="4"/>
        <v>7</v>
      </c>
      <c r="F153" s="5">
        <v>43982.625</v>
      </c>
      <c r="G153" s="19" t="str">
        <f t="shared" si="5"/>
        <v/>
      </c>
    </row>
    <row r="154" spans="1:10">
      <c r="A154" s="3">
        <v>17</v>
      </c>
      <c r="B154" t="s">
        <v>109</v>
      </c>
      <c r="C154" t="s">
        <v>8</v>
      </c>
      <c r="E154" s="3">
        <f t="shared" si="4"/>
        <v>1</v>
      </c>
      <c r="F154" s="5">
        <v>43983.625</v>
      </c>
      <c r="G154" s="19" t="str">
        <f t="shared" si="5"/>
        <v>W23</v>
      </c>
      <c r="H154">
        <f>SUM(A154:A160)</f>
        <v>99</v>
      </c>
      <c r="I154" s="28">
        <f>H154/H147-1</f>
        <v>-0.3926380368098159</v>
      </c>
      <c r="J154" s="28">
        <f>A154/A147-1</f>
        <v>-0.62222222222222223</v>
      </c>
    </row>
    <row r="155" spans="1:10">
      <c r="A155" s="3">
        <v>15</v>
      </c>
      <c r="B155" t="s">
        <v>110</v>
      </c>
      <c r="C155" t="s">
        <v>8</v>
      </c>
      <c r="E155" s="3">
        <f t="shared" si="4"/>
        <v>2</v>
      </c>
      <c r="F155" s="5">
        <v>43984.625</v>
      </c>
      <c r="G155" s="19" t="str">
        <f t="shared" si="5"/>
        <v/>
      </c>
    </row>
    <row r="156" spans="1:10">
      <c r="A156" s="3">
        <v>25</v>
      </c>
      <c r="B156" t="s">
        <v>111</v>
      </c>
      <c r="C156" t="s">
        <v>8</v>
      </c>
      <c r="E156" s="3">
        <f t="shared" si="4"/>
        <v>3</v>
      </c>
      <c r="F156" s="5">
        <v>43985.625</v>
      </c>
      <c r="G156" s="19" t="str">
        <f t="shared" si="5"/>
        <v/>
      </c>
    </row>
    <row r="157" spans="1:10">
      <c r="A157" s="3">
        <v>12</v>
      </c>
      <c r="B157" t="s">
        <v>112</v>
      </c>
      <c r="C157" t="s">
        <v>8</v>
      </c>
      <c r="E157" s="3">
        <f t="shared" si="4"/>
        <v>4</v>
      </c>
      <c r="F157" s="5">
        <v>43986.625</v>
      </c>
      <c r="G157" s="19" t="str">
        <f t="shared" si="5"/>
        <v/>
      </c>
    </row>
    <row r="158" spans="1:10">
      <c r="A158" s="3">
        <v>13</v>
      </c>
      <c r="B158" t="s">
        <v>113</v>
      </c>
      <c r="C158" t="s">
        <v>8</v>
      </c>
      <c r="E158" s="3">
        <f t="shared" si="4"/>
        <v>5</v>
      </c>
      <c r="F158" s="5">
        <v>43987.625</v>
      </c>
      <c r="G158" s="19" t="str">
        <f t="shared" si="5"/>
        <v/>
      </c>
    </row>
    <row r="159" spans="1:10">
      <c r="A159" s="3">
        <v>13</v>
      </c>
      <c r="B159" t="s">
        <v>114</v>
      </c>
      <c r="C159" t="s">
        <v>8</v>
      </c>
      <c r="E159" s="3">
        <f t="shared" si="4"/>
        <v>6</v>
      </c>
      <c r="F159" s="5">
        <v>43988.625</v>
      </c>
      <c r="G159" s="19" t="str">
        <f t="shared" si="5"/>
        <v/>
      </c>
    </row>
    <row r="160" spans="1:10">
      <c r="A160" s="3">
        <v>4</v>
      </c>
      <c r="B160" t="s">
        <v>115</v>
      </c>
      <c r="C160" t="s">
        <v>8</v>
      </c>
      <c r="E160" s="3">
        <f t="shared" si="4"/>
        <v>7</v>
      </c>
      <c r="F160" s="5">
        <v>43989.625</v>
      </c>
      <c r="G160" s="19" t="str">
        <f t="shared" si="5"/>
        <v/>
      </c>
    </row>
    <row r="161" spans="1:10">
      <c r="A161" s="3">
        <v>10</v>
      </c>
      <c r="B161" t="s">
        <v>116</v>
      </c>
      <c r="C161" t="s">
        <v>8</v>
      </c>
      <c r="E161" s="3">
        <f t="shared" si="4"/>
        <v>1</v>
      </c>
      <c r="F161" s="5">
        <v>43990.625</v>
      </c>
      <c r="G161" s="19" t="str">
        <f t="shared" si="5"/>
        <v>W24</v>
      </c>
      <c r="H161">
        <f>SUM(A161:A167)</f>
        <v>54</v>
      </c>
      <c r="I161" s="28">
        <f>H161/H154-1</f>
        <v>-0.45454545454545459</v>
      </c>
      <c r="J161" s="28">
        <f>A161/A154-1</f>
        <v>-0.41176470588235292</v>
      </c>
    </row>
    <row r="162" spans="1:10">
      <c r="A162" s="3">
        <v>8</v>
      </c>
      <c r="B162" t="s">
        <v>117</v>
      </c>
      <c r="C162" t="s">
        <v>8</v>
      </c>
      <c r="E162" s="3">
        <f t="shared" si="4"/>
        <v>2</v>
      </c>
      <c r="F162" s="5">
        <v>43991.625</v>
      </c>
      <c r="G162" s="19" t="str">
        <f t="shared" si="5"/>
        <v/>
      </c>
    </row>
    <row r="163" spans="1:10">
      <c r="A163" s="3">
        <v>7</v>
      </c>
      <c r="B163" t="s">
        <v>118</v>
      </c>
      <c r="C163" t="s">
        <v>8</v>
      </c>
      <c r="E163" s="3">
        <f t="shared" si="4"/>
        <v>3</v>
      </c>
      <c r="F163" s="5">
        <v>43992.625</v>
      </c>
      <c r="G163" s="19" t="str">
        <f t="shared" si="5"/>
        <v/>
      </c>
    </row>
    <row r="164" spans="1:10">
      <c r="A164" s="3">
        <v>9</v>
      </c>
      <c r="B164" t="s">
        <v>119</v>
      </c>
      <c r="C164" t="s">
        <v>8</v>
      </c>
      <c r="E164" s="3">
        <f t="shared" si="4"/>
        <v>4</v>
      </c>
      <c r="F164" s="5">
        <v>43993.625</v>
      </c>
      <c r="G164" s="19" t="str">
        <f t="shared" si="5"/>
        <v/>
      </c>
    </row>
    <row r="165" spans="1:10">
      <c r="A165" s="3">
        <v>13</v>
      </c>
      <c r="B165" t="s">
        <v>120</v>
      </c>
      <c r="C165" t="s">
        <v>8</v>
      </c>
      <c r="E165" s="3">
        <f t="shared" si="4"/>
        <v>5</v>
      </c>
      <c r="F165" s="5">
        <v>43994.625</v>
      </c>
      <c r="G165" s="19" t="str">
        <f t="shared" si="5"/>
        <v/>
      </c>
    </row>
    <row r="166" spans="1:10">
      <c r="A166" s="3">
        <v>2</v>
      </c>
      <c r="B166" t="s">
        <v>121</v>
      </c>
      <c r="C166" t="s">
        <v>8</v>
      </c>
      <c r="E166" s="3">
        <f t="shared" si="4"/>
        <v>6</v>
      </c>
      <c r="F166" s="5">
        <v>43995.625</v>
      </c>
      <c r="G166" s="19" t="str">
        <f t="shared" si="5"/>
        <v/>
      </c>
    </row>
    <row r="167" spans="1:10">
      <c r="A167" s="3">
        <v>5</v>
      </c>
      <c r="B167" t="s">
        <v>122</v>
      </c>
      <c r="C167" t="s">
        <v>8</v>
      </c>
      <c r="E167" s="3">
        <f t="shared" si="4"/>
        <v>7</v>
      </c>
      <c r="F167" s="5">
        <v>43996.625</v>
      </c>
      <c r="G167" s="19" t="str">
        <f t="shared" si="5"/>
        <v/>
      </c>
    </row>
    <row r="168" spans="1:10">
      <c r="A168" s="3">
        <v>16</v>
      </c>
      <c r="B168" t="s">
        <v>123</v>
      </c>
      <c r="C168" t="s">
        <v>8</v>
      </c>
      <c r="E168" s="3">
        <f t="shared" si="4"/>
        <v>1</v>
      </c>
      <c r="F168" s="5">
        <v>43997.625</v>
      </c>
      <c r="G168" s="19" t="str">
        <f t="shared" si="5"/>
        <v>W25</v>
      </c>
      <c r="H168">
        <f>SUM(A168:A174)</f>
        <v>51</v>
      </c>
      <c r="I168" s="28">
        <f>H168/H161-1</f>
        <v>-5.555555555555558E-2</v>
      </c>
      <c r="J168" s="28">
        <f>A168/A161-1</f>
        <v>0.60000000000000009</v>
      </c>
    </row>
    <row r="169" spans="1:10">
      <c r="A169" s="3">
        <v>8</v>
      </c>
      <c r="B169" t="s">
        <v>124</v>
      </c>
      <c r="C169" t="s">
        <v>8</v>
      </c>
      <c r="E169" s="3">
        <f t="shared" si="4"/>
        <v>2</v>
      </c>
      <c r="F169" s="5">
        <v>43998.625</v>
      </c>
      <c r="G169" s="19" t="str">
        <f t="shared" si="5"/>
        <v/>
      </c>
    </row>
    <row r="170" spans="1:10">
      <c r="A170" s="3">
        <v>4</v>
      </c>
      <c r="B170" t="s">
        <v>125</v>
      </c>
      <c r="C170" t="s">
        <v>8</v>
      </c>
      <c r="E170" s="3">
        <f t="shared" si="4"/>
        <v>3</v>
      </c>
      <c r="F170" s="5">
        <v>43999.625</v>
      </c>
      <c r="G170" s="19" t="str">
        <f t="shared" si="5"/>
        <v/>
      </c>
    </row>
    <row r="171" spans="1:10">
      <c r="A171" s="3">
        <v>8</v>
      </c>
      <c r="B171" t="s">
        <v>126</v>
      </c>
      <c r="C171" t="s">
        <v>8</v>
      </c>
      <c r="E171" s="3">
        <f t="shared" si="4"/>
        <v>4</v>
      </c>
      <c r="F171" s="5">
        <v>44000.625</v>
      </c>
      <c r="G171" s="19" t="str">
        <f t="shared" si="5"/>
        <v/>
      </c>
    </row>
    <row r="172" spans="1:10">
      <c r="A172" s="3">
        <v>0</v>
      </c>
      <c r="B172" t="s">
        <v>289</v>
      </c>
      <c r="C172" t="s">
        <v>8</v>
      </c>
      <c r="E172" s="3">
        <f t="shared" si="4"/>
        <v>5</v>
      </c>
      <c r="F172" s="5">
        <v>44001.625</v>
      </c>
      <c r="G172" s="19" t="str">
        <f t="shared" si="5"/>
        <v/>
      </c>
    </row>
    <row r="173" spans="1:10">
      <c r="A173" s="3">
        <v>2</v>
      </c>
      <c r="B173" t="s">
        <v>127</v>
      </c>
      <c r="C173" t="s">
        <v>8</v>
      </c>
      <c r="E173" s="3">
        <f t="shared" si="4"/>
        <v>6</v>
      </c>
      <c r="F173" s="5">
        <v>44002.625</v>
      </c>
      <c r="G173" s="19" t="str">
        <f t="shared" si="5"/>
        <v/>
      </c>
    </row>
    <row r="174" spans="1:10">
      <c r="A174" s="3">
        <v>13</v>
      </c>
      <c r="B174" t="s">
        <v>128</v>
      </c>
      <c r="C174" t="s">
        <v>8</v>
      </c>
      <c r="E174" s="3">
        <f t="shared" si="4"/>
        <v>7</v>
      </c>
      <c r="F174" s="5">
        <v>44003.625</v>
      </c>
      <c r="G174" s="19" t="str">
        <f t="shared" si="5"/>
        <v/>
      </c>
    </row>
    <row r="175" spans="1:10">
      <c r="A175" s="3">
        <v>5</v>
      </c>
      <c r="B175" t="s">
        <v>129</v>
      </c>
      <c r="C175" t="s">
        <v>8</v>
      </c>
      <c r="E175" s="3">
        <f t="shared" si="4"/>
        <v>1</v>
      </c>
      <c r="F175" s="5">
        <v>44004.625</v>
      </c>
      <c r="G175" s="19" t="str">
        <f t="shared" si="5"/>
        <v>W26</v>
      </c>
      <c r="H175">
        <f>SUM(A175:A181)</f>
        <v>53</v>
      </c>
      <c r="I175" s="28">
        <f>H175/H168-1</f>
        <v>3.9215686274509887E-2</v>
      </c>
      <c r="J175" s="28">
        <f>A175/A168-1</f>
        <v>-0.6875</v>
      </c>
    </row>
    <row r="176" spans="1:10">
      <c r="A176" s="3">
        <v>5</v>
      </c>
      <c r="B176" t="s">
        <v>130</v>
      </c>
      <c r="C176" t="s">
        <v>8</v>
      </c>
      <c r="E176" s="3">
        <f t="shared" si="4"/>
        <v>2</v>
      </c>
      <c r="F176" s="5">
        <v>44005.625</v>
      </c>
      <c r="G176" s="19" t="str">
        <f t="shared" si="5"/>
        <v/>
      </c>
    </row>
    <row r="177" spans="1:10">
      <c r="A177" s="3">
        <v>17</v>
      </c>
      <c r="B177" t="s">
        <v>131</v>
      </c>
      <c r="C177" t="s">
        <v>8</v>
      </c>
      <c r="E177" s="3">
        <f t="shared" si="4"/>
        <v>3</v>
      </c>
      <c r="F177" s="5">
        <v>44006.625</v>
      </c>
      <c r="G177" s="19" t="str">
        <f t="shared" si="5"/>
        <v/>
      </c>
    </row>
    <row r="178" spans="1:10">
      <c r="A178" s="3">
        <v>14</v>
      </c>
      <c r="B178" t="s">
        <v>132</v>
      </c>
      <c r="C178" t="s">
        <v>8</v>
      </c>
      <c r="E178" s="3">
        <f t="shared" si="4"/>
        <v>4</v>
      </c>
      <c r="F178" s="5">
        <v>44007.625</v>
      </c>
      <c r="G178" s="19" t="str">
        <f t="shared" si="5"/>
        <v/>
      </c>
    </row>
    <row r="179" spans="1:10">
      <c r="A179" s="3">
        <v>3</v>
      </c>
      <c r="B179" t="s">
        <v>133</v>
      </c>
      <c r="C179" t="s">
        <v>8</v>
      </c>
      <c r="E179" s="3">
        <f t="shared" si="4"/>
        <v>5</v>
      </c>
      <c r="F179" s="5">
        <v>44008.625</v>
      </c>
      <c r="G179" s="19" t="str">
        <f t="shared" si="5"/>
        <v/>
      </c>
    </row>
    <row r="180" spans="1:10">
      <c r="A180" s="3">
        <v>2</v>
      </c>
      <c r="B180" t="s">
        <v>134</v>
      </c>
      <c r="C180" t="s">
        <v>8</v>
      </c>
      <c r="E180" s="3">
        <f t="shared" si="4"/>
        <v>6</v>
      </c>
      <c r="F180" s="5">
        <v>44009.625</v>
      </c>
      <c r="G180" s="19" t="str">
        <f t="shared" si="5"/>
        <v/>
      </c>
    </row>
    <row r="181" spans="1:10">
      <c r="A181" s="3">
        <v>7</v>
      </c>
      <c r="B181" t="s">
        <v>135</v>
      </c>
      <c r="C181" t="s">
        <v>8</v>
      </c>
      <c r="E181" s="3">
        <f t="shared" si="4"/>
        <v>7</v>
      </c>
      <c r="F181" s="5">
        <v>44010.625</v>
      </c>
      <c r="G181" s="19" t="str">
        <f t="shared" si="5"/>
        <v/>
      </c>
    </row>
    <row r="182" spans="1:10">
      <c r="A182" s="3">
        <v>16</v>
      </c>
      <c r="B182" t="s">
        <v>136</v>
      </c>
      <c r="C182" t="s">
        <v>8</v>
      </c>
      <c r="E182" s="3">
        <f t="shared" si="4"/>
        <v>1</v>
      </c>
      <c r="F182" s="5">
        <v>44011.625</v>
      </c>
      <c r="G182" s="19" t="str">
        <f t="shared" si="5"/>
        <v>W27</v>
      </c>
      <c r="H182">
        <f>SUM(A182:A188)</f>
        <v>46</v>
      </c>
      <c r="I182" s="28">
        <f>H182/H175-1</f>
        <v>-0.13207547169811318</v>
      </c>
      <c r="J182" s="28">
        <f>A182/A175-1</f>
        <v>2.2000000000000002</v>
      </c>
    </row>
    <row r="183" spans="1:10">
      <c r="A183" s="3">
        <v>10</v>
      </c>
      <c r="B183" t="s">
        <v>137</v>
      </c>
      <c r="C183" t="s">
        <v>8</v>
      </c>
      <c r="E183" s="3">
        <f t="shared" si="4"/>
        <v>2</v>
      </c>
      <c r="F183" s="5">
        <v>44012.625</v>
      </c>
      <c r="G183" s="19" t="str">
        <f t="shared" si="5"/>
        <v/>
      </c>
    </row>
    <row r="184" spans="1:10">
      <c r="A184" s="3">
        <v>2</v>
      </c>
      <c r="B184" t="s">
        <v>138</v>
      </c>
      <c r="C184" t="s">
        <v>8</v>
      </c>
      <c r="E184" s="3">
        <f t="shared" si="4"/>
        <v>3</v>
      </c>
      <c r="F184" s="5">
        <v>44013.625</v>
      </c>
      <c r="G184" s="19" t="str">
        <f t="shared" si="5"/>
        <v/>
      </c>
    </row>
    <row r="185" spans="1:10">
      <c r="A185" s="3">
        <v>7</v>
      </c>
      <c r="B185" t="s">
        <v>139</v>
      </c>
      <c r="C185" t="s">
        <v>8</v>
      </c>
      <c r="E185" s="3">
        <f t="shared" si="4"/>
        <v>4</v>
      </c>
      <c r="F185" s="5">
        <v>44014.625</v>
      </c>
      <c r="G185" s="19" t="str">
        <f t="shared" si="5"/>
        <v/>
      </c>
    </row>
    <row r="186" spans="1:10">
      <c r="A186" s="3">
        <v>6</v>
      </c>
      <c r="B186" t="s">
        <v>140</v>
      </c>
      <c r="C186" t="s">
        <v>8</v>
      </c>
      <c r="E186" s="3">
        <f t="shared" si="4"/>
        <v>5</v>
      </c>
      <c r="F186" s="5">
        <v>44015.625</v>
      </c>
      <c r="G186" s="19" t="str">
        <f t="shared" si="5"/>
        <v/>
      </c>
    </row>
    <row r="187" spans="1:10">
      <c r="A187" s="3">
        <v>2</v>
      </c>
      <c r="B187" t="s">
        <v>141</v>
      </c>
      <c r="C187" t="s">
        <v>8</v>
      </c>
      <c r="E187" s="3">
        <f t="shared" si="4"/>
        <v>6</v>
      </c>
      <c r="F187" s="5">
        <v>44016.625</v>
      </c>
      <c r="G187" s="19" t="str">
        <f t="shared" si="5"/>
        <v/>
      </c>
    </row>
    <row r="188" spans="1:10">
      <c r="A188" s="3">
        <v>3</v>
      </c>
      <c r="B188" t="s">
        <v>142</v>
      </c>
      <c r="C188" t="s">
        <v>8</v>
      </c>
      <c r="E188" s="3">
        <f t="shared" si="4"/>
        <v>7</v>
      </c>
      <c r="F188" s="5">
        <v>44017.625</v>
      </c>
      <c r="G188" s="19" t="str">
        <f t="shared" si="5"/>
        <v/>
      </c>
    </row>
    <row r="189" spans="1:10">
      <c r="A189" s="3">
        <v>8</v>
      </c>
      <c r="B189" t="s">
        <v>143</v>
      </c>
      <c r="C189" t="s">
        <v>8</v>
      </c>
      <c r="E189" s="3">
        <f t="shared" si="4"/>
        <v>1</v>
      </c>
      <c r="F189" s="5">
        <v>44018.625</v>
      </c>
      <c r="G189" s="19" t="str">
        <f t="shared" si="5"/>
        <v>W28</v>
      </c>
      <c r="H189">
        <f>SUM(A189:A195)</f>
        <v>39</v>
      </c>
      <c r="I189" s="28">
        <f>H189/H182-1</f>
        <v>-0.15217391304347827</v>
      </c>
      <c r="J189" s="28">
        <f>A189/A182-1</f>
        <v>-0.5</v>
      </c>
    </row>
    <row r="190" spans="1:10">
      <c r="A190" s="3">
        <v>3</v>
      </c>
      <c r="B190" t="s">
        <v>144</v>
      </c>
      <c r="C190" t="s">
        <v>8</v>
      </c>
      <c r="E190" s="3">
        <f t="shared" si="4"/>
        <v>2</v>
      </c>
      <c r="F190" s="5">
        <v>44019.625</v>
      </c>
      <c r="G190" s="19" t="str">
        <f t="shared" si="5"/>
        <v/>
      </c>
    </row>
    <row r="191" spans="1:10">
      <c r="A191" s="3">
        <v>9</v>
      </c>
      <c r="B191" t="s">
        <v>145</v>
      </c>
      <c r="C191" t="s">
        <v>8</v>
      </c>
      <c r="E191" s="3">
        <f t="shared" si="4"/>
        <v>3</v>
      </c>
      <c r="F191" s="5">
        <v>44020.625</v>
      </c>
      <c r="G191" s="19" t="str">
        <f t="shared" si="5"/>
        <v/>
      </c>
    </row>
    <row r="192" spans="1:10">
      <c r="A192" s="3">
        <v>8</v>
      </c>
      <c r="B192" t="s">
        <v>146</v>
      </c>
      <c r="C192" t="s">
        <v>8</v>
      </c>
      <c r="E192" s="3">
        <f t="shared" si="4"/>
        <v>4</v>
      </c>
      <c r="F192" s="5">
        <v>44021.625</v>
      </c>
      <c r="G192" s="19" t="str">
        <f t="shared" si="5"/>
        <v/>
      </c>
    </row>
    <row r="193" spans="1:10">
      <c r="A193" s="3">
        <v>7</v>
      </c>
      <c r="B193" t="s">
        <v>147</v>
      </c>
      <c r="C193" t="s">
        <v>8</v>
      </c>
      <c r="E193" s="3">
        <f t="shared" si="4"/>
        <v>5</v>
      </c>
      <c r="F193" s="5">
        <v>44022.625</v>
      </c>
      <c r="G193" s="19" t="str">
        <f t="shared" si="5"/>
        <v/>
      </c>
    </row>
    <row r="194" spans="1:10">
      <c r="A194" s="3">
        <v>0</v>
      </c>
      <c r="B194" t="s">
        <v>290</v>
      </c>
      <c r="C194" t="s">
        <v>8</v>
      </c>
      <c r="E194" s="3">
        <f t="shared" si="4"/>
        <v>6</v>
      </c>
      <c r="F194" s="5">
        <v>44023.625</v>
      </c>
      <c r="G194" s="19" t="str">
        <f t="shared" si="5"/>
        <v/>
      </c>
    </row>
    <row r="195" spans="1:10">
      <c r="A195" s="3">
        <v>4</v>
      </c>
      <c r="B195" t="s">
        <v>148</v>
      </c>
      <c r="C195" t="s">
        <v>8</v>
      </c>
      <c r="E195" s="3">
        <f t="shared" ref="E195:E258" si="6">WEEKDAY(F195,2)</f>
        <v>7</v>
      </c>
      <c r="F195" s="5">
        <v>44024.625</v>
      </c>
      <c r="G195" s="19" t="str">
        <f t="shared" ref="G195:G238" si="7">IF(WEEKDAY(F195,2)=1,"W"&amp;WEEKNUM(F195,14),"")</f>
        <v/>
      </c>
    </row>
    <row r="196" spans="1:10">
      <c r="A196" s="3">
        <v>6</v>
      </c>
      <c r="B196" t="s">
        <v>149</v>
      </c>
      <c r="C196" t="s">
        <v>8</v>
      </c>
      <c r="E196" s="3">
        <f t="shared" si="6"/>
        <v>1</v>
      </c>
      <c r="F196" s="5">
        <v>44025.625</v>
      </c>
      <c r="G196" s="19" t="str">
        <f t="shared" si="7"/>
        <v>W29</v>
      </c>
      <c r="H196">
        <f>SUM(A196:A202)</f>
        <v>43</v>
      </c>
      <c r="I196" s="28">
        <f>H196/H189-1</f>
        <v>0.10256410256410264</v>
      </c>
      <c r="J196" s="28">
        <f>A196/A189-1</f>
        <v>-0.25</v>
      </c>
    </row>
    <row r="197" spans="1:10">
      <c r="A197" s="3">
        <v>5</v>
      </c>
      <c r="B197" t="s">
        <v>150</v>
      </c>
      <c r="C197" t="s">
        <v>8</v>
      </c>
      <c r="E197" s="3">
        <f t="shared" si="6"/>
        <v>2</v>
      </c>
      <c r="F197" s="5">
        <v>44026.625</v>
      </c>
      <c r="G197" s="19" t="str">
        <f t="shared" si="7"/>
        <v/>
      </c>
    </row>
    <row r="198" spans="1:10">
      <c r="A198" s="3">
        <v>5</v>
      </c>
      <c r="B198" t="s">
        <v>151</v>
      </c>
      <c r="C198" t="s">
        <v>8</v>
      </c>
      <c r="E198" s="3">
        <f t="shared" si="6"/>
        <v>3</v>
      </c>
      <c r="F198" s="5">
        <v>44027.625</v>
      </c>
      <c r="G198" s="19" t="str">
        <f t="shared" si="7"/>
        <v/>
      </c>
    </row>
    <row r="199" spans="1:10">
      <c r="A199" s="3">
        <v>9</v>
      </c>
      <c r="B199" t="s">
        <v>152</v>
      </c>
      <c r="C199" t="s">
        <v>8</v>
      </c>
      <c r="E199" s="3">
        <f t="shared" si="6"/>
        <v>4</v>
      </c>
      <c r="F199" s="5">
        <v>44028.625</v>
      </c>
      <c r="G199" s="19" t="str">
        <f t="shared" si="7"/>
        <v/>
      </c>
    </row>
    <row r="200" spans="1:10">
      <c r="A200" s="3">
        <v>6</v>
      </c>
      <c r="B200" t="s">
        <v>153</v>
      </c>
      <c r="C200" t="s">
        <v>8</v>
      </c>
      <c r="E200" s="3">
        <f t="shared" si="6"/>
        <v>5</v>
      </c>
      <c r="F200" s="5">
        <v>44029.625</v>
      </c>
      <c r="G200" s="19" t="str">
        <f t="shared" si="7"/>
        <v/>
      </c>
    </row>
    <row r="201" spans="1:10">
      <c r="A201" s="3">
        <v>7</v>
      </c>
      <c r="B201" t="s">
        <v>154</v>
      </c>
      <c r="C201" t="s">
        <v>8</v>
      </c>
      <c r="E201" s="3">
        <f t="shared" si="6"/>
        <v>6</v>
      </c>
      <c r="F201" s="5">
        <v>44030.625</v>
      </c>
      <c r="G201" s="19" t="str">
        <f t="shared" si="7"/>
        <v/>
      </c>
    </row>
    <row r="202" spans="1:10">
      <c r="A202" s="3">
        <v>5</v>
      </c>
      <c r="B202" t="s">
        <v>155</v>
      </c>
      <c r="C202" t="s">
        <v>8</v>
      </c>
      <c r="E202" s="3">
        <f t="shared" si="6"/>
        <v>7</v>
      </c>
      <c r="F202" s="5">
        <v>44031.625</v>
      </c>
      <c r="G202" s="19" t="str">
        <f t="shared" si="7"/>
        <v/>
      </c>
    </row>
    <row r="203" spans="1:10">
      <c r="A203" s="3">
        <v>12</v>
      </c>
      <c r="B203" t="s">
        <v>156</v>
      </c>
      <c r="C203" t="s">
        <v>8</v>
      </c>
      <c r="E203" s="3">
        <f t="shared" si="6"/>
        <v>1</v>
      </c>
      <c r="F203" s="5">
        <v>44032.625</v>
      </c>
      <c r="G203" s="19" t="str">
        <f t="shared" si="7"/>
        <v>W30</v>
      </c>
      <c r="H203">
        <f>SUM(A203:A209)</f>
        <v>56</v>
      </c>
      <c r="I203" s="28">
        <f>H203/H196-1</f>
        <v>0.30232558139534893</v>
      </c>
      <c r="J203" s="28">
        <f>A203/A196-1</f>
        <v>1</v>
      </c>
    </row>
    <row r="204" spans="1:10">
      <c r="A204" s="3">
        <v>8</v>
      </c>
      <c r="B204" t="s">
        <v>157</v>
      </c>
      <c r="C204" t="s">
        <v>8</v>
      </c>
      <c r="E204" s="3">
        <f t="shared" si="6"/>
        <v>2</v>
      </c>
      <c r="F204" s="5">
        <v>44033.625</v>
      </c>
      <c r="G204" s="19" t="str">
        <f t="shared" si="7"/>
        <v/>
      </c>
    </row>
    <row r="205" spans="1:10">
      <c r="A205" s="3">
        <v>11</v>
      </c>
      <c r="B205" t="s">
        <v>158</v>
      </c>
      <c r="C205" t="s">
        <v>8</v>
      </c>
      <c r="E205" s="3">
        <f t="shared" si="6"/>
        <v>3</v>
      </c>
      <c r="F205" s="5">
        <v>44034.625</v>
      </c>
      <c r="G205" s="19" t="str">
        <f t="shared" si="7"/>
        <v/>
      </c>
    </row>
    <row r="206" spans="1:10">
      <c r="A206" s="3">
        <v>3</v>
      </c>
      <c r="B206" t="s">
        <v>159</v>
      </c>
      <c r="C206" t="s">
        <v>8</v>
      </c>
      <c r="E206" s="3">
        <f t="shared" si="6"/>
        <v>4</v>
      </c>
      <c r="F206" s="5">
        <v>44035.625</v>
      </c>
      <c r="G206" s="19" t="str">
        <f t="shared" si="7"/>
        <v/>
      </c>
    </row>
    <row r="207" spans="1:10">
      <c r="A207" s="3">
        <v>10</v>
      </c>
      <c r="B207" t="s">
        <v>160</v>
      </c>
      <c r="C207" t="s">
        <v>8</v>
      </c>
      <c r="E207" s="3">
        <f t="shared" si="6"/>
        <v>5</v>
      </c>
      <c r="F207" s="5">
        <v>44036.625</v>
      </c>
      <c r="G207" s="19" t="str">
        <f t="shared" si="7"/>
        <v/>
      </c>
    </row>
    <row r="208" spans="1:10">
      <c r="A208" s="3">
        <v>4</v>
      </c>
      <c r="B208" t="s">
        <v>161</v>
      </c>
      <c r="C208" t="s">
        <v>8</v>
      </c>
      <c r="E208" s="3">
        <f t="shared" si="6"/>
        <v>6</v>
      </c>
      <c r="F208" s="5">
        <v>44037.625</v>
      </c>
      <c r="G208" s="19" t="str">
        <f t="shared" si="7"/>
        <v/>
      </c>
    </row>
    <row r="209" spans="1:10">
      <c r="A209" s="3">
        <v>8</v>
      </c>
      <c r="B209" t="s">
        <v>162</v>
      </c>
      <c r="C209" t="s">
        <v>8</v>
      </c>
      <c r="E209" s="3">
        <f t="shared" si="6"/>
        <v>7</v>
      </c>
      <c r="F209" s="5">
        <v>44038.625</v>
      </c>
      <c r="G209" s="19" t="str">
        <f t="shared" si="7"/>
        <v/>
      </c>
    </row>
    <row r="210" spans="1:10">
      <c r="A210" s="3">
        <v>12</v>
      </c>
      <c r="B210" t="s">
        <v>163</v>
      </c>
      <c r="C210" t="s">
        <v>8</v>
      </c>
      <c r="E210" s="3">
        <f t="shared" si="6"/>
        <v>1</v>
      </c>
      <c r="F210" s="5">
        <v>44039.625</v>
      </c>
      <c r="G210" s="19" t="str">
        <f t="shared" si="7"/>
        <v>W31</v>
      </c>
      <c r="H210">
        <f>SUM(A210:A216)</f>
        <v>84</v>
      </c>
      <c r="I210" s="28">
        <f>H210/H203-1</f>
        <v>0.5</v>
      </c>
      <c r="J210" s="28">
        <f>A210/A203-1</f>
        <v>0</v>
      </c>
    </row>
    <row r="211" spans="1:10">
      <c r="A211" s="3">
        <v>9</v>
      </c>
      <c r="B211" t="s">
        <v>164</v>
      </c>
      <c r="C211" t="s">
        <v>8</v>
      </c>
      <c r="E211" s="3">
        <f t="shared" si="6"/>
        <v>2</v>
      </c>
      <c r="F211" s="5">
        <v>44040.625</v>
      </c>
      <c r="G211" s="19" t="str">
        <f t="shared" si="7"/>
        <v/>
      </c>
    </row>
    <row r="212" spans="1:10">
      <c r="A212" s="3">
        <v>12</v>
      </c>
      <c r="B212" t="s">
        <v>165</v>
      </c>
      <c r="C212" t="s">
        <v>8</v>
      </c>
      <c r="E212" s="3">
        <f t="shared" si="6"/>
        <v>3</v>
      </c>
      <c r="F212" s="5">
        <v>44041.625</v>
      </c>
      <c r="G212" s="19" t="str">
        <f t="shared" si="7"/>
        <v/>
      </c>
    </row>
    <row r="213" spans="1:10">
      <c r="A213" s="3">
        <v>8</v>
      </c>
      <c r="B213" t="s">
        <v>166</v>
      </c>
      <c r="C213" t="s">
        <v>8</v>
      </c>
      <c r="E213" s="3">
        <f t="shared" si="6"/>
        <v>4</v>
      </c>
      <c r="F213" s="5">
        <v>44042.625</v>
      </c>
      <c r="G213" s="19" t="str">
        <f t="shared" si="7"/>
        <v/>
      </c>
    </row>
    <row r="214" spans="1:10">
      <c r="A214" s="3">
        <v>18</v>
      </c>
      <c r="B214" t="s">
        <v>167</v>
      </c>
      <c r="C214" t="s">
        <v>8</v>
      </c>
      <c r="E214" s="3">
        <f t="shared" si="6"/>
        <v>5</v>
      </c>
      <c r="F214" s="5">
        <v>44043.625</v>
      </c>
      <c r="G214" s="19" t="str">
        <f t="shared" si="7"/>
        <v/>
      </c>
    </row>
    <row r="215" spans="1:10">
      <c r="A215" s="3">
        <v>15</v>
      </c>
      <c r="B215" t="s">
        <v>168</v>
      </c>
      <c r="C215" t="s">
        <v>8</v>
      </c>
      <c r="E215" s="3">
        <f t="shared" si="6"/>
        <v>6</v>
      </c>
      <c r="F215" s="5">
        <v>44044.625</v>
      </c>
      <c r="G215" s="19" t="str">
        <f t="shared" si="7"/>
        <v/>
      </c>
    </row>
    <row r="216" spans="1:10">
      <c r="A216" s="3">
        <v>10</v>
      </c>
      <c r="B216" t="s">
        <v>169</v>
      </c>
      <c r="C216" t="s">
        <v>8</v>
      </c>
      <c r="E216" s="3">
        <f t="shared" si="6"/>
        <v>7</v>
      </c>
      <c r="F216" s="5">
        <v>44045.625</v>
      </c>
      <c r="G216" s="19" t="str">
        <f t="shared" si="7"/>
        <v/>
      </c>
    </row>
    <row r="217" spans="1:10">
      <c r="A217" s="3">
        <v>35</v>
      </c>
      <c r="B217" t="s">
        <v>170</v>
      </c>
      <c r="C217" t="s">
        <v>8</v>
      </c>
      <c r="E217" s="3">
        <f t="shared" si="6"/>
        <v>1</v>
      </c>
      <c r="F217" s="5">
        <v>44046.625</v>
      </c>
      <c r="G217" s="19" t="str">
        <f t="shared" si="7"/>
        <v>W32</v>
      </c>
      <c r="H217">
        <f>SUM(A217:A223)</f>
        <v>169</v>
      </c>
      <c r="I217" s="28">
        <f>H217/H210-1</f>
        <v>1.0119047619047619</v>
      </c>
      <c r="J217" s="28">
        <f>A217/A210-1</f>
        <v>1.9166666666666665</v>
      </c>
    </row>
    <row r="218" spans="1:10">
      <c r="A218" s="3">
        <v>22</v>
      </c>
      <c r="B218" t="s">
        <v>171</v>
      </c>
      <c r="C218" t="s">
        <v>8</v>
      </c>
      <c r="E218" s="3">
        <f t="shared" si="6"/>
        <v>2</v>
      </c>
      <c r="F218" s="5">
        <v>44047.625</v>
      </c>
      <c r="G218" s="19" t="str">
        <f t="shared" si="7"/>
        <v/>
      </c>
    </row>
    <row r="219" spans="1:10">
      <c r="A219" s="3">
        <v>29</v>
      </c>
      <c r="B219" t="s">
        <v>172</v>
      </c>
      <c r="C219" t="s">
        <v>8</v>
      </c>
      <c r="E219" s="3">
        <f t="shared" si="6"/>
        <v>3</v>
      </c>
      <c r="F219" s="5">
        <v>44048.625</v>
      </c>
      <c r="G219" s="19" t="str">
        <f t="shared" si="7"/>
        <v/>
      </c>
    </row>
    <row r="220" spans="1:10">
      <c r="A220" s="3">
        <v>22</v>
      </c>
      <c r="B220" t="s">
        <v>173</v>
      </c>
      <c r="C220" t="s">
        <v>8</v>
      </c>
      <c r="E220" s="3">
        <f t="shared" si="6"/>
        <v>4</v>
      </c>
      <c r="F220" s="5">
        <v>44049.625</v>
      </c>
      <c r="G220" s="19" t="str">
        <f t="shared" si="7"/>
        <v/>
      </c>
    </row>
    <row r="221" spans="1:10">
      <c r="A221" s="3">
        <v>17</v>
      </c>
      <c r="B221" t="s">
        <v>174</v>
      </c>
      <c r="C221" t="s">
        <v>8</v>
      </c>
      <c r="E221" s="3">
        <f t="shared" si="6"/>
        <v>5</v>
      </c>
      <c r="F221" s="5">
        <v>44050.625</v>
      </c>
      <c r="G221" s="19" t="str">
        <f t="shared" si="7"/>
        <v/>
      </c>
    </row>
    <row r="222" spans="1:10">
      <c r="A222" s="3">
        <v>9</v>
      </c>
      <c r="B222" t="s">
        <v>175</v>
      </c>
      <c r="C222" t="s">
        <v>8</v>
      </c>
      <c r="E222" s="3">
        <f t="shared" si="6"/>
        <v>6</v>
      </c>
      <c r="F222" s="5">
        <v>44051.625</v>
      </c>
      <c r="G222" s="19" t="str">
        <f t="shared" si="7"/>
        <v/>
      </c>
    </row>
    <row r="223" spans="1:10">
      <c r="A223" s="3">
        <v>35</v>
      </c>
      <c r="B223" t="s">
        <v>176</v>
      </c>
      <c r="C223" t="s">
        <v>8</v>
      </c>
      <c r="E223" s="3">
        <f t="shared" si="6"/>
        <v>7</v>
      </c>
      <c r="F223" s="5">
        <v>44052.625</v>
      </c>
      <c r="G223" s="19" t="str">
        <f t="shared" si="7"/>
        <v/>
      </c>
    </row>
    <row r="224" spans="1:10">
      <c r="A224" s="3">
        <v>15</v>
      </c>
      <c r="B224" t="s">
        <v>177</v>
      </c>
      <c r="C224" t="s">
        <v>8</v>
      </c>
      <c r="E224" s="3">
        <f t="shared" si="6"/>
        <v>1</v>
      </c>
      <c r="F224" s="5">
        <v>44053.625</v>
      </c>
      <c r="G224" s="19" t="str">
        <f t="shared" si="7"/>
        <v>W33</v>
      </c>
      <c r="H224">
        <f>SUM(A224:A230)</f>
        <v>175</v>
      </c>
      <c r="I224" s="28">
        <f>H224/H217-1</f>
        <v>3.5502958579881616E-2</v>
      </c>
      <c r="J224" s="28">
        <f>A224/A217-1</f>
        <v>-0.5714285714285714</v>
      </c>
    </row>
    <row r="225" spans="1:10">
      <c r="A225" s="3">
        <v>28</v>
      </c>
      <c r="B225" t="s">
        <v>178</v>
      </c>
      <c r="C225" t="s">
        <v>8</v>
      </c>
      <c r="E225" s="3">
        <f t="shared" si="6"/>
        <v>2</v>
      </c>
      <c r="F225" s="5">
        <v>44054.625</v>
      </c>
      <c r="G225" s="19" t="str">
        <f t="shared" si="7"/>
        <v/>
      </c>
    </row>
    <row r="226" spans="1:10">
      <c r="A226" s="3">
        <v>27</v>
      </c>
      <c r="B226" t="s">
        <v>179</v>
      </c>
      <c r="C226" t="s">
        <v>8</v>
      </c>
      <c r="E226" s="3">
        <f t="shared" si="6"/>
        <v>3</v>
      </c>
      <c r="F226" s="5">
        <v>44055.625</v>
      </c>
      <c r="G226" s="19" t="str">
        <f t="shared" si="7"/>
        <v/>
      </c>
    </row>
    <row r="227" spans="1:10">
      <c r="A227" s="3">
        <v>21</v>
      </c>
      <c r="B227" t="s">
        <v>180</v>
      </c>
      <c r="C227" t="s">
        <v>8</v>
      </c>
      <c r="E227" s="3">
        <f t="shared" si="6"/>
        <v>4</v>
      </c>
      <c r="F227" s="5">
        <v>44056.625</v>
      </c>
      <c r="G227" s="19" t="str">
        <f t="shared" si="7"/>
        <v/>
      </c>
    </row>
    <row r="228" spans="1:10">
      <c r="A228" s="3">
        <v>27</v>
      </c>
      <c r="B228" t="s">
        <v>181</v>
      </c>
      <c r="C228" t="s">
        <v>8</v>
      </c>
      <c r="E228" s="3">
        <f t="shared" si="6"/>
        <v>5</v>
      </c>
      <c r="F228" s="5">
        <v>44057.625</v>
      </c>
      <c r="G228" s="19" t="str">
        <f t="shared" si="7"/>
        <v/>
      </c>
    </row>
    <row r="229" spans="1:10">
      <c r="A229" s="3">
        <v>14</v>
      </c>
      <c r="B229" t="s">
        <v>182</v>
      </c>
      <c r="C229" t="s">
        <v>8</v>
      </c>
      <c r="E229" s="3">
        <f t="shared" si="6"/>
        <v>6</v>
      </c>
      <c r="F229" s="5">
        <v>44058.625</v>
      </c>
      <c r="G229" s="19" t="str">
        <f t="shared" si="7"/>
        <v/>
      </c>
    </row>
    <row r="230" spans="1:10">
      <c r="A230" s="3">
        <v>43</v>
      </c>
      <c r="B230" t="s">
        <v>183</v>
      </c>
      <c r="C230" t="s">
        <v>8</v>
      </c>
      <c r="E230" s="3">
        <f t="shared" si="6"/>
        <v>7</v>
      </c>
      <c r="F230" s="5">
        <v>44059.625</v>
      </c>
      <c r="G230" s="19" t="str">
        <f t="shared" si="7"/>
        <v/>
      </c>
    </row>
    <row r="231" spans="1:10">
      <c r="A231" s="3">
        <v>27</v>
      </c>
      <c r="B231" t="s">
        <v>184</v>
      </c>
      <c r="C231" t="s">
        <v>8</v>
      </c>
      <c r="E231" s="3">
        <f t="shared" si="6"/>
        <v>1</v>
      </c>
      <c r="F231" s="5">
        <v>44060.625</v>
      </c>
      <c r="G231" s="19" t="str">
        <f t="shared" si="7"/>
        <v>W34</v>
      </c>
      <c r="H231">
        <f>SUM(A231:A237)</f>
        <v>191</v>
      </c>
      <c r="I231" s="28">
        <f>H231/H224-1</f>
        <v>9.1428571428571415E-2</v>
      </c>
      <c r="J231" s="28">
        <f>A231/A224-1</f>
        <v>0.8</v>
      </c>
    </row>
    <row r="232" spans="1:10">
      <c r="A232" s="3">
        <v>39</v>
      </c>
      <c r="B232" t="s">
        <v>185</v>
      </c>
      <c r="C232" t="s">
        <v>8</v>
      </c>
      <c r="E232" s="3">
        <f t="shared" si="6"/>
        <v>2</v>
      </c>
      <c r="F232" s="5">
        <v>44061.625</v>
      </c>
      <c r="G232" s="19" t="str">
        <f t="shared" si="7"/>
        <v/>
      </c>
    </row>
    <row r="233" spans="1:10">
      <c r="A233" s="3">
        <v>47</v>
      </c>
      <c r="B233" t="s">
        <v>186</v>
      </c>
      <c r="C233" t="s">
        <v>8</v>
      </c>
      <c r="E233" s="3">
        <f t="shared" si="6"/>
        <v>3</v>
      </c>
      <c r="F233" s="5">
        <v>44062.625</v>
      </c>
      <c r="G233" s="19" t="str">
        <f t="shared" si="7"/>
        <v/>
      </c>
    </row>
    <row r="234" spans="1:10">
      <c r="A234" s="3">
        <v>27</v>
      </c>
      <c r="B234" t="s">
        <v>187</v>
      </c>
      <c r="C234" t="s">
        <v>8</v>
      </c>
      <c r="E234" s="3">
        <f t="shared" si="6"/>
        <v>4</v>
      </c>
      <c r="F234" s="5">
        <v>44063.625</v>
      </c>
      <c r="G234" s="19" t="str">
        <f t="shared" si="7"/>
        <v/>
      </c>
    </row>
    <row r="235" spans="1:10">
      <c r="A235" s="3">
        <v>25</v>
      </c>
      <c r="B235" t="s">
        <v>188</v>
      </c>
      <c r="C235" t="s">
        <v>8</v>
      </c>
      <c r="E235" s="3">
        <f t="shared" si="6"/>
        <v>5</v>
      </c>
      <c r="F235" s="5">
        <v>44064.625</v>
      </c>
      <c r="G235" s="19" t="str">
        <f t="shared" si="7"/>
        <v/>
      </c>
    </row>
    <row r="236" spans="1:10">
      <c r="A236" s="3">
        <v>16</v>
      </c>
      <c r="B236" t="s">
        <v>189</v>
      </c>
      <c r="C236" t="s">
        <v>8</v>
      </c>
      <c r="E236" s="3">
        <f t="shared" si="6"/>
        <v>6</v>
      </c>
      <c r="F236" s="5">
        <v>44065.625</v>
      </c>
      <c r="G236" s="19" t="str">
        <f t="shared" si="7"/>
        <v/>
      </c>
    </row>
    <row r="237" spans="1:10">
      <c r="A237" s="3">
        <v>10</v>
      </c>
      <c r="B237" t="s">
        <v>190</v>
      </c>
      <c r="C237" t="s">
        <v>8</v>
      </c>
      <c r="E237" s="3">
        <f t="shared" si="6"/>
        <v>7</v>
      </c>
      <c r="F237" s="5">
        <v>44066.625</v>
      </c>
      <c r="G237" s="19" t="str">
        <f t="shared" si="7"/>
        <v/>
      </c>
    </row>
    <row r="238" spans="1:10">
      <c r="A238" s="3">
        <v>17</v>
      </c>
      <c r="B238" t="s">
        <v>191</v>
      </c>
      <c r="C238" t="s">
        <v>8</v>
      </c>
      <c r="E238" s="3">
        <f t="shared" si="6"/>
        <v>1</v>
      </c>
      <c r="F238" s="5">
        <v>44067.625</v>
      </c>
      <c r="G238" s="19" t="str">
        <f t="shared" si="7"/>
        <v>W35</v>
      </c>
      <c r="H238">
        <f>SUM(A238:A244)</f>
        <v>156</v>
      </c>
      <c r="I238" s="28">
        <f>H238/H231-1</f>
        <v>-0.18324607329842935</v>
      </c>
      <c r="J238" s="28">
        <f>A238/A231-1</f>
        <v>-0.37037037037037035</v>
      </c>
    </row>
    <row r="239" spans="1:10">
      <c r="A239" s="3">
        <v>15</v>
      </c>
      <c r="B239" t="s">
        <v>192</v>
      </c>
      <c r="C239" t="s">
        <v>8</v>
      </c>
      <c r="E239" s="3">
        <f t="shared" si="6"/>
        <v>2</v>
      </c>
      <c r="F239" s="5">
        <v>44068.625</v>
      </c>
      <c r="G239" s="19" t="str">
        <f t="shared" ref="G239:G258" si="8">IF(WEEKDAY(F239,2)=1,"W"&amp;WEEKNUM(F239,14),"")</f>
        <v/>
      </c>
    </row>
    <row r="240" spans="1:10">
      <c r="A240" s="3">
        <v>20</v>
      </c>
      <c r="B240" t="s">
        <v>193</v>
      </c>
      <c r="C240" t="s">
        <v>8</v>
      </c>
      <c r="E240" s="3">
        <f t="shared" si="6"/>
        <v>3</v>
      </c>
      <c r="F240" s="5">
        <v>44069.625</v>
      </c>
      <c r="G240" s="19" t="str">
        <f t="shared" si="8"/>
        <v/>
      </c>
    </row>
    <row r="241" spans="1:10">
      <c r="A241" s="3">
        <v>32</v>
      </c>
      <c r="B241" t="s">
        <v>194</v>
      </c>
      <c r="C241" t="s">
        <v>8</v>
      </c>
      <c r="E241" s="3">
        <f t="shared" si="6"/>
        <v>4</v>
      </c>
      <c r="F241" s="5">
        <v>44070.625</v>
      </c>
      <c r="G241" s="19" t="str">
        <f t="shared" si="8"/>
        <v/>
      </c>
    </row>
    <row r="242" spans="1:10">
      <c r="A242" s="3">
        <v>35</v>
      </c>
      <c r="B242" t="s">
        <v>195</v>
      </c>
      <c r="C242" t="s">
        <v>8</v>
      </c>
      <c r="E242" s="3">
        <f t="shared" si="6"/>
        <v>5</v>
      </c>
      <c r="F242" s="5">
        <v>44071.625</v>
      </c>
      <c r="G242" s="19" t="str">
        <f t="shared" si="8"/>
        <v/>
      </c>
    </row>
    <row r="243" spans="1:10">
      <c r="A243" s="3">
        <v>19</v>
      </c>
      <c r="B243" t="s">
        <v>196</v>
      </c>
      <c r="C243" t="s">
        <v>8</v>
      </c>
      <c r="E243" s="3">
        <f t="shared" si="6"/>
        <v>6</v>
      </c>
      <c r="F243" s="5">
        <v>44072.625</v>
      </c>
      <c r="G243" s="19" t="str">
        <f t="shared" si="8"/>
        <v/>
      </c>
    </row>
    <row r="244" spans="1:10">
      <c r="A244" s="3">
        <v>18</v>
      </c>
      <c r="B244" t="s">
        <v>197</v>
      </c>
      <c r="C244" t="s">
        <v>8</v>
      </c>
      <c r="E244" s="3">
        <f t="shared" si="6"/>
        <v>7</v>
      </c>
      <c r="F244" s="5">
        <v>44073.625</v>
      </c>
      <c r="G244" s="19" t="str">
        <f t="shared" si="8"/>
        <v/>
      </c>
    </row>
    <row r="245" spans="1:10">
      <c r="A245" s="3">
        <v>48</v>
      </c>
      <c r="B245" t="s">
        <v>198</v>
      </c>
      <c r="C245" t="s">
        <v>8</v>
      </c>
      <c r="E245" s="3">
        <f t="shared" si="6"/>
        <v>1</v>
      </c>
      <c r="F245" s="5">
        <v>44074.625</v>
      </c>
      <c r="G245" s="19" t="str">
        <f t="shared" si="8"/>
        <v>W36</v>
      </c>
      <c r="H245">
        <f>SUM(A245:A251)</f>
        <v>235</v>
      </c>
      <c r="I245" s="28">
        <f>H245/H238-1</f>
        <v>0.50641025641025639</v>
      </c>
      <c r="J245" s="28">
        <f>A245/A238-1</f>
        <v>1.8235294117647061</v>
      </c>
    </row>
    <row r="246" spans="1:10">
      <c r="A246" s="3">
        <v>29</v>
      </c>
      <c r="B246" t="s">
        <v>199</v>
      </c>
      <c r="C246" t="s">
        <v>8</v>
      </c>
      <c r="E246" s="3">
        <f t="shared" si="6"/>
        <v>2</v>
      </c>
      <c r="F246" s="5">
        <v>44075.625</v>
      </c>
      <c r="G246" s="19" t="str">
        <f t="shared" si="8"/>
        <v/>
      </c>
    </row>
    <row r="247" spans="1:10">
      <c r="A247" s="3">
        <v>26</v>
      </c>
      <c r="B247" t="s">
        <v>200</v>
      </c>
      <c r="C247" t="s">
        <v>8</v>
      </c>
      <c r="E247" s="3">
        <f t="shared" si="6"/>
        <v>3</v>
      </c>
      <c r="F247" s="5">
        <v>44076.625</v>
      </c>
      <c r="G247" s="19" t="str">
        <f t="shared" si="8"/>
        <v/>
      </c>
    </row>
    <row r="248" spans="1:10">
      <c r="A248" s="3">
        <v>35</v>
      </c>
      <c r="B248" t="s">
        <v>201</v>
      </c>
      <c r="C248" t="s">
        <v>8</v>
      </c>
      <c r="E248" s="3">
        <f t="shared" si="6"/>
        <v>4</v>
      </c>
      <c r="F248" s="5">
        <v>44077.625</v>
      </c>
      <c r="G248" s="19" t="str">
        <f t="shared" si="8"/>
        <v/>
      </c>
    </row>
    <row r="249" spans="1:10">
      <c r="A249" s="3">
        <v>42</v>
      </c>
      <c r="B249" t="s">
        <v>202</v>
      </c>
      <c r="C249" t="s">
        <v>8</v>
      </c>
      <c r="E249" s="3">
        <f t="shared" si="6"/>
        <v>5</v>
      </c>
      <c r="F249" s="5">
        <v>44078.625</v>
      </c>
      <c r="G249" s="19" t="str">
        <f t="shared" si="8"/>
        <v/>
      </c>
    </row>
    <row r="250" spans="1:10">
      <c r="A250" s="3">
        <v>22</v>
      </c>
      <c r="B250" t="s">
        <v>203</v>
      </c>
      <c r="C250" t="s">
        <v>8</v>
      </c>
      <c r="E250" s="3">
        <f t="shared" si="6"/>
        <v>6</v>
      </c>
      <c r="F250" s="5">
        <v>44079.625</v>
      </c>
      <c r="G250" s="19" t="str">
        <f t="shared" si="8"/>
        <v/>
      </c>
    </row>
    <row r="251" spans="1:10">
      <c r="A251" s="3">
        <v>33</v>
      </c>
      <c r="B251" t="s">
        <v>204</v>
      </c>
      <c r="C251" t="s">
        <v>8</v>
      </c>
      <c r="E251" s="3">
        <f t="shared" si="6"/>
        <v>7</v>
      </c>
      <c r="F251" s="5">
        <v>44080.625</v>
      </c>
      <c r="G251" s="19" t="str">
        <f t="shared" si="8"/>
        <v/>
      </c>
    </row>
    <row r="252" spans="1:10">
      <c r="A252" s="3">
        <v>45</v>
      </c>
      <c r="B252" t="s">
        <v>205</v>
      </c>
      <c r="C252" t="s">
        <v>8</v>
      </c>
      <c r="E252" s="3">
        <f t="shared" si="6"/>
        <v>1</v>
      </c>
      <c r="F252" s="5">
        <v>44081.625</v>
      </c>
      <c r="G252" s="19" t="str">
        <f t="shared" si="8"/>
        <v>W37</v>
      </c>
      <c r="H252">
        <f>SUM(A252:A258)</f>
        <v>354</v>
      </c>
      <c r="I252" s="28">
        <f>H252/H245-1</f>
        <v>0.50638297872340421</v>
      </c>
      <c r="J252" s="28">
        <f>A252/A245-1</f>
        <v>-6.25E-2</v>
      </c>
    </row>
    <row r="253" spans="1:10">
      <c r="A253" s="3">
        <v>57</v>
      </c>
      <c r="B253" t="s">
        <v>206</v>
      </c>
      <c r="C253" t="s">
        <v>8</v>
      </c>
      <c r="E253" s="3">
        <f t="shared" si="6"/>
        <v>2</v>
      </c>
      <c r="F253" s="5">
        <v>44082.625</v>
      </c>
      <c r="G253" s="19" t="str">
        <f t="shared" si="8"/>
        <v/>
      </c>
    </row>
    <row r="254" spans="1:10">
      <c r="A254" s="3">
        <v>55</v>
      </c>
      <c r="B254" t="s">
        <v>207</v>
      </c>
      <c r="C254" t="s">
        <v>8</v>
      </c>
      <c r="E254" s="3">
        <f t="shared" si="6"/>
        <v>3</v>
      </c>
      <c r="F254" s="5">
        <v>44083.625</v>
      </c>
      <c r="G254" s="19" t="str">
        <f t="shared" si="8"/>
        <v/>
      </c>
    </row>
    <row r="255" spans="1:10">
      <c r="A255" s="3">
        <v>53</v>
      </c>
      <c r="B255" t="s">
        <v>208</v>
      </c>
      <c r="C255" t="s">
        <v>8</v>
      </c>
      <c r="E255" s="3">
        <f t="shared" si="6"/>
        <v>4</v>
      </c>
      <c r="F255" s="5">
        <v>44084.625</v>
      </c>
      <c r="G255" s="19" t="str">
        <f t="shared" si="8"/>
        <v/>
      </c>
    </row>
    <row r="256" spans="1:10">
      <c r="A256" s="3">
        <v>58</v>
      </c>
      <c r="B256" t="s">
        <v>209</v>
      </c>
      <c r="C256" t="s">
        <v>8</v>
      </c>
      <c r="E256" s="3">
        <f t="shared" si="6"/>
        <v>5</v>
      </c>
      <c r="F256" s="5">
        <v>44085.625</v>
      </c>
      <c r="G256" s="19" t="str">
        <f t="shared" si="8"/>
        <v/>
      </c>
    </row>
    <row r="257" spans="1:10">
      <c r="A257" s="3">
        <v>40</v>
      </c>
      <c r="B257" t="s">
        <v>210</v>
      </c>
      <c r="C257" t="s">
        <v>8</v>
      </c>
      <c r="E257" s="3">
        <f t="shared" si="6"/>
        <v>6</v>
      </c>
      <c r="F257" s="5">
        <v>44086.625</v>
      </c>
      <c r="G257" s="19" t="str">
        <f t="shared" si="8"/>
        <v/>
      </c>
    </row>
    <row r="258" spans="1:10">
      <c r="A258" s="3">
        <v>46</v>
      </c>
      <c r="B258" t="s">
        <v>211</v>
      </c>
      <c r="C258" t="s">
        <v>8</v>
      </c>
      <c r="E258" s="3">
        <f t="shared" si="6"/>
        <v>7</v>
      </c>
      <c r="F258" s="5">
        <v>44087.625</v>
      </c>
      <c r="G258" s="19" t="str">
        <f t="shared" si="8"/>
        <v/>
      </c>
    </row>
    <row r="259" spans="1:10">
      <c r="A259" s="3">
        <v>59</v>
      </c>
      <c r="B259" t="s">
        <v>212</v>
      </c>
      <c r="C259" t="s">
        <v>8</v>
      </c>
      <c r="E259" s="3">
        <f t="shared" ref="E259:E324" si="9">WEEKDAY(F259,2)</f>
        <v>1</v>
      </c>
      <c r="F259" s="5">
        <v>44088.625</v>
      </c>
      <c r="G259" s="19" t="str">
        <f t="shared" ref="G259" si="10">IF(WEEKDAY(F259,2)=1,"W"&amp;WEEKNUM(F259,14),"")</f>
        <v>W38</v>
      </c>
      <c r="H259">
        <f>SUM(A259:A265)</f>
        <v>466</v>
      </c>
      <c r="I259" s="28">
        <f>H259/H252-1</f>
        <v>0.31638418079096042</v>
      </c>
      <c r="J259" s="28">
        <f>A259/A252-1</f>
        <v>0.31111111111111112</v>
      </c>
    </row>
    <row r="260" spans="1:10">
      <c r="A260" s="3">
        <v>53</v>
      </c>
      <c r="B260" t="s">
        <v>213</v>
      </c>
      <c r="C260" t="s">
        <v>8</v>
      </c>
      <c r="E260" s="3">
        <f t="shared" si="9"/>
        <v>2</v>
      </c>
      <c r="F260" s="5">
        <v>44089.625</v>
      </c>
      <c r="G260" s="19" t="str">
        <f t="shared" ref="G260:G308" si="11">IF(WEEKDAY(F260,2)=1,"W"&amp;WEEKNUM(F260,14),"")</f>
        <v/>
      </c>
    </row>
    <row r="261" spans="1:10">
      <c r="A261" s="3">
        <v>57</v>
      </c>
      <c r="B261" t="s">
        <v>214</v>
      </c>
      <c r="C261" t="s">
        <v>8</v>
      </c>
      <c r="E261" s="3">
        <f t="shared" si="9"/>
        <v>3</v>
      </c>
      <c r="F261" s="5">
        <v>44090.625</v>
      </c>
      <c r="G261" s="19" t="str">
        <f t="shared" si="11"/>
        <v/>
      </c>
    </row>
    <row r="262" spans="1:10">
      <c r="A262" s="3">
        <v>85</v>
      </c>
      <c r="B262" t="s">
        <v>215</v>
      </c>
      <c r="C262" t="s">
        <v>8</v>
      </c>
      <c r="E262" s="3">
        <f t="shared" si="9"/>
        <v>4</v>
      </c>
      <c r="F262" s="5">
        <v>44091.625</v>
      </c>
      <c r="G262" s="19" t="str">
        <f t="shared" si="11"/>
        <v/>
      </c>
    </row>
    <row r="263" spans="1:10">
      <c r="A263" s="3">
        <v>77</v>
      </c>
      <c r="B263" t="s">
        <v>216</v>
      </c>
      <c r="C263" t="s">
        <v>8</v>
      </c>
      <c r="E263" s="3">
        <f t="shared" si="9"/>
        <v>5</v>
      </c>
      <c r="F263" s="5">
        <v>44092.625</v>
      </c>
      <c r="G263" s="19" t="str">
        <f t="shared" si="11"/>
        <v/>
      </c>
    </row>
    <row r="264" spans="1:10">
      <c r="A264" s="3">
        <v>61</v>
      </c>
      <c r="B264" t="s">
        <v>217</v>
      </c>
      <c r="C264" t="s">
        <v>8</v>
      </c>
      <c r="E264" s="3">
        <f t="shared" si="9"/>
        <v>6</v>
      </c>
      <c r="F264" s="5">
        <v>44093.625</v>
      </c>
      <c r="G264" s="19" t="str">
        <f t="shared" si="11"/>
        <v/>
      </c>
    </row>
    <row r="265" spans="1:10">
      <c r="A265" s="3">
        <v>74</v>
      </c>
      <c r="B265" t="s">
        <v>218</v>
      </c>
      <c r="C265" t="s">
        <v>8</v>
      </c>
      <c r="E265" s="3">
        <f t="shared" si="9"/>
        <v>7</v>
      </c>
      <c r="F265" s="5">
        <v>44094.625</v>
      </c>
      <c r="G265" s="19" t="str">
        <f t="shared" si="11"/>
        <v/>
      </c>
    </row>
    <row r="266" spans="1:10">
      <c r="A266" s="3">
        <v>120</v>
      </c>
      <c r="B266" t="s">
        <v>219</v>
      </c>
      <c r="C266" t="s">
        <v>8</v>
      </c>
      <c r="E266" s="3">
        <f t="shared" si="9"/>
        <v>1</v>
      </c>
      <c r="F266" s="5">
        <v>44095.625</v>
      </c>
      <c r="G266" s="19" t="str">
        <f t="shared" si="11"/>
        <v>W39</v>
      </c>
      <c r="H266">
        <f>SUM(A266:A272)</f>
        <v>716</v>
      </c>
      <c r="I266" s="28">
        <f>H266/H259-1</f>
        <v>0.53648068669527893</v>
      </c>
      <c r="J266" s="28">
        <f>A266/A259-1</f>
        <v>1.0338983050847457</v>
      </c>
    </row>
    <row r="267" spans="1:10">
      <c r="A267" s="3">
        <v>110</v>
      </c>
      <c r="B267" t="s">
        <v>220</v>
      </c>
      <c r="C267" t="s">
        <v>8</v>
      </c>
      <c r="E267" s="3">
        <f t="shared" si="9"/>
        <v>2</v>
      </c>
      <c r="F267" s="5">
        <v>44096.625</v>
      </c>
      <c r="G267" s="19" t="str">
        <f t="shared" si="11"/>
        <v/>
      </c>
    </row>
    <row r="268" spans="1:10">
      <c r="A268" s="3">
        <v>117</v>
      </c>
      <c r="B268" t="s">
        <v>221</v>
      </c>
      <c r="C268" t="s">
        <v>8</v>
      </c>
      <c r="E268" s="3">
        <f t="shared" si="9"/>
        <v>3</v>
      </c>
      <c r="F268" s="5">
        <v>44097.625</v>
      </c>
      <c r="G268" s="19" t="str">
        <f t="shared" si="11"/>
        <v/>
      </c>
    </row>
    <row r="269" spans="1:10">
      <c r="A269" s="3">
        <v>98</v>
      </c>
      <c r="B269" t="s">
        <v>222</v>
      </c>
      <c r="C269" t="s">
        <v>8</v>
      </c>
      <c r="E269" s="3">
        <f t="shared" si="9"/>
        <v>4</v>
      </c>
      <c r="F269" s="5">
        <v>44098.625</v>
      </c>
      <c r="G269" s="19" t="str">
        <f t="shared" si="11"/>
        <v/>
      </c>
    </row>
    <row r="270" spans="1:10">
      <c r="A270" s="3">
        <v>127</v>
      </c>
      <c r="B270" t="s">
        <v>223</v>
      </c>
      <c r="C270" t="s">
        <v>8</v>
      </c>
      <c r="E270" s="3">
        <f t="shared" si="9"/>
        <v>5</v>
      </c>
      <c r="F270" s="5">
        <v>44099.625</v>
      </c>
      <c r="G270" s="19" t="str">
        <f t="shared" si="11"/>
        <v/>
      </c>
    </row>
    <row r="271" spans="1:10">
      <c r="A271" s="3">
        <v>74</v>
      </c>
      <c r="B271" t="s">
        <v>224</v>
      </c>
      <c r="C271" t="s">
        <v>8</v>
      </c>
      <c r="E271" s="3">
        <f t="shared" si="9"/>
        <v>6</v>
      </c>
      <c r="F271" s="5">
        <v>44100.625</v>
      </c>
      <c r="G271" s="19" t="str">
        <f t="shared" si="11"/>
        <v/>
      </c>
    </row>
    <row r="272" spans="1:10">
      <c r="A272" s="3">
        <v>70</v>
      </c>
      <c r="B272" t="s">
        <v>225</v>
      </c>
      <c r="C272" t="s">
        <v>8</v>
      </c>
      <c r="E272" s="3">
        <f t="shared" si="9"/>
        <v>7</v>
      </c>
      <c r="F272" s="5">
        <v>44101.625</v>
      </c>
      <c r="G272" s="19" t="str">
        <f t="shared" si="11"/>
        <v/>
      </c>
    </row>
    <row r="273" spans="1:10">
      <c r="A273" s="3">
        <v>122</v>
      </c>
      <c r="B273" t="s">
        <v>226</v>
      </c>
      <c r="C273" t="s">
        <v>8</v>
      </c>
      <c r="E273" s="3">
        <f t="shared" si="9"/>
        <v>1</v>
      </c>
      <c r="F273" s="5">
        <v>44102.625</v>
      </c>
      <c r="G273" s="19" t="str">
        <f t="shared" si="11"/>
        <v>W40</v>
      </c>
      <c r="H273">
        <f>SUM(A273:A279)</f>
        <v>1127</v>
      </c>
      <c r="I273" s="28">
        <f>H273/H266-1</f>
        <v>0.57402234636871508</v>
      </c>
      <c r="J273" s="28">
        <f>A273/A266-1</f>
        <v>1.6666666666666607E-2</v>
      </c>
    </row>
    <row r="274" spans="1:10">
      <c r="A274" s="3">
        <v>133</v>
      </c>
      <c r="B274" t="s">
        <v>227</v>
      </c>
      <c r="C274" t="s">
        <v>8</v>
      </c>
      <c r="E274" s="3">
        <f t="shared" si="9"/>
        <v>2</v>
      </c>
      <c r="F274" s="5">
        <v>44103.625</v>
      </c>
      <c r="G274" s="19" t="str">
        <f t="shared" si="11"/>
        <v/>
      </c>
    </row>
    <row r="275" spans="1:10">
      <c r="A275" s="3">
        <v>166</v>
      </c>
      <c r="B275" t="s">
        <v>229</v>
      </c>
      <c r="C275" t="s">
        <v>8</v>
      </c>
      <c r="E275" s="3">
        <f t="shared" si="9"/>
        <v>3</v>
      </c>
      <c r="F275" s="5">
        <v>44104.625</v>
      </c>
      <c r="G275" s="19" t="str">
        <f t="shared" si="11"/>
        <v/>
      </c>
    </row>
    <row r="276" spans="1:10">
      <c r="A276" s="3">
        <v>191</v>
      </c>
      <c r="B276" t="s">
        <v>231</v>
      </c>
      <c r="C276" t="s">
        <v>8</v>
      </c>
      <c r="E276" s="3">
        <f t="shared" si="9"/>
        <v>4</v>
      </c>
      <c r="F276" s="5">
        <v>44105.625</v>
      </c>
      <c r="G276" s="19" t="str">
        <f t="shared" si="11"/>
        <v/>
      </c>
    </row>
    <row r="277" spans="1:10">
      <c r="A277" s="3">
        <v>188</v>
      </c>
      <c r="B277" t="s">
        <v>232</v>
      </c>
      <c r="C277" t="s">
        <v>8</v>
      </c>
      <c r="E277" s="3">
        <f t="shared" si="9"/>
        <v>5</v>
      </c>
      <c r="F277" s="5">
        <v>44106.625</v>
      </c>
      <c r="G277" s="19" t="str">
        <f t="shared" si="11"/>
        <v/>
      </c>
    </row>
    <row r="278" spans="1:10">
      <c r="A278" s="3">
        <v>179</v>
      </c>
      <c r="B278" t="s">
        <v>234</v>
      </c>
      <c r="C278" t="s">
        <v>8</v>
      </c>
      <c r="E278" s="3">
        <f t="shared" si="9"/>
        <v>6</v>
      </c>
      <c r="F278" s="5">
        <v>44107.625</v>
      </c>
      <c r="G278" s="19" t="str">
        <f t="shared" si="11"/>
        <v/>
      </c>
    </row>
    <row r="279" spans="1:10">
      <c r="A279" s="3">
        <v>148</v>
      </c>
      <c r="B279" t="s">
        <v>293</v>
      </c>
      <c r="C279" t="s">
        <v>8</v>
      </c>
      <c r="E279" s="3">
        <f t="shared" si="9"/>
        <v>7</v>
      </c>
      <c r="F279" s="5">
        <v>44108.625</v>
      </c>
      <c r="G279" s="19" t="str">
        <f t="shared" si="11"/>
        <v/>
      </c>
    </row>
    <row r="280" spans="1:10" s="10" customFormat="1">
      <c r="A280" s="14">
        <v>291</v>
      </c>
      <c r="B280" s="10" t="s">
        <v>294</v>
      </c>
      <c r="C280" s="10" t="s">
        <v>8</v>
      </c>
      <c r="E280" s="14">
        <f t="shared" si="9"/>
        <v>1</v>
      </c>
      <c r="F280" s="18">
        <v>44109.625</v>
      </c>
      <c r="G280" s="19" t="str">
        <f t="shared" si="11"/>
        <v>W41</v>
      </c>
      <c r="H280">
        <f>SUM(A280:A286)</f>
        <v>1624</v>
      </c>
      <c r="I280" s="28">
        <f>H280/H273-1</f>
        <v>0.44099378881987583</v>
      </c>
      <c r="J280" s="28">
        <f>A280/A273-1</f>
        <v>1.3852459016393444</v>
      </c>
    </row>
    <row r="281" spans="1:10">
      <c r="A281" s="3">
        <v>302</v>
      </c>
      <c r="B281" t="s">
        <v>295</v>
      </c>
      <c r="C281" t="s">
        <v>8</v>
      </c>
      <c r="E281" s="3">
        <f t="shared" si="9"/>
        <v>2</v>
      </c>
      <c r="F281" s="5">
        <v>44110.625</v>
      </c>
      <c r="G281" s="19" t="str">
        <f t="shared" si="11"/>
        <v/>
      </c>
    </row>
    <row r="282" spans="1:10">
      <c r="A282" s="3">
        <v>306</v>
      </c>
      <c r="B282" t="s">
        <v>296</v>
      </c>
      <c r="C282" t="s">
        <v>8</v>
      </c>
      <c r="E282" s="3">
        <f t="shared" si="9"/>
        <v>3</v>
      </c>
      <c r="F282" s="5">
        <v>44111.625</v>
      </c>
      <c r="G282" s="19" t="str">
        <f t="shared" si="11"/>
        <v/>
      </c>
    </row>
    <row r="283" spans="1:10">
      <c r="A283" s="3">
        <v>259</v>
      </c>
      <c r="B283" t="s">
        <v>297</v>
      </c>
      <c r="C283" t="s">
        <v>8</v>
      </c>
      <c r="E283" s="3">
        <f t="shared" si="9"/>
        <v>4</v>
      </c>
      <c r="F283" s="5">
        <v>44112.625</v>
      </c>
      <c r="G283" s="19" t="str">
        <f t="shared" si="11"/>
        <v/>
      </c>
    </row>
    <row r="284" spans="1:10">
      <c r="A284" s="3">
        <v>226</v>
      </c>
      <c r="B284" t="s">
        <v>298</v>
      </c>
      <c r="C284" t="s">
        <v>8</v>
      </c>
      <c r="E284" s="3">
        <f t="shared" si="9"/>
        <v>5</v>
      </c>
      <c r="F284" s="5">
        <v>44113.625</v>
      </c>
      <c r="G284" s="19" t="str">
        <f t="shared" si="11"/>
        <v/>
      </c>
    </row>
    <row r="285" spans="1:10">
      <c r="A285" s="3">
        <v>110</v>
      </c>
      <c r="B285" t="s">
        <v>301</v>
      </c>
      <c r="C285" t="s">
        <v>8</v>
      </c>
      <c r="E285" s="3">
        <f t="shared" si="9"/>
        <v>6</v>
      </c>
      <c r="F285" s="5">
        <v>44114.625</v>
      </c>
      <c r="G285" s="19" t="str">
        <f t="shared" si="11"/>
        <v/>
      </c>
    </row>
    <row r="286" spans="1:10">
      <c r="A286" s="3">
        <v>130</v>
      </c>
      <c r="B286" t="s">
        <v>302</v>
      </c>
      <c r="C286" t="s">
        <v>8</v>
      </c>
      <c r="E286" s="3">
        <f t="shared" si="9"/>
        <v>7</v>
      </c>
      <c r="F286" s="5">
        <v>44115.625</v>
      </c>
      <c r="G286" s="19" t="str">
        <f t="shared" si="11"/>
        <v/>
      </c>
    </row>
    <row r="287" spans="1:10" s="10" customFormat="1">
      <c r="A287" s="14">
        <v>256</v>
      </c>
      <c r="B287" s="10" t="s">
        <v>306</v>
      </c>
      <c r="C287" s="10" t="s">
        <v>8</v>
      </c>
      <c r="E287" s="14">
        <f t="shared" si="9"/>
        <v>1</v>
      </c>
      <c r="F287" s="18">
        <v>44116.625</v>
      </c>
      <c r="G287" s="19" t="str">
        <f t="shared" si="11"/>
        <v>W42</v>
      </c>
      <c r="H287">
        <f>SUM(A287:A293)</f>
        <v>1276</v>
      </c>
      <c r="I287" s="28">
        <f>H287/H280-1</f>
        <v>-0.2142857142857143</v>
      </c>
      <c r="J287" s="28">
        <f>A287/A280-1</f>
        <v>-0.1202749140893471</v>
      </c>
    </row>
    <row r="288" spans="1:10">
      <c r="A288" s="3">
        <v>199</v>
      </c>
      <c r="B288" t="s">
        <v>307</v>
      </c>
      <c r="C288" t="s">
        <v>8</v>
      </c>
      <c r="E288" s="3">
        <f t="shared" si="9"/>
        <v>2</v>
      </c>
      <c r="F288" s="5">
        <v>44117.625</v>
      </c>
      <c r="G288" s="19" t="str">
        <f t="shared" si="11"/>
        <v/>
      </c>
    </row>
    <row r="289" spans="1:10">
      <c r="A289" s="3">
        <v>202</v>
      </c>
      <c r="B289" t="s">
        <v>308</v>
      </c>
      <c r="C289" t="s">
        <v>8</v>
      </c>
      <c r="E289" s="3">
        <f t="shared" si="9"/>
        <v>3</v>
      </c>
      <c r="F289" s="5">
        <v>44118.625</v>
      </c>
      <c r="G289" s="19" t="str">
        <f t="shared" si="11"/>
        <v/>
      </c>
    </row>
    <row r="290" spans="1:10">
      <c r="A290" s="3">
        <v>190</v>
      </c>
      <c r="B290" t="s">
        <v>309</v>
      </c>
      <c r="C290" t="s">
        <v>8</v>
      </c>
      <c r="E290" s="3">
        <f t="shared" si="9"/>
        <v>4</v>
      </c>
      <c r="F290" s="5">
        <v>44119.625</v>
      </c>
      <c r="G290" s="19" t="str">
        <f t="shared" si="11"/>
        <v/>
      </c>
    </row>
    <row r="291" spans="1:10">
      <c r="A291" s="3">
        <v>195</v>
      </c>
      <c r="B291" t="s">
        <v>310</v>
      </c>
      <c r="C291" t="s">
        <v>8</v>
      </c>
      <c r="E291" s="3">
        <f t="shared" si="9"/>
        <v>5</v>
      </c>
      <c r="F291" s="5">
        <v>44120.625</v>
      </c>
      <c r="G291" s="19" t="str">
        <f t="shared" si="11"/>
        <v/>
      </c>
    </row>
    <row r="292" spans="1:10">
      <c r="A292" s="3">
        <v>104</v>
      </c>
      <c r="B292" t="s">
        <v>311</v>
      </c>
      <c r="C292" t="s">
        <v>8</v>
      </c>
      <c r="E292" s="3">
        <f t="shared" si="9"/>
        <v>6</v>
      </c>
      <c r="F292" s="5">
        <v>44121.625</v>
      </c>
      <c r="G292" s="19" t="str">
        <f t="shared" si="11"/>
        <v/>
      </c>
    </row>
    <row r="293" spans="1:10">
      <c r="A293" s="3">
        <v>130</v>
      </c>
      <c r="B293" t="s">
        <v>312</v>
      </c>
      <c r="C293" t="s">
        <v>8</v>
      </c>
      <c r="E293" s="3">
        <f t="shared" si="9"/>
        <v>7</v>
      </c>
      <c r="F293" s="5">
        <v>44122.625</v>
      </c>
      <c r="G293" s="19" t="str">
        <f t="shared" si="11"/>
        <v/>
      </c>
    </row>
    <row r="294" spans="1:10" s="10" customFormat="1">
      <c r="A294" s="14">
        <v>244</v>
      </c>
      <c r="B294" s="10" t="s">
        <v>313</v>
      </c>
      <c r="C294" s="10" t="s">
        <v>8</v>
      </c>
      <c r="E294" s="14">
        <f t="shared" si="9"/>
        <v>1</v>
      </c>
      <c r="F294" s="18">
        <v>44123.625</v>
      </c>
      <c r="G294" s="19" t="str">
        <f t="shared" si="11"/>
        <v>W43</v>
      </c>
      <c r="H294">
        <f>SUM(A294:A300)</f>
        <v>1243</v>
      </c>
      <c r="I294" s="28">
        <f>H294/H287-1</f>
        <v>-2.5862068965517238E-2</v>
      </c>
      <c r="J294" s="28">
        <f>A294/A287-1</f>
        <v>-4.6875E-2</v>
      </c>
    </row>
    <row r="295" spans="1:10">
      <c r="A295" s="3">
        <v>167</v>
      </c>
      <c r="B295" t="s">
        <v>314</v>
      </c>
      <c r="C295" t="s">
        <v>8</v>
      </c>
      <c r="E295" s="3">
        <f t="shared" si="9"/>
        <v>2</v>
      </c>
      <c r="F295" s="5">
        <v>44124.625</v>
      </c>
      <c r="G295" s="19" t="str">
        <f t="shared" si="11"/>
        <v/>
      </c>
    </row>
    <row r="296" spans="1:10">
      <c r="A296" s="3">
        <v>188</v>
      </c>
      <c r="B296" t="s">
        <v>315</v>
      </c>
      <c r="C296" t="s">
        <v>8</v>
      </c>
      <c r="E296" s="3">
        <f t="shared" si="9"/>
        <v>3</v>
      </c>
      <c r="F296" s="5">
        <v>44125.625</v>
      </c>
      <c r="G296" s="19" t="str">
        <f t="shared" si="11"/>
        <v/>
      </c>
    </row>
    <row r="297" spans="1:10">
      <c r="A297" s="3">
        <v>220</v>
      </c>
      <c r="B297" t="s">
        <v>316</v>
      </c>
      <c r="C297" t="s">
        <v>8</v>
      </c>
      <c r="E297" s="3">
        <f t="shared" si="9"/>
        <v>4</v>
      </c>
      <c r="F297" s="5">
        <v>44126.625</v>
      </c>
      <c r="G297" s="19" t="str">
        <f t="shared" si="11"/>
        <v/>
      </c>
    </row>
    <row r="298" spans="1:10">
      <c r="A298" s="3">
        <v>193</v>
      </c>
      <c r="B298" t="s">
        <v>317</v>
      </c>
      <c r="C298" t="s">
        <v>8</v>
      </c>
      <c r="E298" s="3">
        <f t="shared" si="9"/>
        <v>5</v>
      </c>
      <c r="F298" s="5">
        <v>44127.625</v>
      </c>
      <c r="G298" s="19" t="str">
        <f t="shared" si="11"/>
        <v/>
      </c>
    </row>
    <row r="299" spans="1:10">
      <c r="A299" s="3">
        <v>107</v>
      </c>
      <c r="B299" t="s">
        <v>318</v>
      </c>
      <c r="C299" t="s">
        <v>8</v>
      </c>
      <c r="E299" s="3">
        <f t="shared" si="9"/>
        <v>6</v>
      </c>
      <c r="F299" s="5">
        <v>44128.625</v>
      </c>
      <c r="G299" s="19" t="str">
        <f t="shared" si="11"/>
        <v/>
      </c>
    </row>
    <row r="300" spans="1:10">
      <c r="A300" s="3">
        <v>124</v>
      </c>
      <c r="B300" t="s">
        <v>319</v>
      </c>
      <c r="C300" t="s">
        <v>8</v>
      </c>
      <c r="E300" s="3">
        <f t="shared" si="9"/>
        <v>7</v>
      </c>
      <c r="F300" s="5">
        <v>44129.625</v>
      </c>
      <c r="G300" s="19" t="str">
        <f t="shared" si="11"/>
        <v/>
      </c>
    </row>
    <row r="301" spans="1:10" s="10" customFormat="1">
      <c r="A301" s="14">
        <v>255</v>
      </c>
      <c r="B301" s="10" t="s">
        <v>320</v>
      </c>
      <c r="C301" s="10" t="s">
        <v>8</v>
      </c>
      <c r="E301" s="14">
        <f t="shared" si="9"/>
        <v>1</v>
      </c>
      <c r="F301" s="18">
        <v>44130.625</v>
      </c>
      <c r="G301" s="19" t="str">
        <f t="shared" si="11"/>
        <v>W44</v>
      </c>
      <c r="H301">
        <f>SUM(A301:A307)</f>
        <v>1454</v>
      </c>
      <c r="I301" s="28">
        <f>H301/H294-1</f>
        <v>0.169750603378922</v>
      </c>
      <c r="J301" s="28">
        <f>A301/A294-1</f>
        <v>4.508196721311486E-2</v>
      </c>
    </row>
    <row r="302" spans="1:10">
      <c r="A302" s="3">
        <v>231</v>
      </c>
      <c r="B302" t="s">
        <v>321</v>
      </c>
      <c r="C302" t="s">
        <v>8</v>
      </c>
      <c r="E302" s="3">
        <f t="shared" si="9"/>
        <v>2</v>
      </c>
      <c r="F302" s="5">
        <v>44131.625</v>
      </c>
      <c r="G302" s="19" t="str">
        <f t="shared" si="11"/>
        <v/>
      </c>
    </row>
    <row r="303" spans="1:10">
      <c r="A303" s="3">
        <v>240</v>
      </c>
      <c r="B303" t="s">
        <v>322</v>
      </c>
      <c r="C303" t="s">
        <v>8</v>
      </c>
      <c r="E303" s="3">
        <f t="shared" si="9"/>
        <v>3</v>
      </c>
      <c r="F303" s="5">
        <v>44132.625</v>
      </c>
      <c r="G303" s="19" t="str">
        <f t="shared" si="11"/>
        <v/>
      </c>
    </row>
    <row r="304" spans="1:10">
      <c r="A304" s="3">
        <v>237</v>
      </c>
      <c r="B304" t="s">
        <v>323</v>
      </c>
      <c r="C304" t="s">
        <v>8</v>
      </c>
      <c r="E304" s="3">
        <f t="shared" si="9"/>
        <v>4</v>
      </c>
      <c r="F304" s="5">
        <v>44133.625</v>
      </c>
      <c r="G304" s="19" t="str">
        <f t="shared" si="11"/>
        <v/>
      </c>
    </row>
    <row r="305" spans="1:10">
      <c r="A305" s="3">
        <v>220</v>
      </c>
      <c r="B305" t="s">
        <v>324</v>
      </c>
      <c r="C305" t="s">
        <v>8</v>
      </c>
      <c r="E305" s="3">
        <f t="shared" si="9"/>
        <v>5</v>
      </c>
      <c r="F305" s="5">
        <v>44134.625</v>
      </c>
      <c r="G305" s="19" t="str">
        <f t="shared" si="11"/>
        <v/>
      </c>
    </row>
    <row r="306" spans="1:10">
      <c r="A306" s="3">
        <v>121</v>
      </c>
      <c r="B306" t="s">
        <v>325</v>
      </c>
      <c r="C306" t="s">
        <v>8</v>
      </c>
      <c r="E306" s="3">
        <f t="shared" si="9"/>
        <v>6</v>
      </c>
      <c r="F306" s="5">
        <v>44135.625</v>
      </c>
      <c r="G306" s="19" t="str">
        <f t="shared" si="11"/>
        <v/>
      </c>
    </row>
    <row r="307" spans="1:10">
      <c r="A307" s="3">
        <v>150</v>
      </c>
      <c r="B307" t="s">
        <v>326</v>
      </c>
      <c r="C307" t="s">
        <v>8</v>
      </c>
      <c r="E307" s="3">
        <f t="shared" si="9"/>
        <v>7</v>
      </c>
      <c r="F307" s="5">
        <v>44136.625</v>
      </c>
      <c r="G307" s="19" t="str">
        <f t="shared" si="11"/>
        <v/>
      </c>
    </row>
    <row r="308" spans="1:10" s="10" customFormat="1">
      <c r="A308" s="14">
        <v>288</v>
      </c>
      <c r="B308" s="10" t="s">
        <v>327</v>
      </c>
      <c r="C308" s="10" t="s">
        <v>8</v>
      </c>
      <c r="E308" s="14">
        <f t="shared" si="9"/>
        <v>1</v>
      </c>
      <c r="F308" s="18">
        <v>44137.625</v>
      </c>
      <c r="G308" s="19" t="str">
        <f t="shared" si="11"/>
        <v>W45</v>
      </c>
      <c r="H308">
        <f>SUM(A308:A314)</f>
        <v>1418</v>
      </c>
      <c r="I308" s="28">
        <f>H308/H301-1</f>
        <v>-2.4759284731774467E-2</v>
      </c>
      <c r="J308" s="28">
        <f>A308/A301-1</f>
        <v>0.12941176470588234</v>
      </c>
    </row>
    <row r="309" spans="1:10">
      <c r="A309" s="3">
        <v>241</v>
      </c>
      <c r="B309" t="s">
        <v>328</v>
      </c>
      <c r="C309" t="s">
        <v>8</v>
      </c>
      <c r="E309" s="3">
        <f t="shared" si="9"/>
        <v>2</v>
      </c>
      <c r="F309" s="5">
        <v>44138.625</v>
      </c>
      <c r="G309" s="19" t="str">
        <f t="shared" ref="G309:G372" si="12">IF(WEEKDAY(F309,2)=1,"W"&amp;WEEKNUM(F309,14),"")</f>
        <v/>
      </c>
    </row>
    <row r="310" spans="1:10">
      <c r="A310" s="3">
        <v>213</v>
      </c>
      <c r="B310" t="s">
        <v>329</v>
      </c>
      <c r="C310" t="s">
        <v>8</v>
      </c>
      <c r="E310" s="3">
        <f t="shared" si="9"/>
        <v>3</v>
      </c>
      <c r="F310" s="5">
        <v>44139.625</v>
      </c>
      <c r="G310" s="19" t="str">
        <f t="shared" si="12"/>
        <v/>
      </c>
    </row>
    <row r="311" spans="1:10">
      <c r="A311" s="3">
        <v>219</v>
      </c>
      <c r="B311" t="s">
        <v>330</v>
      </c>
      <c r="C311" t="s">
        <v>8</v>
      </c>
      <c r="E311" s="3">
        <f t="shared" si="9"/>
        <v>4</v>
      </c>
      <c r="F311" s="5">
        <v>44140.625</v>
      </c>
      <c r="G311" s="19" t="str">
        <f t="shared" si="12"/>
        <v/>
      </c>
    </row>
    <row r="312" spans="1:10">
      <c r="A312" s="3">
        <v>196</v>
      </c>
      <c r="B312" t="s">
        <v>331</v>
      </c>
      <c r="C312" t="s">
        <v>8</v>
      </c>
      <c r="E312" s="3">
        <f t="shared" si="9"/>
        <v>5</v>
      </c>
      <c r="F312" s="5">
        <v>44141.625</v>
      </c>
      <c r="G312" s="19" t="str">
        <f t="shared" si="12"/>
        <v/>
      </c>
    </row>
    <row r="313" spans="1:10">
      <c r="A313" s="3">
        <v>128</v>
      </c>
      <c r="B313" t="s">
        <v>332</v>
      </c>
      <c r="C313" t="s">
        <v>8</v>
      </c>
      <c r="E313" s="3">
        <f t="shared" si="9"/>
        <v>6</v>
      </c>
      <c r="F313" s="5">
        <v>44142.625</v>
      </c>
      <c r="G313" s="19" t="str">
        <f t="shared" si="12"/>
        <v/>
      </c>
    </row>
    <row r="314" spans="1:10">
      <c r="A314" s="3">
        <v>133</v>
      </c>
      <c r="B314" t="s">
        <v>333</v>
      </c>
      <c r="C314" t="s">
        <v>8</v>
      </c>
      <c r="E314" s="3">
        <f t="shared" si="9"/>
        <v>7</v>
      </c>
      <c r="F314" s="5">
        <v>44143.625</v>
      </c>
      <c r="G314" s="19" t="str">
        <f t="shared" si="12"/>
        <v/>
      </c>
    </row>
    <row r="315" spans="1:10">
      <c r="A315" s="3">
        <v>273</v>
      </c>
      <c r="B315" t="s">
        <v>334</v>
      </c>
      <c r="C315" t="s">
        <v>8</v>
      </c>
      <c r="E315" s="3">
        <f t="shared" si="9"/>
        <v>1</v>
      </c>
      <c r="F315" s="5">
        <v>44144.625</v>
      </c>
      <c r="G315" s="19" t="str">
        <f t="shared" si="12"/>
        <v>W46</v>
      </c>
      <c r="H315">
        <f>SUM(A315:A321)</f>
        <v>1649</v>
      </c>
      <c r="I315" s="28">
        <f>H315/H308-1</f>
        <v>0.1629055007052187</v>
      </c>
      <c r="J315" s="28">
        <f>A315/A308-1</f>
        <v>-5.208333333333337E-2</v>
      </c>
    </row>
    <row r="316" spans="1:10">
      <c r="A316" s="3">
        <v>206</v>
      </c>
      <c r="B316" t="s">
        <v>335</v>
      </c>
      <c r="C316" t="s">
        <v>8</v>
      </c>
      <c r="E316" s="3">
        <f t="shared" si="9"/>
        <v>2</v>
      </c>
      <c r="F316" s="5">
        <v>44145.625</v>
      </c>
      <c r="G316" s="19" t="str">
        <f t="shared" si="12"/>
        <v/>
      </c>
    </row>
    <row r="317" spans="1:10">
      <c r="A317" s="3">
        <v>294</v>
      </c>
      <c r="B317" t="s">
        <v>336</v>
      </c>
      <c r="C317" t="s">
        <v>8</v>
      </c>
      <c r="E317" s="3">
        <f t="shared" si="9"/>
        <v>3</v>
      </c>
      <c r="F317" s="5">
        <v>44146.625</v>
      </c>
      <c r="G317" s="19" t="str">
        <f t="shared" si="12"/>
        <v/>
      </c>
    </row>
    <row r="318" spans="1:10">
      <c r="A318" s="3">
        <v>282</v>
      </c>
      <c r="B318" t="s">
        <v>337</v>
      </c>
      <c r="C318" t="s">
        <v>8</v>
      </c>
      <c r="E318" s="3">
        <f t="shared" si="9"/>
        <v>4</v>
      </c>
      <c r="F318" s="5">
        <v>44147.625</v>
      </c>
      <c r="G318" s="19" t="str">
        <f t="shared" si="12"/>
        <v/>
      </c>
    </row>
    <row r="319" spans="1:10">
      <c r="A319" s="3">
        <v>268</v>
      </c>
      <c r="B319" t="s">
        <v>338</v>
      </c>
      <c r="C319" t="s">
        <v>8</v>
      </c>
      <c r="E319" s="3">
        <f t="shared" si="9"/>
        <v>5</v>
      </c>
      <c r="F319" s="5">
        <v>44148.625</v>
      </c>
      <c r="G319" s="19" t="str">
        <f t="shared" si="12"/>
        <v/>
      </c>
    </row>
    <row r="320" spans="1:10">
      <c r="A320" s="3">
        <v>145</v>
      </c>
      <c r="B320" t="s">
        <v>339</v>
      </c>
      <c r="C320" t="s">
        <v>8</v>
      </c>
      <c r="E320" s="3">
        <f t="shared" si="9"/>
        <v>6</v>
      </c>
      <c r="F320" s="5">
        <v>44149.625</v>
      </c>
      <c r="G320" s="19" t="str">
        <f t="shared" si="12"/>
        <v/>
      </c>
    </row>
    <row r="321" spans="1:10">
      <c r="A321" s="3">
        <v>181</v>
      </c>
      <c r="B321" t="s">
        <v>340</v>
      </c>
      <c r="C321" t="s">
        <v>8</v>
      </c>
      <c r="E321" s="3">
        <f t="shared" si="9"/>
        <v>7</v>
      </c>
      <c r="F321" s="5">
        <v>44150.625</v>
      </c>
      <c r="G321" s="19" t="str">
        <f t="shared" si="12"/>
        <v/>
      </c>
    </row>
    <row r="322" spans="1:10">
      <c r="A322" s="3">
        <v>392</v>
      </c>
      <c r="B322" t="s">
        <v>341</v>
      </c>
      <c r="C322" t="s">
        <v>8</v>
      </c>
      <c r="E322" s="3">
        <f t="shared" si="9"/>
        <v>1</v>
      </c>
      <c r="F322" s="5">
        <v>44151.625</v>
      </c>
      <c r="G322" s="19" t="str">
        <f t="shared" si="12"/>
        <v>W47</v>
      </c>
      <c r="H322">
        <f>SUM(A322:A328)</f>
        <v>2596</v>
      </c>
      <c r="I322" s="28">
        <f>H322/H315-1</f>
        <v>0.57428744693753786</v>
      </c>
      <c r="J322" s="28">
        <f>A322/A315-1</f>
        <v>0.4358974358974359</v>
      </c>
    </row>
    <row r="323" spans="1:10">
      <c r="A323" s="3">
        <v>388</v>
      </c>
      <c r="B323" t="s">
        <v>342</v>
      </c>
      <c r="C323" t="s">
        <v>8</v>
      </c>
      <c r="E323" s="3">
        <f t="shared" ref="E323" si="13">WEEKDAY(F323,2)</f>
        <v>2</v>
      </c>
      <c r="F323" s="5">
        <v>44152.625</v>
      </c>
      <c r="G323" s="19" t="str">
        <f t="shared" si="12"/>
        <v/>
      </c>
    </row>
    <row r="324" spans="1:10">
      <c r="A324" s="3">
        <v>376</v>
      </c>
      <c r="B324" t="s">
        <v>343</v>
      </c>
      <c r="C324" t="s">
        <v>8</v>
      </c>
      <c r="E324" s="3">
        <f t="shared" si="9"/>
        <v>3</v>
      </c>
      <c r="F324" s="5">
        <v>44153.625</v>
      </c>
      <c r="G324" s="19" t="str">
        <f t="shared" si="12"/>
        <v/>
      </c>
    </row>
    <row r="325" spans="1:10">
      <c r="A325" s="3">
        <v>478</v>
      </c>
      <c r="B325" t="s">
        <v>344</v>
      </c>
      <c r="C325" t="s">
        <v>8</v>
      </c>
      <c r="E325" s="3">
        <f t="shared" ref="E325:E382" si="14">WEEKDAY(F325,2)</f>
        <v>4</v>
      </c>
      <c r="F325" s="5">
        <v>44154.625</v>
      </c>
      <c r="G325" s="19" t="str">
        <f t="shared" si="12"/>
        <v/>
      </c>
    </row>
    <row r="326" spans="1:10">
      <c r="A326" s="3">
        <v>428</v>
      </c>
      <c r="B326" t="s">
        <v>345</v>
      </c>
      <c r="C326" t="s">
        <v>8</v>
      </c>
      <c r="E326" s="3">
        <f t="shared" si="14"/>
        <v>5</v>
      </c>
      <c r="F326" s="5">
        <v>44155.625</v>
      </c>
      <c r="G326" s="19" t="str">
        <f t="shared" si="12"/>
        <v/>
      </c>
    </row>
    <row r="327" spans="1:10">
      <c r="A327" s="3">
        <v>268</v>
      </c>
      <c r="B327" t="s">
        <v>348</v>
      </c>
      <c r="C327" t="s">
        <v>8</v>
      </c>
      <c r="E327" s="3">
        <f t="shared" si="14"/>
        <v>6</v>
      </c>
      <c r="F327" s="5">
        <v>44156.625</v>
      </c>
      <c r="G327" s="19" t="str">
        <f t="shared" si="12"/>
        <v/>
      </c>
    </row>
    <row r="328" spans="1:10">
      <c r="A328" s="3">
        <v>266</v>
      </c>
      <c r="B328" t="s">
        <v>349</v>
      </c>
      <c r="C328" t="s">
        <v>8</v>
      </c>
      <c r="E328" s="3">
        <f t="shared" si="14"/>
        <v>7</v>
      </c>
      <c r="F328" s="5">
        <v>44157.625</v>
      </c>
      <c r="G328" s="19" t="str">
        <f t="shared" si="12"/>
        <v/>
      </c>
    </row>
    <row r="329" spans="1:10">
      <c r="A329" s="3">
        <v>503</v>
      </c>
      <c r="B329" t="s">
        <v>350</v>
      </c>
      <c r="C329" t="s">
        <v>8</v>
      </c>
      <c r="E329" s="3">
        <f t="shared" si="14"/>
        <v>1</v>
      </c>
      <c r="F329" s="5">
        <v>44158.625</v>
      </c>
      <c r="G329" s="19" t="str">
        <f t="shared" si="12"/>
        <v>W48</v>
      </c>
      <c r="H329">
        <f>SUM(A329:A335)</f>
        <v>3135</v>
      </c>
      <c r="I329" s="28">
        <f>H329/H322-1</f>
        <v>0.20762711864406769</v>
      </c>
      <c r="J329" s="28">
        <f>A329/A322-1</f>
        <v>0.28316326530612246</v>
      </c>
    </row>
    <row r="330" spans="1:10">
      <c r="A330" s="3">
        <v>471</v>
      </c>
      <c r="B330" t="s">
        <v>351</v>
      </c>
      <c r="C330" t="s">
        <v>8</v>
      </c>
      <c r="E330" s="3">
        <f t="shared" si="14"/>
        <v>2</v>
      </c>
      <c r="F330" s="5">
        <v>44159.625</v>
      </c>
      <c r="G330" s="19" t="str">
        <f t="shared" si="12"/>
        <v/>
      </c>
    </row>
    <row r="331" spans="1:10">
      <c r="A331" s="3">
        <v>619</v>
      </c>
      <c r="B331" t="s">
        <v>352</v>
      </c>
      <c r="C331" t="s">
        <v>8</v>
      </c>
      <c r="E331" s="3">
        <f t="shared" si="14"/>
        <v>3</v>
      </c>
      <c r="F331" s="5">
        <v>44160.625</v>
      </c>
      <c r="G331" s="19" t="str">
        <f t="shared" si="12"/>
        <v/>
      </c>
    </row>
    <row r="332" spans="1:10">
      <c r="A332" s="3">
        <v>510</v>
      </c>
      <c r="B332" t="s">
        <v>355</v>
      </c>
      <c r="C332" t="s">
        <v>8</v>
      </c>
      <c r="E332" s="3">
        <f t="shared" si="14"/>
        <v>4</v>
      </c>
      <c r="F332" s="5">
        <v>44161.625</v>
      </c>
      <c r="G332" s="19" t="str">
        <f t="shared" si="12"/>
        <v/>
      </c>
    </row>
    <row r="333" spans="1:10">
      <c r="A333" s="3">
        <v>455</v>
      </c>
      <c r="B333" t="s">
        <v>356</v>
      </c>
      <c r="C333" t="s">
        <v>8</v>
      </c>
      <c r="E333" s="3">
        <f t="shared" si="14"/>
        <v>5</v>
      </c>
      <c r="F333" s="5">
        <v>44162.625</v>
      </c>
      <c r="G333" s="19" t="str">
        <f t="shared" si="12"/>
        <v/>
      </c>
    </row>
    <row r="334" spans="1:10">
      <c r="A334" s="3">
        <v>284</v>
      </c>
      <c r="B334" t="s">
        <v>357</v>
      </c>
      <c r="C334" t="s">
        <v>8</v>
      </c>
      <c r="E334" s="3">
        <f t="shared" si="14"/>
        <v>6</v>
      </c>
      <c r="F334" s="5">
        <v>44163.625</v>
      </c>
      <c r="G334" s="19" t="str">
        <f t="shared" si="12"/>
        <v/>
      </c>
    </row>
    <row r="335" spans="1:10">
      <c r="A335" s="3">
        <v>293</v>
      </c>
      <c r="B335" t="s">
        <v>358</v>
      </c>
      <c r="C335" t="s">
        <v>8</v>
      </c>
      <c r="E335" s="3">
        <f t="shared" si="14"/>
        <v>7</v>
      </c>
      <c r="F335" s="5">
        <v>44164.625</v>
      </c>
      <c r="G335" s="19" t="str">
        <f t="shared" si="12"/>
        <v/>
      </c>
    </row>
    <row r="336" spans="1:10">
      <c r="A336" s="3">
        <v>595</v>
      </c>
      <c r="B336" t="s">
        <v>359</v>
      </c>
      <c r="C336" t="s">
        <v>8</v>
      </c>
      <c r="E336" s="3">
        <f t="shared" si="14"/>
        <v>1</v>
      </c>
      <c r="F336" s="5">
        <v>44165.625</v>
      </c>
      <c r="G336" s="19" t="str">
        <f t="shared" si="12"/>
        <v>W49</v>
      </c>
      <c r="H336">
        <f>SUM(A336:A342)</f>
        <v>3012</v>
      </c>
      <c r="I336" s="28">
        <f>H336/H329-1</f>
        <v>-3.9234449760765511E-2</v>
      </c>
      <c r="J336" s="28">
        <f>A336/A329-1</f>
        <v>0.18290258449304164</v>
      </c>
    </row>
    <row r="337" spans="1:10">
      <c r="A337" s="3">
        <v>439</v>
      </c>
      <c r="B337" t="s">
        <v>361</v>
      </c>
      <c r="C337" t="s">
        <v>8</v>
      </c>
      <c r="E337" s="3">
        <f t="shared" si="14"/>
        <v>2</v>
      </c>
      <c r="F337" s="5">
        <v>44166.625</v>
      </c>
      <c r="G337" s="19" t="str">
        <f t="shared" si="12"/>
        <v/>
      </c>
    </row>
    <row r="338" spans="1:10">
      <c r="A338" s="3">
        <v>495</v>
      </c>
      <c r="B338" t="s">
        <v>362</v>
      </c>
      <c r="C338" t="s">
        <v>8</v>
      </c>
      <c r="E338" s="3">
        <f t="shared" si="14"/>
        <v>3</v>
      </c>
      <c r="F338" s="5">
        <v>44167.625</v>
      </c>
      <c r="G338" s="19" t="str">
        <f t="shared" si="12"/>
        <v/>
      </c>
    </row>
    <row r="339" spans="1:10">
      <c r="A339" s="3">
        <v>477</v>
      </c>
      <c r="B339" t="s">
        <v>363</v>
      </c>
      <c r="C339" t="s">
        <v>8</v>
      </c>
      <c r="E339" s="3">
        <f t="shared" si="14"/>
        <v>4</v>
      </c>
      <c r="F339" s="5">
        <v>44168.625</v>
      </c>
      <c r="G339" s="19" t="str">
        <f t="shared" si="12"/>
        <v/>
      </c>
    </row>
    <row r="340" spans="1:10">
      <c r="A340" s="3">
        <v>472</v>
      </c>
      <c r="B340" t="s">
        <v>364</v>
      </c>
      <c r="C340" t="s">
        <v>8</v>
      </c>
      <c r="E340" s="3">
        <f t="shared" si="14"/>
        <v>5</v>
      </c>
      <c r="F340" s="5">
        <v>44169.625</v>
      </c>
      <c r="G340" s="19" t="str">
        <f t="shared" si="12"/>
        <v/>
      </c>
    </row>
    <row r="341" spans="1:10">
      <c r="A341" s="3">
        <v>251</v>
      </c>
      <c r="B341" t="s">
        <v>365</v>
      </c>
      <c r="C341" t="s">
        <v>8</v>
      </c>
      <c r="E341" s="3">
        <f t="shared" si="14"/>
        <v>6</v>
      </c>
      <c r="F341" s="5">
        <v>44170.625</v>
      </c>
      <c r="G341" s="19" t="str">
        <f t="shared" si="12"/>
        <v/>
      </c>
    </row>
    <row r="342" spans="1:10">
      <c r="A342" s="3">
        <v>283</v>
      </c>
      <c r="B342" t="s">
        <v>366</v>
      </c>
      <c r="C342" t="s">
        <v>8</v>
      </c>
      <c r="E342" s="3">
        <f t="shared" si="14"/>
        <v>7</v>
      </c>
      <c r="F342" s="5">
        <v>44171.625</v>
      </c>
      <c r="G342" s="19" t="str">
        <f t="shared" si="12"/>
        <v/>
      </c>
    </row>
    <row r="343" spans="1:10">
      <c r="A343" s="3">
        <v>587</v>
      </c>
      <c r="B343" t="s">
        <v>367</v>
      </c>
      <c r="C343" t="s">
        <v>8</v>
      </c>
      <c r="E343" s="3">
        <f t="shared" si="14"/>
        <v>1</v>
      </c>
      <c r="F343" s="5">
        <v>44172.625</v>
      </c>
      <c r="G343" s="19" t="str">
        <f t="shared" ref="G343" si="15">IF(WEEKDAY(F343,2)=1,"W"&amp;WEEKNUM(F343,14),"")</f>
        <v>W50</v>
      </c>
      <c r="H343">
        <f>SUM(A343:A349)</f>
        <v>2905</v>
      </c>
      <c r="I343" s="28">
        <f>H343/H336-1</f>
        <v>-3.5524568393094258E-2</v>
      </c>
      <c r="J343" s="28">
        <f>A343/A336-1</f>
        <v>-1.3445378151260456E-2</v>
      </c>
    </row>
    <row r="344" spans="1:10">
      <c r="A344" s="3">
        <v>478</v>
      </c>
      <c r="B344" t="s">
        <v>368</v>
      </c>
      <c r="C344" t="s">
        <v>8</v>
      </c>
      <c r="E344" s="3">
        <f t="shared" si="14"/>
        <v>2</v>
      </c>
      <c r="F344" s="5">
        <v>44173.625</v>
      </c>
      <c r="G344" s="19" t="str">
        <f t="shared" si="12"/>
        <v/>
      </c>
    </row>
    <row r="345" spans="1:10">
      <c r="A345" s="3">
        <v>462</v>
      </c>
      <c r="B345" t="s">
        <v>369</v>
      </c>
      <c r="C345" t="s">
        <v>8</v>
      </c>
      <c r="E345" s="3">
        <f t="shared" si="14"/>
        <v>3</v>
      </c>
      <c r="F345" s="5">
        <v>44174.625</v>
      </c>
      <c r="G345" s="19" t="str">
        <f t="shared" si="12"/>
        <v/>
      </c>
    </row>
    <row r="346" spans="1:10">
      <c r="A346" s="3">
        <v>407</v>
      </c>
      <c r="B346" t="s">
        <v>370</v>
      </c>
      <c r="C346" t="s">
        <v>8</v>
      </c>
      <c r="E346" s="3">
        <f t="shared" si="14"/>
        <v>4</v>
      </c>
      <c r="F346" s="5">
        <v>44175.625</v>
      </c>
      <c r="G346" s="19" t="str">
        <f t="shared" si="12"/>
        <v/>
      </c>
    </row>
    <row r="347" spans="1:10">
      <c r="A347" s="3">
        <v>445</v>
      </c>
      <c r="B347" t="s">
        <v>371</v>
      </c>
      <c r="C347" t="s">
        <v>8</v>
      </c>
      <c r="E347" s="3">
        <f t="shared" si="14"/>
        <v>5</v>
      </c>
      <c r="F347" s="5">
        <v>44176.625</v>
      </c>
      <c r="G347" s="19" t="str">
        <f t="shared" si="12"/>
        <v/>
      </c>
    </row>
    <row r="348" spans="1:10">
      <c r="A348" s="3">
        <v>250</v>
      </c>
      <c r="B348" t="s">
        <v>372</v>
      </c>
      <c r="C348" t="s">
        <v>8</v>
      </c>
      <c r="E348" s="3">
        <f t="shared" si="14"/>
        <v>6</v>
      </c>
      <c r="F348" s="5">
        <v>44177.625</v>
      </c>
      <c r="G348" s="19" t="str">
        <f t="shared" si="12"/>
        <v/>
      </c>
    </row>
    <row r="349" spans="1:10">
      <c r="A349" s="3">
        <v>276</v>
      </c>
      <c r="B349" t="s">
        <v>373</v>
      </c>
      <c r="C349" t="s">
        <v>8</v>
      </c>
      <c r="E349" s="3">
        <f t="shared" si="14"/>
        <v>7</v>
      </c>
      <c r="F349" s="5">
        <v>44178.625</v>
      </c>
      <c r="G349" s="19" t="str">
        <f t="shared" si="12"/>
        <v/>
      </c>
    </row>
    <row r="350" spans="1:10">
      <c r="A350" s="3">
        <v>463</v>
      </c>
      <c r="B350" t="s">
        <v>374</v>
      </c>
      <c r="C350" t="s">
        <v>8</v>
      </c>
      <c r="E350" s="3">
        <f t="shared" si="14"/>
        <v>1</v>
      </c>
      <c r="F350" s="5">
        <v>44179.625</v>
      </c>
      <c r="G350" s="19" t="str">
        <f t="shared" ref="G350" si="16">IF(WEEKDAY(F350,2)=1,"W"&amp;WEEKNUM(F350,14),"")</f>
        <v>W51</v>
      </c>
      <c r="H350">
        <f>SUM(A350:A356)</f>
        <v>2324</v>
      </c>
      <c r="I350" s="28">
        <f>H350/H343-1</f>
        <v>-0.19999999999999996</v>
      </c>
      <c r="J350" s="28">
        <f>A350/A343-1</f>
        <v>-0.21124361158432714</v>
      </c>
    </row>
    <row r="351" spans="1:10">
      <c r="A351" s="3">
        <v>359</v>
      </c>
      <c r="B351" t="s">
        <v>375</v>
      </c>
      <c r="C351" t="s">
        <v>8</v>
      </c>
      <c r="E351" s="3">
        <f t="shared" si="14"/>
        <v>2</v>
      </c>
      <c r="F351" s="5">
        <v>44180.625</v>
      </c>
      <c r="G351" s="19" t="str">
        <f t="shared" si="12"/>
        <v/>
      </c>
    </row>
    <row r="352" spans="1:10">
      <c r="A352" s="3">
        <v>352</v>
      </c>
      <c r="B352" t="s">
        <v>376</v>
      </c>
      <c r="C352" t="s">
        <v>8</v>
      </c>
      <c r="E352" s="3">
        <f t="shared" si="14"/>
        <v>3</v>
      </c>
      <c r="F352" s="5">
        <v>44181.625</v>
      </c>
      <c r="G352" s="19" t="str">
        <f t="shared" si="12"/>
        <v/>
      </c>
    </row>
    <row r="353" spans="1:10">
      <c r="A353" s="3">
        <v>323</v>
      </c>
      <c r="B353" t="s">
        <v>377</v>
      </c>
      <c r="C353" t="s">
        <v>8</v>
      </c>
      <c r="E353" s="3">
        <f t="shared" si="14"/>
        <v>4</v>
      </c>
      <c r="F353" s="5">
        <v>44182.625</v>
      </c>
      <c r="G353" s="19" t="str">
        <f t="shared" si="12"/>
        <v/>
      </c>
    </row>
    <row r="354" spans="1:10">
      <c r="A354" s="3">
        <v>393</v>
      </c>
      <c r="B354" t="s">
        <v>378</v>
      </c>
      <c r="C354" t="s">
        <v>8</v>
      </c>
      <c r="E354" s="3">
        <f t="shared" si="14"/>
        <v>5</v>
      </c>
      <c r="F354" s="5">
        <v>44183.625</v>
      </c>
      <c r="G354" s="19" t="str">
        <f t="shared" si="12"/>
        <v/>
      </c>
    </row>
    <row r="355" spans="1:10">
      <c r="A355" s="3">
        <v>190</v>
      </c>
      <c r="B355" t="s">
        <v>379</v>
      </c>
      <c r="C355" t="s">
        <v>8</v>
      </c>
      <c r="E355" s="3">
        <f t="shared" si="14"/>
        <v>6</v>
      </c>
      <c r="F355" s="5">
        <v>44184.625</v>
      </c>
      <c r="G355" s="19" t="str">
        <f t="shared" si="12"/>
        <v/>
      </c>
    </row>
    <row r="356" spans="1:10">
      <c r="A356" s="3">
        <v>244</v>
      </c>
      <c r="B356" t="s">
        <v>380</v>
      </c>
      <c r="C356" t="s">
        <v>8</v>
      </c>
      <c r="E356" s="3">
        <f t="shared" si="14"/>
        <v>7</v>
      </c>
      <c r="F356" s="5">
        <v>44185.625</v>
      </c>
      <c r="G356" s="19" t="str">
        <f t="shared" si="12"/>
        <v/>
      </c>
    </row>
    <row r="357" spans="1:10">
      <c r="A357" s="3">
        <v>376</v>
      </c>
      <c r="B357" t="s">
        <v>381</v>
      </c>
      <c r="C357" t="s">
        <v>8</v>
      </c>
      <c r="E357" s="3">
        <f t="shared" si="14"/>
        <v>1</v>
      </c>
      <c r="F357" s="5">
        <v>44186.625</v>
      </c>
      <c r="G357" s="19" t="str">
        <f t="shared" ref="G357" si="17">IF(WEEKDAY(F357,2)=1,"W"&amp;WEEKNUM(F357,14),"")</f>
        <v>W52</v>
      </c>
      <c r="H357">
        <f>SUM(A357:A363)</f>
        <v>1656</v>
      </c>
      <c r="I357" s="28">
        <f>H357/H350-1</f>
        <v>-0.28743545611015486</v>
      </c>
      <c r="J357" s="28">
        <f>A357/A350-1</f>
        <v>-0.18790496760259179</v>
      </c>
    </row>
    <row r="358" spans="1:10">
      <c r="A358" s="3">
        <v>334</v>
      </c>
      <c r="B358" t="s">
        <v>382</v>
      </c>
      <c r="C358" t="s">
        <v>8</v>
      </c>
      <c r="E358" s="3">
        <f t="shared" si="14"/>
        <v>2</v>
      </c>
      <c r="F358" s="5">
        <v>44187.625</v>
      </c>
      <c r="G358" s="19" t="str">
        <f t="shared" si="12"/>
        <v/>
      </c>
    </row>
    <row r="359" spans="1:10">
      <c r="A359" s="3">
        <v>277</v>
      </c>
      <c r="B359" t="s">
        <v>383</v>
      </c>
      <c r="C359" t="s">
        <v>8</v>
      </c>
      <c r="E359" s="3">
        <f t="shared" si="14"/>
        <v>3</v>
      </c>
      <c r="F359" s="5">
        <v>44188.625</v>
      </c>
      <c r="G359" s="19" t="str">
        <f t="shared" si="12"/>
        <v/>
      </c>
    </row>
    <row r="360" spans="1:10">
      <c r="A360" s="3">
        <v>138</v>
      </c>
      <c r="B360" t="s">
        <v>384</v>
      </c>
      <c r="C360" t="s">
        <v>8</v>
      </c>
      <c r="E360" s="3">
        <f t="shared" si="14"/>
        <v>4</v>
      </c>
      <c r="F360" s="5">
        <v>44189.625</v>
      </c>
      <c r="G360" s="19" t="str">
        <f t="shared" si="12"/>
        <v/>
      </c>
    </row>
    <row r="361" spans="1:10">
      <c r="A361" s="3">
        <v>157</v>
      </c>
      <c r="B361" t="s">
        <v>385</v>
      </c>
      <c r="C361" t="s">
        <v>8</v>
      </c>
      <c r="E361" s="3">
        <f t="shared" si="14"/>
        <v>5</v>
      </c>
      <c r="F361" s="5">
        <v>44190.625</v>
      </c>
      <c r="G361" s="19" t="str">
        <f t="shared" si="12"/>
        <v/>
      </c>
    </row>
    <row r="362" spans="1:10">
      <c r="A362" s="3">
        <v>183</v>
      </c>
      <c r="B362" t="s">
        <v>386</v>
      </c>
      <c r="C362" t="s">
        <v>8</v>
      </c>
      <c r="E362" s="3">
        <f t="shared" si="14"/>
        <v>6</v>
      </c>
      <c r="F362" s="5">
        <v>44191.625</v>
      </c>
      <c r="G362" s="19" t="str">
        <f t="shared" si="12"/>
        <v/>
      </c>
    </row>
    <row r="363" spans="1:10">
      <c r="A363" s="3">
        <v>191</v>
      </c>
      <c r="B363" t="s">
        <v>387</v>
      </c>
      <c r="C363" t="s">
        <v>8</v>
      </c>
      <c r="E363" s="3">
        <f t="shared" si="14"/>
        <v>7</v>
      </c>
      <c r="F363" s="5">
        <v>44192.625</v>
      </c>
      <c r="G363" s="19" t="str">
        <f t="shared" si="12"/>
        <v/>
      </c>
    </row>
    <row r="364" spans="1:10">
      <c r="A364" s="3">
        <v>437</v>
      </c>
      <c r="B364" t="s">
        <v>388</v>
      </c>
      <c r="C364" t="s">
        <v>8</v>
      </c>
      <c r="E364" s="3">
        <f t="shared" si="14"/>
        <v>1</v>
      </c>
      <c r="F364" s="5">
        <v>44193.625</v>
      </c>
      <c r="G364" s="19" t="str">
        <f t="shared" ref="G364" si="18">IF(WEEKDAY(F364,2)=1,"W"&amp;WEEKNUM(F364,14),"")</f>
        <v>W53</v>
      </c>
      <c r="H364">
        <f>SUM(A364:A370)</f>
        <v>1757</v>
      </c>
      <c r="I364" s="28">
        <f>H364/H357-1</f>
        <v>6.0990338164251146E-2</v>
      </c>
      <c r="J364" s="28">
        <f>A364/A357-1</f>
        <v>0.1622340425531914</v>
      </c>
    </row>
    <row r="365" spans="1:10">
      <c r="A365" s="3">
        <v>307</v>
      </c>
      <c r="B365" t="s">
        <v>389</v>
      </c>
      <c r="C365" t="s">
        <v>8</v>
      </c>
      <c r="E365" s="3">
        <f t="shared" si="14"/>
        <v>2</v>
      </c>
      <c r="F365" s="5">
        <v>44194.625</v>
      </c>
      <c r="G365" s="19" t="str">
        <f t="shared" si="12"/>
        <v/>
      </c>
    </row>
    <row r="366" spans="1:10">
      <c r="A366" s="3">
        <v>256</v>
      </c>
      <c r="B366" t="s">
        <v>390</v>
      </c>
      <c r="C366" t="s">
        <v>8</v>
      </c>
      <c r="E366" s="3">
        <f t="shared" si="14"/>
        <v>3</v>
      </c>
      <c r="F366" s="5">
        <v>44195.625</v>
      </c>
      <c r="G366" s="19" t="str">
        <f t="shared" si="12"/>
        <v/>
      </c>
    </row>
    <row r="367" spans="1:10">
      <c r="A367" s="3">
        <v>253</v>
      </c>
      <c r="B367" t="s">
        <v>391</v>
      </c>
      <c r="C367" t="s">
        <v>8</v>
      </c>
      <c r="E367" s="3">
        <f t="shared" si="14"/>
        <v>4</v>
      </c>
      <c r="F367" s="5">
        <v>44196.625</v>
      </c>
      <c r="G367" s="19" t="str">
        <f t="shared" si="12"/>
        <v/>
      </c>
    </row>
    <row r="368" spans="1:10">
      <c r="A368" s="3">
        <v>129</v>
      </c>
      <c r="B368" t="s">
        <v>392</v>
      </c>
      <c r="C368" t="s">
        <v>8</v>
      </c>
      <c r="E368" s="3">
        <f t="shared" si="14"/>
        <v>5</v>
      </c>
      <c r="F368" s="5">
        <v>44197.625</v>
      </c>
      <c r="G368" s="19" t="str">
        <f t="shared" si="12"/>
        <v/>
      </c>
    </row>
    <row r="369" spans="1:10">
      <c r="A369" s="3">
        <v>206</v>
      </c>
      <c r="B369" t="s">
        <v>393</v>
      </c>
      <c r="C369" t="s">
        <v>8</v>
      </c>
      <c r="E369" s="3">
        <f t="shared" si="14"/>
        <v>6</v>
      </c>
      <c r="F369" s="5">
        <v>44198.625</v>
      </c>
      <c r="G369" s="19" t="str">
        <f t="shared" si="12"/>
        <v/>
      </c>
    </row>
    <row r="370" spans="1:10">
      <c r="A370" s="3">
        <v>169</v>
      </c>
      <c r="B370" t="s">
        <v>394</v>
      </c>
      <c r="C370" t="s">
        <v>8</v>
      </c>
      <c r="E370" s="3">
        <f t="shared" si="14"/>
        <v>7</v>
      </c>
      <c r="F370" s="5">
        <v>44199.625</v>
      </c>
      <c r="G370" s="19" t="str">
        <f t="shared" si="12"/>
        <v/>
      </c>
    </row>
    <row r="371" spans="1:10">
      <c r="A371" s="3">
        <v>398</v>
      </c>
      <c r="B371" t="s">
        <v>395</v>
      </c>
      <c r="C371" t="s">
        <v>8</v>
      </c>
      <c r="E371" s="3">
        <f t="shared" si="14"/>
        <v>1</v>
      </c>
      <c r="F371" s="5">
        <v>44200.625</v>
      </c>
      <c r="G371" s="19" t="str">
        <f t="shared" si="12"/>
        <v>W1</v>
      </c>
      <c r="H371">
        <f>SUM(A371:A377)</f>
        <v>1831</v>
      </c>
      <c r="I371" s="28">
        <f>H371/H364-1</f>
        <v>4.2117245304496231E-2</v>
      </c>
      <c r="J371" s="28">
        <f>A371/A364-1</f>
        <v>-8.9244851258581281E-2</v>
      </c>
    </row>
    <row r="372" spans="1:10">
      <c r="A372" s="3">
        <v>262</v>
      </c>
      <c r="B372" t="s">
        <v>396</v>
      </c>
      <c r="C372" t="s">
        <v>8</v>
      </c>
      <c r="E372" s="3">
        <f t="shared" si="14"/>
        <v>2</v>
      </c>
      <c r="F372" s="5">
        <v>44201.625</v>
      </c>
      <c r="G372" s="19" t="str">
        <f t="shared" si="12"/>
        <v/>
      </c>
    </row>
    <row r="373" spans="1:10">
      <c r="A373" s="3">
        <v>209</v>
      </c>
      <c r="B373" t="s">
        <v>397</v>
      </c>
      <c r="C373" t="s">
        <v>8</v>
      </c>
      <c r="E373" s="3">
        <f t="shared" si="14"/>
        <v>3</v>
      </c>
      <c r="F373" s="5">
        <v>44202.625</v>
      </c>
      <c r="G373" s="19" t="str">
        <f t="shared" ref="G373:G382" si="19">IF(WEEKDAY(F373,2)=1,"W"&amp;WEEKNUM(F373,14),"")</f>
        <v/>
      </c>
    </row>
    <row r="374" spans="1:10">
      <c r="A374" s="3">
        <v>331</v>
      </c>
      <c r="B374" t="s">
        <v>398</v>
      </c>
      <c r="C374" t="s">
        <v>8</v>
      </c>
      <c r="E374" s="3">
        <f t="shared" si="14"/>
        <v>4</v>
      </c>
      <c r="F374" s="5">
        <v>44203.625</v>
      </c>
      <c r="G374" s="19" t="str">
        <f t="shared" si="19"/>
        <v/>
      </c>
    </row>
    <row r="375" spans="1:10">
      <c r="A375" s="3">
        <v>251</v>
      </c>
      <c r="B375" t="s">
        <v>399</v>
      </c>
      <c r="C375" t="s">
        <v>8</v>
      </c>
      <c r="E375" s="3">
        <f t="shared" si="14"/>
        <v>5</v>
      </c>
      <c r="F375" s="5">
        <v>44204.625</v>
      </c>
      <c r="G375" s="19" t="str">
        <f t="shared" si="19"/>
        <v/>
      </c>
    </row>
    <row r="376" spans="1:10">
      <c r="A376" s="3">
        <v>194</v>
      </c>
      <c r="B376" t="s">
        <v>400</v>
      </c>
      <c r="C376" t="s">
        <v>8</v>
      </c>
      <c r="E376" s="3">
        <f t="shared" si="14"/>
        <v>6</v>
      </c>
      <c r="F376" s="5">
        <v>44205.625</v>
      </c>
      <c r="G376" s="19" t="str">
        <f t="shared" si="19"/>
        <v/>
      </c>
    </row>
    <row r="377" spans="1:10">
      <c r="A377" s="3">
        <v>186</v>
      </c>
      <c r="B377" t="s">
        <v>401</v>
      </c>
      <c r="C377" t="s">
        <v>8</v>
      </c>
      <c r="E377" s="3">
        <f t="shared" si="14"/>
        <v>7</v>
      </c>
      <c r="F377" s="5">
        <v>44206.625</v>
      </c>
      <c r="G377" s="19" t="str">
        <f t="shared" si="19"/>
        <v/>
      </c>
    </row>
    <row r="378" spans="1:10">
      <c r="A378" s="3">
        <v>384</v>
      </c>
      <c r="B378" t="s">
        <v>402</v>
      </c>
      <c r="C378" t="s">
        <v>8</v>
      </c>
      <c r="E378" s="3">
        <f t="shared" si="14"/>
        <v>1</v>
      </c>
      <c r="F378" s="5">
        <v>44207.625</v>
      </c>
      <c r="G378" s="19" t="str">
        <f t="shared" si="19"/>
        <v>W2</v>
      </c>
      <c r="H378">
        <f>SUM(A378:A384)</f>
        <v>1749</v>
      </c>
      <c r="I378" s="28">
        <f>H378/H371-1</f>
        <v>-4.4784270890223965E-2</v>
      </c>
      <c r="J378" s="28">
        <f>A378/A371-1</f>
        <v>-3.5175879396984966E-2</v>
      </c>
    </row>
    <row r="379" spans="1:10">
      <c r="A379" s="3">
        <v>229</v>
      </c>
      <c r="B379" t="s">
        <v>403</v>
      </c>
      <c r="C379" t="s">
        <v>8</v>
      </c>
      <c r="E379" s="3">
        <f t="shared" si="14"/>
        <v>2</v>
      </c>
      <c r="F379" s="5">
        <v>44208.625</v>
      </c>
      <c r="G379" s="19" t="str">
        <f t="shared" si="19"/>
        <v/>
      </c>
    </row>
    <row r="380" spans="1:10">
      <c r="A380" s="3">
        <v>258</v>
      </c>
      <c r="B380" t="s">
        <v>404</v>
      </c>
      <c r="C380" t="s">
        <v>8</v>
      </c>
      <c r="E380" s="3">
        <f t="shared" si="14"/>
        <v>3</v>
      </c>
      <c r="F380" s="5">
        <v>44209.625</v>
      </c>
      <c r="G380" s="19" t="str">
        <f t="shared" si="19"/>
        <v/>
      </c>
    </row>
    <row r="381" spans="1:10">
      <c r="A381" s="3">
        <v>249</v>
      </c>
      <c r="B381" t="s">
        <v>405</v>
      </c>
      <c r="C381" t="s">
        <v>8</v>
      </c>
      <c r="E381" s="3">
        <f t="shared" si="14"/>
        <v>4</v>
      </c>
      <c r="F381" s="5">
        <v>44210.625</v>
      </c>
      <c r="G381" s="19" t="str">
        <f t="shared" si="19"/>
        <v/>
      </c>
    </row>
    <row r="382" spans="1:10">
      <c r="A382" s="3">
        <v>266</v>
      </c>
      <c r="B382" t="s">
        <v>406</v>
      </c>
      <c r="C382" t="s">
        <v>8</v>
      </c>
      <c r="E382" s="3">
        <f t="shared" si="14"/>
        <v>5</v>
      </c>
      <c r="F382" s="5">
        <v>44211.625</v>
      </c>
      <c r="G382" s="19" t="str">
        <f t="shared" si="19"/>
        <v/>
      </c>
    </row>
    <row r="383" spans="1:10">
      <c r="A383" s="3">
        <v>168</v>
      </c>
      <c r="B383" t="s">
        <v>407</v>
      </c>
      <c r="C383" t="s">
        <v>8</v>
      </c>
      <c r="E383" s="3">
        <f t="shared" ref="E383:E393" si="20">WEEKDAY(F383,2)</f>
        <v>6</v>
      </c>
      <c r="F383" s="5">
        <v>44212.625</v>
      </c>
      <c r="G383" s="19" t="str">
        <f t="shared" ref="G383:G405" si="21">IF(WEEKDAY(F383,2)=1,"W"&amp;WEEKNUM(F383,14),"")</f>
        <v/>
      </c>
    </row>
    <row r="384" spans="1:10">
      <c r="A384" s="3">
        <v>195</v>
      </c>
      <c r="B384" t="s">
        <v>408</v>
      </c>
      <c r="C384" t="s">
        <v>8</v>
      </c>
      <c r="E384" s="3">
        <f t="shared" si="20"/>
        <v>7</v>
      </c>
      <c r="F384" s="5">
        <v>44213.625</v>
      </c>
      <c r="G384" s="19" t="str">
        <f t="shared" si="21"/>
        <v/>
      </c>
    </row>
    <row r="385" spans="1:10">
      <c r="A385" s="3">
        <v>447</v>
      </c>
      <c r="B385" t="s">
        <v>409</v>
      </c>
      <c r="C385" t="s">
        <v>8</v>
      </c>
      <c r="E385" s="3">
        <f t="shared" si="20"/>
        <v>1</v>
      </c>
      <c r="F385" s="5">
        <v>44214.625</v>
      </c>
      <c r="G385" s="19" t="str">
        <f t="shared" si="21"/>
        <v>W3</v>
      </c>
      <c r="H385">
        <f>SUM(A385:A391)</f>
        <v>2343</v>
      </c>
      <c r="I385" s="28">
        <f>H385/H378-1</f>
        <v>0.33962264150943389</v>
      </c>
      <c r="J385" s="28">
        <f>A385/A378-1</f>
        <v>0.1640625</v>
      </c>
    </row>
    <row r="386" spans="1:10">
      <c r="A386" s="3">
        <v>342</v>
      </c>
      <c r="B386" t="s">
        <v>410</v>
      </c>
      <c r="C386" t="s">
        <v>8</v>
      </c>
      <c r="E386" s="3">
        <f t="shared" si="20"/>
        <v>2</v>
      </c>
      <c r="F386" s="5">
        <v>44215.625</v>
      </c>
      <c r="G386" s="19" t="str">
        <f t="shared" si="21"/>
        <v/>
      </c>
    </row>
    <row r="387" spans="1:10">
      <c r="A387" s="3">
        <v>406</v>
      </c>
      <c r="B387" t="s">
        <v>411</v>
      </c>
      <c r="C387" t="s">
        <v>8</v>
      </c>
      <c r="E387" s="3">
        <f t="shared" si="20"/>
        <v>3</v>
      </c>
      <c r="F387" s="5">
        <v>44216.625</v>
      </c>
      <c r="G387" s="19" t="str">
        <f t="shared" si="21"/>
        <v/>
      </c>
    </row>
    <row r="388" spans="1:10">
      <c r="A388" s="3">
        <v>376</v>
      </c>
      <c r="B388" t="s">
        <v>412</v>
      </c>
      <c r="C388" t="s">
        <v>8</v>
      </c>
      <c r="E388" s="3">
        <f t="shared" si="20"/>
        <v>4</v>
      </c>
      <c r="F388" s="5">
        <v>44217.625</v>
      </c>
      <c r="G388" s="19" t="str">
        <f t="shared" si="21"/>
        <v/>
      </c>
    </row>
    <row r="389" spans="1:10">
      <c r="A389" s="3">
        <v>360</v>
      </c>
      <c r="B389" t="s">
        <v>413</v>
      </c>
      <c r="C389" t="s">
        <v>8</v>
      </c>
      <c r="E389" s="3">
        <f t="shared" si="20"/>
        <v>5</v>
      </c>
      <c r="F389" s="5">
        <v>44218.625</v>
      </c>
      <c r="G389" s="19" t="str">
        <f t="shared" si="21"/>
        <v/>
      </c>
    </row>
    <row r="390" spans="1:10">
      <c r="A390" s="3">
        <v>168</v>
      </c>
      <c r="B390" t="s">
        <v>414</v>
      </c>
      <c r="C390" t="s">
        <v>8</v>
      </c>
      <c r="E390" s="3">
        <f t="shared" si="20"/>
        <v>6</v>
      </c>
      <c r="F390" s="5">
        <v>44219.625</v>
      </c>
      <c r="G390" s="19" t="str">
        <f t="shared" si="21"/>
        <v/>
      </c>
    </row>
    <row r="391" spans="1:10">
      <c r="A391" s="3">
        <v>244</v>
      </c>
      <c r="B391" t="s">
        <v>415</v>
      </c>
      <c r="C391" t="s">
        <v>8</v>
      </c>
      <c r="E391" s="3">
        <f t="shared" si="20"/>
        <v>7</v>
      </c>
      <c r="F391" s="5">
        <v>44220.625</v>
      </c>
      <c r="G391" s="19" t="str">
        <f t="shared" si="21"/>
        <v/>
      </c>
    </row>
    <row r="392" spans="1:10">
      <c r="A392" s="3">
        <v>604</v>
      </c>
      <c r="B392" t="s">
        <v>416</v>
      </c>
      <c r="C392" t="s">
        <v>8</v>
      </c>
      <c r="E392" s="3">
        <f t="shared" si="20"/>
        <v>1</v>
      </c>
      <c r="F392" s="5">
        <v>44221.625</v>
      </c>
      <c r="G392" s="19" t="str">
        <f t="shared" si="21"/>
        <v>W4</v>
      </c>
      <c r="H392">
        <f>SUM(A392:A398)</f>
        <v>2700</v>
      </c>
      <c r="I392" s="28">
        <f>H392/H385-1</f>
        <v>0.15236875800256078</v>
      </c>
      <c r="J392" s="28">
        <f>A392/A385-1</f>
        <v>0.35123042505592839</v>
      </c>
    </row>
    <row r="393" spans="1:10">
      <c r="A393" s="3">
        <v>399</v>
      </c>
      <c r="B393" t="s">
        <v>417</v>
      </c>
      <c r="C393" t="s">
        <v>8</v>
      </c>
      <c r="E393" s="3">
        <f t="shared" si="20"/>
        <v>2</v>
      </c>
      <c r="F393" s="5">
        <v>44222.625</v>
      </c>
      <c r="G393" s="19" t="str">
        <f t="shared" si="21"/>
        <v/>
      </c>
    </row>
    <row r="394" spans="1:10">
      <c r="A394" s="3">
        <v>383</v>
      </c>
      <c r="B394" t="s">
        <v>418</v>
      </c>
      <c r="C394" t="s">
        <v>8</v>
      </c>
      <c r="F394" s="5">
        <v>44223.625</v>
      </c>
      <c r="G394" s="19" t="str">
        <f t="shared" si="21"/>
        <v/>
      </c>
    </row>
    <row r="395" spans="1:10">
      <c r="A395" s="3">
        <v>435</v>
      </c>
      <c r="B395" t="s">
        <v>419</v>
      </c>
      <c r="C395" t="s">
        <v>8</v>
      </c>
      <c r="F395" s="5">
        <v>44224.625</v>
      </c>
      <c r="G395" s="19" t="str">
        <f t="shared" si="21"/>
        <v/>
      </c>
    </row>
    <row r="396" spans="1:10">
      <c r="A396" s="3">
        <v>375</v>
      </c>
      <c r="B396" t="s">
        <v>420</v>
      </c>
      <c r="C396" t="s">
        <v>8</v>
      </c>
      <c r="F396" s="5">
        <v>44225.625</v>
      </c>
      <c r="G396" s="19" t="str">
        <f t="shared" si="21"/>
        <v/>
      </c>
    </row>
    <row r="397" spans="1:10">
      <c r="A397" s="3">
        <v>232</v>
      </c>
      <c r="B397" t="s">
        <v>423</v>
      </c>
      <c r="C397" t="s">
        <v>8</v>
      </c>
      <c r="F397" s="5">
        <v>44226.625</v>
      </c>
      <c r="G397" s="19" t="str">
        <f t="shared" si="21"/>
        <v/>
      </c>
    </row>
    <row r="398" spans="1:10">
      <c r="A398" s="3">
        <v>272</v>
      </c>
      <c r="B398" t="s">
        <v>424</v>
      </c>
      <c r="C398" t="s">
        <v>8</v>
      </c>
      <c r="F398" s="5">
        <v>44227.625</v>
      </c>
      <c r="G398" s="19" t="str">
        <f t="shared" si="21"/>
        <v/>
      </c>
    </row>
    <row r="399" spans="1:10">
      <c r="A399" s="3">
        <v>531</v>
      </c>
      <c r="B399" t="s">
        <v>425</v>
      </c>
      <c r="C399" t="s">
        <v>8</v>
      </c>
      <c r="F399" s="5">
        <v>44228.625</v>
      </c>
      <c r="G399" s="19" t="str">
        <f t="shared" si="21"/>
        <v>W5</v>
      </c>
      <c r="H399">
        <f>SUM(A399:A405)</f>
        <v>2599</v>
      </c>
      <c r="I399" s="28">
        <f>H399/H392-1</f>
        <v>-3.7407407407407445E-2</v>
      </c>
      <c r="J399" s="28">
        <f>A399/A392-1</f>
        <v>-0.12086092715231789</v>
      </c>
    </row>
    <row r="400" spans="1:10">
      <c r="A400" s="3">
        <v>395</v>
      </c>
      <c r="B400" t="s">
        <v>426</v>
      </c>
      <c r="C400" t="s">
        <v>8</v>
      </c>
      <c r="F400" s="5">
        <v>44229.625</v>
      </c>
      <c r="G400" s="19" t="str">
        <f t="shared" si="21"/>
        <v/>
      </c>
    </row>
    <row r="401" spans="1:10">
      <c r="A401" s="3">
        <v>437</v>
      </c>
      <c r="B401" t="s">
        <v>427</v>
      </c>
      <c r="C401" t="s">
        <v>8</v>
      </c>
      <c r="F401" s="5">
        <v>44230.625</v>
      </c>
      <c r="G401" s="19" t="str">
        <f t="shared" si="21"/>
        <v/>
      </c>
    </row>
    <row r="402" spans="1:10">
      <c r="A402" s="3">
        <v>369</v>
      </c>
      <c r="B402" t="s">
        <v>428</v>
      </c>
      <c r="C402" t="s">
        <v>8</v>
      </c>
      <c r="F402" s="5">
        <v>44231.625</v>
      </c>
      <c r="G402" s="19" t="str">
        <f t="shared" si="21"/>
        <v/>
      </c>
    </row>
    <row r="403" spans="1:10">
      <c r="A403" s="3">
        <v>365</v>
      </c>
      <c r="B403" t="s">
        <v>429</v>
      </c>
      <c r="C403" t="s">
        <v>8</v>
      </c>
      <c r="F403" s="5">
        <v>44232.625</v>
      </c>
      <c r="G403" s="19" t="str">
        <f t="shared" si="21"/>
        <v/>
      </c>
    </row>
    <row r="404" spans="1:10">
      <c r="A404" s="3">
        <v>240</v>
      </c>
      <c r="B404" t="s">
        <v>430</v>
      </c>
      <c r="C404" t="s">
        <v>8</v>
      </c>
      <c r="F404" s="5">
        <v>44233.625</v>
      </c>
      <c r="G404" s="19" t="str">
        <f t="shared" si="21"/>
        <v/>
      </c>
    </row>
    <row r="405" spans="1:10">
      <c r="A405" s="3">
        <v>262</v>
      </c>
      <c r="B405" t="s">
        <v>431</v>
      </c>
      <c r="C405" t="s">
        <v>8</v>
      </c>
      <c r="F405" s="5">
        <v>44234.625</v>
      </c>
      <c r="G405" s="19" t="str">
        <f t="shared" si="21"/>
        <v/>
      </c>
    </row>
    <row r="406" spans="1:10">
      <c r="A406" s="3">
        <v>458</v>
      </c>
      <c r="B406" t="s">
        <v>439</v>
      </c>
      <c r="C406" t="s">
        <v>8</v>
      </c>
      <c r="F406" s="5">
        <v>44235.625</v>
      </c>
      <c r="G406" s="19" t="str">
        <f t="shared" ref="G406" si="22">IF(WEEKDAY(F406,2)=1,"W"&amp;WEEKNUM(F406,14),"")</f>
        <v>W6</v>
      </c>
      <c r="H406">
        <f>SUM(A406:A412)</f>
        <v>2279</v>
      </c>
      <c r="I406" s="28" t="e">
        <f>H406/#REF!-1</f>
        <v>#REF!</v>
      </c>
      <c r="J406" s="28" t="e">
        <f>A406/#REF!-1</f>
        <v>#REF!</v>
      </c>
    </row>
    <row r="407" spans="1:10">
      <c r="A407" s="3">
        <v>367</v>
      </c>
      <c r="B407" t="s">
        <v>440</v>
      </c>
      <c r="C407" t="s">
        <v>8</v>
      </c>
      <c r="F407" s="5">
        <v>44236.625</v>
      </c>
      <c r="G407" s="19" t="str">
        <f t="shared" ref="G407" si="23">IF(WEEKDAY(F407,2)=1,"W"&amp;WEEKNUM(F407,14),"")</f>
        <v/>
      </c>
    </row>
    <row r="408" spans="1:10">
      <c r="A408" s="3">
        <v>383</v>
      </c>
      <c r="B408" t="s">
        <v>441</v>
      </c>
      <c r="C408" t="s">
        <v>8</v>
      </c>
      <c r="F408" s="5">
        <v>44237.625</v>
      </c>
      <c r="G408" s="19" t="str">
        <f t="shared" ref="G408" si="24">IF(WEEKDAY(F408,2)=1,"W"&amp;WEEKNUM(F408,14),"")</f>
        <v/>
      </c>
    </row>
    <row r="409" spans="1:10">
      <c r="A409" s="3">
        <v>343</v>
      </c>
      <c r="B409" t="s">
        <v>442</v>
      </c>
      <c r="C409" t="s">
        <v>8</v>
      </c>
      <c r="F409" s="5">
        <v>44238.625</v>
      </c>
      <c r="G409" s="19" t="str">
        <f t="shared" ref="G409" si="25">IF(WEEKDAY(F409,2)=1,"W"&amp;WEEKNUM(F409,14),"")</f>
        <v/>
      </c>
    </row>
    <row r="410" spans="1:10">
      <c r="A410" s="3">
        <v>362</v>
      </c>
      <c r="B410" t="s">
        <v>443</v>
      </c>
      <c r="C410" t="s">
        <v>8</v>
      </c>
      <c r="F410" s="5">
        <v>44239.625</v>
      </c>
      <c r="G410" s="19" t="str">
        <f t="shared" ref="G410" si="26">IF(WEEKDAY(F410,2)=1,"W"&amp;WEEKNUM(F410,14),"")</f>
        <v/>
      </c>
    </row>
    <row r="411" spans="1:10">
      <c r="A411" s="3">
        <v>209</v>
      </c>
      <c r="B411" t="s">
        <v>444</v>
      </c>
      <c r="C411" t="s">
        <v>8</v>
      </c>
      <c r="F411" s="5">
        <v>44240.625</v>
      </c>
      <c r="G411" s="19" t="str">
        <f t="shared" ref="G411" si="27">IF(WEEKDAY(F411,2)=1,"W"&amp;WEEKNUM(F411,14),"")</f>
        <v/>
      </c>
    </row>
    <row r="412" spans="1:10">
      <c r="A412" s="3">
        <v>157</v>
      </c>
      <c r="B412" t="s">
        <v>445</v>
      </c>
      <c r="C412" t="s">
        <v>8</v>
      </c>
      <c r="F412" s="5">
        <v>44241.625</v>
      </c>
      <c r="G412" s="19" t="str">
        <f t="shared" ref="G412" si="28">IF(WEEKDAY(F412,2)=1,"W"&amp;WEEKNUM(F412,14),"")</f>
        <v/>
      </c>
    </row>
    <row r="413" spans="1:10">
      <c r="A413" s="3">
        <v>0</v>
      </c>
      <c r="B413" t="s">
        <v>446</v>
      </c>
      <c r="C413" t="s">
        <v>8</v>
      </c>
      <c r="F413" s="5">
        <v>44242.39980324074</v>
      </c>
      <c r="G413" s="19" t="str">
        <f t="shared" ref="G413" si="29">IF(WEEKDAY(F413,2)=1,"W"&amp;WEEKNUM(F413,14),"")</f>
        <v>W7</v>
      </c>
      <c r="H413">
        <f>SUM(A413:A419)</f>
        <v>0</v>
      </c>
      <c r="I413" s="28">
        <f>H413/H406-1</f>
        <v>-1</v>
      </c>
      <c r="J413" s="28">
        <f>A413/A406-1</f>
        <v>-1</v>
      </c>
    </row>
    <row r="414" spans="1:10">
      <c r="G414" s="19" t="str">
        <f t="shared" ref="G414" si="30">IF(WEEKDAY(F414,2)=1,"W"&amp;WEEKNUM(F414,14),"")</f>
        <v/>
      </c>
    </row>
    <row r="415" spans="1:10">
      <c r="G415" s="19" t="str">
        <f t="shared" ref="G415" si="31">IF(WEEKDAY(F415,2)=1,"W"&amp;WEEKNUM(F415,14),"")</f>
        <v/>
      </c>
    </row>
    <row r="416" spans="1:10">
      <c r="G416" s="19" t="str">
        <f t="shared" ref="G416" si="32">IF(WEEKDAY(F416,2)=1,"W"&amp;WEEKNUM(F416,14),"")</f>
        <v/>
      </c>
    </row>
    <row r="417" spans="7:10">
      <c r="G417" s="19" t="str">
        <f t="shared" ref="G417" si="33">IF(WEEKDAY(F417,2)=1,"W"&amp;WEEKNUM(F417,14),"")</f>
        <v/>
      </c>
    </row>
    <row r="418" spans="7:10">
      <c r="G418" s="19" t="str">
        <f t="shared" ref="G418" si="34">IF(WEEKDAY(F418,2)=1,"W"&amp;WEEKNUM(F418,14),"")</f>
        <v/>
      </c>
    </row>
    <row r="419" spans="7:10">
      <c r="G419" s="19" t="str">
        <f t="shared" ref="G419" si="35">IF(WEEKDAY(F419,2)=1,"W"&amp;WEEKNUM(F419,14),"")</f>
        <v/>
      </c>
    </row>
    <row r="420" spans="7:10">
      <c r="G420" s="19" t="str">
        <f t="shared" ref="G420" si="36">IF(WEEKDAY(F420,2)=1,"W"&amp;WEEKNUM(F420,14),"")</f>
        <v/>
      </c>
      <c r="H420">
        <f>SUM(A420:A426)</f>
        <v>0</v>
      </c>
      <c r="I420" s="28" t="e">
        <f>H420/H413-1</f>
        <v>#DIV/0!</v>
      </c>
      <c r="J420" s="28" t="e">
        <f>A420/A413-1</f>
        <v>#DIV/0!</v>
      </c>
    </row>
    <row r="421" spans="7:10">
      <c r="G421" s="19" t="str">
        <f t="shared" ref="G421" si="37">IF(WEEKDAY(F421,2)=1,"W"&amp;WEEKNUM(F421,14),"")</f>
        <v/>
      </c>
    </row>
    <row r="422" spans="7:10">
      <c r="G422" s="19" t="str">
        <f t="shared" ref="G422" si="38">IF(WEEKDAY(F422,2)=1,"W"&amp;WEEKNUM(F422,14),"")</f>
        <v/>
      </c>
    </row>
    <row r="423" spans="7:10">
      <c r="G423" s="19" t="str">
        <f t="shared" ref="G423" si="39">IF(WEEKDAY(F423,2)=1,"W"&amp;WEEKNUM(F423,14),"")</f>
        <v/>
      </c>
    </row>
    <row r="424" spans="7:10">
      <c r="G424" s="19" t="str">
        <f t="shared" ref="G424" si="40">IF(WEEKDAY(F424,2)=1,"W"&amp;WEEKNUM(F424,14),"")</f>
        <v/>
      </c>
    </row>
    <row r="425" spans="7:10">
      <c r="G425" s="19" t="str">
        <f t="shared" ref="G425" si="41">IF(WEEKDAY(F425,2)=1,"W"&amp;WEEKNUM(F425,14),"")</f>
        <v/>
      </c>
    </row>
    <row r="426" spans="7:10">
      <c r="G426" s="19" t="str">
        <f t="shared" ref="G426" si="42">IF(WEEKDAY(F426,2)=1,"W"&amp;WEEKNUM(F426,14),"")</f>
        <v/>
      </c>
    </row>
    <row r="427" spans="7:10">
      <c r="G427" s="19" t="str">
        <f t="shared" ref="G427" si="43">IF(WEEKDAY(F427,2)=1,"W"&amp;WEEKNUM(F427,14),"")</f>
        <v/>
      </c>
      <c r="H427">
        <f>SUM(A427:A433)</f>
        <v>0</v>
      </c>
      <c r="I427" s="28" t="e">
        <f>H427/H420-1</f>
        <v>#DIV/0!</v>
      </c>
      <c r="J427" s="28" t="e">
        <f>A427/A420-1</f>
        <v>#DIV/0!</v>
      </c>
    </row>
    <row r="428" spans="7:10">
      <c r="G428" s="19" t="str">
        <f t="shared" ref="G428" si="44">IF(WEEKDAY(F428,2)=1,"W"&amp;WEEKNUM(F428,14),"")</f>
        <v/>
      </c>
    </row>
    <row r="429" spans="7:10">
      <c r="G429" s="19" t="str">
        <f t="shared" ref="G429" si="45">IF(WEEKDAY(F429,2)=1,"W"&amp;WEEKNUM(F429,14),"")</f>
        <v/>
      </c>
    </row>
    <row r="430" spans="7:10">
      <c r="G430" s="19" t="str">
        <f t="shared" ref="G430" si="46">IF(WEEKDAY(F430,2)=1,"W"&amp;WEEKNUM(F430,14),"")</f>
        <v/>
      </c>
    </row>
    <row r="431" spans="7:10">
      <c r="G431" s="19" t="str">
        <f t="shared" ref="G431" si="47">IF(WEEKDAY(F431,2)=1,"W"&amp;WEEKNUM(F431,14),"")</f>
        <v/>
      </c>
    </row>
    <row r="432" spans="7:10">
      <c r="G432" s="19" t="str">
        <f t="shared" ref="G432" si="48">IF(WEEKDAY(F432,2)=1,"W"&amp;WEEKNUM(F432,14),"")</f>
        <v/>
      </c>
    </row>
    <row r="433" spans="7:10">
      <c r="G433" s="19" t="str">
        <f t="shared" ref="G433" si="49">IF(WEEKDAY(F433,2)=1,"W"&amp;WEEKNUM(F433,14),"")</f>
        <v/>
      </c>
    </row>
    <row r="434" spans="7:10">
      <c r="G434" s="19" t="str">
        <f t="shared" ref="G434" si="50">IF(WEEKDAY(F434,2)=1,"W"&amp;WEEKNUM(F434,14),"")</f>
        <v/>
      </c>
      <c r="H434">
        <f>SUM(A434:A440)</f>
        <v>0</v>
      </c>
      <c r="I434" s="28" t="e">
        <f>H434/H427-1</f>
        <v>#DIV/0!</v>
      </c>
      <c r="J434" s="28" t="e">
        <f>A434/A427-1</f>
        <v>#DIV/0!</v>
      </c>
    </row>
    <row r="435" spans="7:10">
      <c r="G435" s="19" t="str">
        <f t="shared" ref="G435" si="51">IF(WEEKDAY(F435,2)=1,"W"&amp;WEEKNUM(F435,14),"")</f>
        <v/>
      </c>
    </row>
    <row r="436" spans="7:10">
      <c r="G436" s="19" t="str">
        <f t="shared" ref="G436" si="52">IF(WEEKDAY(F436,2)=1,"W"&amp;WEEKNUM(F436,14),"")</f>
        <v/>
      </c>
    </row>
    <row r="437" spans="7:10">
      <c r="G437" s="19" t="str">
        <f t="shared" ref="G437" si="53">IF(WEEKDAY(F437,2)=1,"W"&amp;WEEKNUM(F437,14),"")</f>
        <v/>
      </c>
    </row>
    <row r="438" spans="7:10">
      <c r="G438" s="19" t="str">
        <f t="shared" ref="G438" si="54">IF(WEEKDAY(F438,2)=1,"W"&amp;WEEKNUM(F438,14),"")</f>
        <v/>
      </c>
    </row>
    <row r="439" spans="7:10">
      <c r="G439" s="19" t="str">
        <f t="shared" ref="G439" si="55">IF(WEEKDAY(F439,2)=1,"W"&amp;WEEKNUM(F439,14),"")</f>
        <v/>
      </c>
    </row>
    <row r="440" spans="7:10">
      <c r="G440" s="19" t="str">
        <f t="shared" ref="G440" si="56">IF(WEEKDAY(F440,2)=1,"W"&amp;WEEKNUM(F440,14),"")</f>
        <v/>
      </c>
    </row>
    <row r="441" spans="7:10">
      <c r="G441" s="19" t="str">
        <f t="shared" ref="G441" si="57">IF(WEEKDAY(F441,2)=1,"W"&amp;WEEKNUM(F441,14),"")</f>
        <v/>
      </c>
      <c r="H441">
        <f>SUM(A441:A447)</f>
        <v>0</v>
      </c>
      <c r="I441" s="28" t="e">
        <f>H441/H434-1</f>
        <v>#DIV/0!</v>
      </c>
      <c r="J441" s="28" t="e">
        <f>A441/A434-1</f>
        <v>#DIV/0!</v>
      </c>
    </row>
    <row r="442" spans="7:10">
      <c r="G442" s="19" t="str">
        <f t="shared" ref="G442" si="58">IF(WEEKDAY(F442,2)=1,"W"&amp;WEEKNUM(F442,14),"")</f>
        <v/>
      </c>
    </row>
    <row r="443" spans="7:10">
      <c r="G443" s="19" t="str">
        <f t="shared" ref="G443" si="59">IF(WEEKDAY(F443,2)=1,"W"&amp;WEEKNUM(F443,14),"")</f>
        <v/>
      </c>
    </row>
    <row r="444" spans="7:10">
      <c r="G444" s="19" t="str">
        <f t="shared" ref="G444" si="60">IF(WEEKDAY(F444,2)=1,"W"&amp;WEEKNUM(F444,14),"")</f>
        <v/>
      </c>
    </row>
    <row r="445" spans="7:10">
      <c r="G445" s="19" t="str">
        <f t="shared" ref="G445" si="61">IF(WEEKDAY(F445,2)=1,"W"&amp;WEEKNUM(F445,14),"")</f>
        <v/>
      </c>
    </row>
    <row r="446" spans="7:10">
      <c r="G446" s="19" t="str">
        <f t="shared" ref="G446" si="62">IF(WEEKDAY(F446,2)=1,"W"&amp;WEEKNUM(F446,14),"")</f>
        <v/>
      </c>
    </row>
    <row r="447" spans="7:10">
      <c r="G447" s="19" t="str">
        <f t="shared" ref="G447" si="63">IF(WEEKDAY(F447,2)=1,"W"&amp;WEEKNUM(F447,14),"")</f>
        <v/>
      </c>
    </row>
    <row r="448" spans="7:10">
      <c r="G448" s="19" t="str">
        <f t="shared" ref="G448" si="64">IF(WEEKDAY(F448,2)=1,"W"&amp;WEEKNUM(F448,14),"")</f>
        <v/>
      </c>
      <c r="H448">
        <f>SUM(A448:A454)</f>
        <v>0</v>
      </c>
      <c r="I448" s="28" t="e">
        <f>H448/H441-1</f>
        <v>#DIV/0!</v>
      </c>
      <c r="J448" s="28" t="e">
        <f>A448/A441-1</f>
        <v>#DIV/0!</v>
      </c>
    </row>
    <row r="449" spans="7:10">
      <c r="G449" s="19" t="str">
        <f t="shared" ref="G449" si="65">IF(WEEKDAY(F449,2)=1,"W"&amp;WEEKNUM(F449,14),"")</f>
        <v/>
      </c>
    </row>
    <row r="450" spans="7:10">
      <c r="G450" s="19" t="str">
        <f t="shared" ref="G450" si="66">IF(WEEKDAY(F450,2)=1,"W"&amp;WEEKNUM(F450,14),"")</f>
        <v/>
      </c>
    </row>
    <row r="451" spans="7:10">
      <c r="G451" s="19" t="str">
        <f t="shared" ref="G451" si="67">IF(WEEKDAY(F451,2)=1,"W"&amp;WEEKNUM(F451,14),"")</f>
        <v/>
      </c>
    </row>
    <row r="452" spans="7:10">
      <c r="G452" s="19" t="str">
        <f t="shared" ref="G452" si="68">IF(WEEKDAY(F452,2)=1,"W"&amp;WEEKNUM(F452,14),"")</f>
        <v/>
      </c>
    </row>
    <row r="453" spans="7:10">
      <c r="G453" s="19" t="str">
        <f t="shared" ref="G453" si="69">IF(WEEKDAY(F453,2)=1,"W"&amp;WEEKNUM(F453,14),"")</f>
        <v/>
      </c>
    </row>
    <row r="454" spans="7:10">
      <c r="G454" s="19" t="str">
        <f t="shared" ref="G454" si="70">IF(WEEKDAY(F454,2)=1,"W"&amp;WEEKNUM(F454,14),"")</f>
        <v/>
      </c>
    </row>
    <row r="455" spans="7:10">
      <c r="G455" s="19" t="str">
        <f t="shared" ref="G455" si="71">IF(WEEKDAY(F455,2)=1,"W"&amp;WEEKNUM(F455,14),"")</f>
        <v/>
      </c>
      <c r="H455">
        <f>SUM(A455:A461)</f>
        <v>0</v>
      </c>
      <c r="I455" s="28" t="e">
        <f>H455/H448-1</f>
        <v>#DIV/0!</v>
      </c>
      <c r="J455" s="28" t="e">
        <f>A455/A448-1</f>
        <v>#DIV/0!</v>
      </c>
    </row>
    <row r="456" spans="7:10">
      <c r="G456" s="19" t="str">
        <f t="shared" ref="G456" si="72">IF(WEEKDAY(F456,2)=1,"W"&amp;WEEKNUM(F456,14),"")</f>
        <v/>
      </c>
    </row>
    <row r="457" spans="7:10">
      <c r="G457" s="19" t="str">
        <f t="shared" ref="G457" si="73">IF(WEEKDAY(F457,2)=1,"W"&amp;WEEKNUM(F457,14),"")</f>
        <v/>
      </c>
    </row>
    <row r="458" spans="7:10">
      <c r="G458" s="19" t="str">
        <f t="shared" ref="G458" si="74">IF(WEEKDAY(F458,2)=1,"W"&amp;WEEKNUM(F458,14),"")</f>
        <v/>
      </c>
    </row>
    <row r="459" spans="7:10">
      <c r="G459" s="19" t="str">
        <f t="shared" ref="G459" si="75">IF(WEEKDAY(F459,2)=1,"W"&amp;WEEKNUM(F459,14),"")</f>
        <v/>
      </c>
    </row>
    <row r="460" spans="7:10">
      <c r="G460" s="19" t="str">
        <f t="shared" ref="G460" si="76">IF(WEEKDAY(F460,2)=1,"W"&amp;WEEKNUM(F460,14),"")</f>
        <v/>
      </c>
    </row>
    <row r="461" spans="7:10">
      <c r="G461" s="19" t="str">
        <f t="shared" ref="G461" si="77">IF(WEEKDAY(F461,2)=1,"W"&amp;WEEKNUM(F461,14),"")</f>
        <v/>
      </c>
    </row>
    <row r="462" spans="7:10">
      <c r="G462" s="19" t="str">
        <f t="shared" ref="G462" si="78">IF(WEEKDAY(F462,2)=1,"W"&amp;WEEKNUM(F462,14),"")</f>
        <v/>
      </c>
      <c r="H462">
        <f>SUM(A462:A468)</f>
        <v>0</v>
      </c>
      <c r="I462" s="28" t="e">
        <f>H462/H455-1</f>
        <v>#DIV/0!</v>
      </c>
      <c r="J462" s="28" t="e">
        <f>A462/A455-1</f>
        <v>#DIV/0!</v>
      </c>
    </row>
    <row r="463" spans="7:10">
      <c r="G463" s="19" t="str">
        <f t="shared" ref="G463" si="79">IF(WEEKDAY(F463,2)=1,"W"&amp;WEEKNUM(F463,14),"")</f>
        <v/>
      </c>
    </row>
    <row r="464" spans="7:10">
      <c r="G464" s="19" t="str">
        <f t="shared" ref="G464" si="80">IF(WEEKDAY(F464,2)=1,"W"&amp;WEEKNUM(F464,14),"")</f>
        <v/>
      </c>
    </row>
    <row r="465" spans="7:10">
      <c r="G465" s="19" t="str">
        <f t="shared" ref="G465" si="81">IF(WEEKDAY(F465,2)=1,"W"&amp;WEEKNUM(F465,14),"")</f>
        <v/>
      </c>
    </row>
    <row r="466" spans="7:10">
      <c r="G466" s="19" t="str">
        <f t="shared" ref="G466" si="82">IF(WEEKDAY(F466,2)=1,"W"&amp;WEEKNUM(F466,14),"")</f>
        <v/>
      </c>
    </row>
    <row r="467" spans="7:10">
      <c r="G467" s="19" t="str">
        <f t="shared" ref="G467" si="83">IF(WEEKDAY(F467,2)=1,"W"&amp;WEEKNUM(F467,14),"")</f>
        <v/>
      </c>
    </row>
    <row r="468" spans="7:10">
      <c r="G468" s="19" t="str">
        <f t="shared" ref="G468" si="84">IF(WEEKDAY(F468,2)=1,"W"&amp;WEEKNUM(F468,14),"")</f>
        <v/>
      </c>
    </row>
    <row r="469" spans="7:10">
      <c r="G469" s="19" t="str">
        <f t="shared" ref="G469" si="85">IF(WEEKDAY(F469,2)=1,"W"&amp;WEEKNUM(F469,14),"")</f>
        <v/>
      </c>
      <c r="H469">
        <f>SUM(A469:A475)</f>
        <v>0</v>
      </c>
      <c r="I469" s="28" t="e">
        <f>H469/H462-1</f>
        <v>#DIV/0!</v>
      </c>
      <c r="J469" s="28" t="e">
        <f>A469/A462-1</f>
        <v>#DIV/0!</v>
      </c>
    </row>
    <row r="470" spans="7:10">
      <c r="G470" s="19" t="str">
        <f t="shared" ref="G470" si="86">IF(WEEKDAY(F470,2)=1,"W"&amp;WEEKNUM(F470,14),"")</f>
        <v/>
      </c>
    </row>
    <row r="471" spans="7:10">
      <c r="G471" s="19" t="str">
        <f t="shared" ref="G471" si="87">IF(WEEKDAY(F471,2)=1,"W"&amp;WEEKNUM(F471,14),"")</f>
        <v/>
      </c>
    </row>
    <row r="472" spans="7:10">
      <c r="G472" s="19" t="str">
        <f t="shared" ref="G472" si="88">IF(WEEKDAY(F472,2)=1,"W"&amp;WEEKNUM(F472,14),"")</f>
        <v/>
      </c>
    </row>
    <row r="473" spans="7:10">
      <c r="G473" s="19" t="str">
        <f t="shared" ref="G473" si="89">IF(WEEKDAY(F473,2)=1,"W"&amp;WEEKNUM(F473,14),"")</f>
        <v/>
      </c>
    </row>
    <row r="474" spans="7:10">
      <c r="G474" s="19" t="str">
        <f t="shared" ref="G474" si="90">IF(WEEKDAY(F474,2)=1,"W"&amp;WEEKNUM(F474,14),"")</f>
        <v/>
      </c>
    </row>
    <row r="475" spans="7:10">
      <c r="G475" s="19" t="str">
        <f t="shared" ref="G475" si="91">IF(WEEKDAY(F475,2)=1,"W"&amp;WEEKNUM(F475,14),"")</f>
        <v/>
      </c>
    </row>
    <row r="476" spans="7:10">
      <c r="G476" s="19" t="str">
        <f t="shared" ref="G476" si="92">IF(WEEKDAY(F476,2)=1,"W"&amp;WEEKNUM(F476,14),"")</f>
        <v/>
      </c>
      <c r="H476">
        <f>SUM(A476:A482)</f>
        <v>0</v>
      </c>
      <c r="I476" s="28" t="e">
        <f>H476/H469-1</f>
        <v>#DIV/0!</v>
      </c>
      <c r="J476" s="28" t="e">
        <f>A476/A469-1</f>
        <v>#DIV/0!</v>
      </c>
    </row>
    <row r="477" spans="7:10">
      <c r="G477" s="19" t="str">
        <f t="shared" ref="G477" si="93">IF(WEEKDAY(F477,2)=1,"W"&amp;WEEKNUM(F477,14),"")</f>
        <v/>
      </c>
    </row>
    <row r="478" spans="7:10">
      <c r="G478" s="19" t="str">
        <f t="shared" ref="G478" si="94">IF(WEEKDAY(F478,2)=1,"W"&amp;WEEKNUM(F478,14),"")</f>
        <v/>
      </c>
    </row>
    <row r="479" spans="7:10">
      <c r="G479" s="19" t="str">
        <f t="shared" ref="G479" si="95">IF(WEEKDAY(F479,2)=1,"W"&amp;WEEKNUM(F479,14),"")</f>
        <v/>
      </c>
    </row>
    <row r="480" spans="7:10">
      <c r="G480" s="19" t="str">
        <f t="shared" ref="G480" si="96">IF(WEEKDAY(F480,2)=1,"W"&amp;WEEKNUM(F480,14),"")</f>
        <v/>
      </c>
    </row>
    <row r="481" spans="7:10">
      <c r="G481" s="19" t="str">
        <f t="shared" ref="G481" si="97">IF(WEEKDAY(F481,2)=1,"W"&amp;WEEKNUM(F481,14),"")</f>
        <v/>
      </c>
    </row>
    <row r="482" spans="7:10">
      <c r="G482" s="19" t="str">
        <f t="shared" ref="G482" si="98">IF(WEEKDAY(F482,2)=1,"W"&amp;WEEKNUM(F482,14),"")</f>
        <v/>
      </c>
    </row>
    <row r="483" spans="7:10">
      <c r="G483" s="19" t="str">
        <f t="shared" ref="G483" si="99">IF(WEEKDAY(F483,2)=1,"W"&amp;WEEKNUM(F483,14),"")</f>
        <v/>
      </c>
      <c r="H483">
        <f>SUM(A483:A489)</f>
        <v>0</v>
      </c>
      <c r="I483" s="28" t="e">
        <f>H483/H476-1</f>
        <v>#DIV/0!</v>
      </c>
      <c r="J483" s="28" t="e">
        <f>A483/A476-1</f>
        <v>#DIV/0!</v>
      </c>
    </row>
    <row r="484" spans="7:10">
      <c r="G484" s="19" t="str">
        <f t="shared" ref="G484" si="100">IF(WEEKDAY(F484,2)=1,"W"&amp;WEEKNUM(F484,14),"")</f>
        <v/>
      </c>
    </row>
    <row r="485" spans="7:10">
      <c r="G485" s="19" t="str">
        <f t="shared" ref="G485" si="101">IF(WEEKDAY(F485,2)=1,"W"&amp;WEEKNUM(F485,14),"")</f>
        <v/>
      </c>
    </row>
    <row r="486" spans="7:10">
      <c r="G486" s="19" t="str">
        <f t="shared" ref="G486" si="102">IF(WEEKDAY(F486,2)=1,"W"&amp;WEEKNUM(F486,14),"")</f>
        <v/>
      </c>
    </row>
    <row r="487" spans="7:10">
      <c r="G487" s="19" t="str">
        <f t="shared" ref="G487" si="103">IF(WEEKDAY(F487,2)=1,"W"&amp;WEEKNUM(F487,14),"")</f>
        <v/>
      </c>
    </row>
    <row r="488" spans="7:10">
      <c r="G488" s="19" t="str">
        <f t="shared" ref="G488" si="104">IF(WEEKDAY(F488,2)=1,"W"&amp;WEEKNUM(F488,14),"")</f>
        <v/>
      </c>
    </row>
    <row r="489" spans="7:10">
      <c r="G489" s="19" t="str">
        <f t="shared" ref="G489" si="105">IF(WEEKDAY(F489,2)=1,"W"&amp;WEEKNUM(F489,14),"")</f>
        <v/>
      </c>
    </row>
    <row r="490" spans="7:10">
      <c r="G490" s="19" t="str">
        <f t="shared" ref="G490" si="106">IF(WEEKDAY(F490,2)=1,"W"&amp;WEEKNUM(F490,14),"")</f>
        <v/>
      </c>
      <c r="H490">
        <f>SUM(A490:A496)</f>
        <v>0</v>
      </c>
      <c r="I490" s="28" t="e">
        <f>H490/H483-1</f>
        <v>#DIV/0!</v>
      </c>
      <c r="J490" s="28" t="e">
        <f>A490/A483-1</f>
        <v>#DIV/0!</v>
      </c>
    </row>
    <row r="491" spans="7:10">
      <c r="G491" s="19" t="str">
        <f t="shared" ref="G491" si="107">IF(WEEKDAY(F491,2)=1,"W"&amp;WEEKNUM(F491,14),"")</f>
        <v/>
      </c>
    </row>
    <row r="492" spans="7:10">
      <c r="G492" s="19" t="str">
        <f t="shared" ref="G492" si="108">IF(WEEKDAY(F492,2)=1,"W"&amp;WEEKNUM(F492,14),"")</f>
        <v/>
      </c>
    </row>
    <row r="493" spans="7:10">
      <c r="G493" s="19" t="str">
        <f t="shared" ref="G493" si="109">IF(WEEKDAY(F493,2)=1,"W"&amp;WEEKNUM(F493,14),"")</f>
        <v/>
      </c>
    </row>
    <row r="494" spans="7:10">
      <c r="G494" s="19" t="str">
        <f t="shared" ref="G494" si="110">IF(WEEKDAY(F494,2)=1,"W"&amp;WEEKNUM(F494,14),"")</f>
        <v/>
      </c>
    </row>
    <row r="495" spans="7:10">
      <c r="G495" s="19" t="str">
        <f t="shared" ref="G495" si="111">IF(WEEKDAY(F495,2)=1,"W"&amp;WEEKNUM(F495,14),"")</f>
        <v/>
      </c>
    </row>
    <row r="496" spans="7:10">
      <c r="G496" s="19" t="str">
        <f t="shared" ref="G496" si="112">IF(WEEKDAY(F496,2)=1,"W"&amp;WEEKNUM(F496,14),"")</f>
        <v/>
      </c>
    </row>
    <row r="497" spans="7:10">
      <c r="G497" s="19" t="str">
        <f t="shared" ref="G497" si="113">IF(WEEKDAY(F497,2)=1,"W"&amp;WEEKNUM(F497,14),"")</f>
        <v/>
      </c>
      <c r="H497">
        <f>SUM(A497:A503)</f>
        <v>0</v>
      </c>
      <c r="I497" s="28" t="e">
        <f>H497/H490-1</f>
        <v>#DIV/0!</v>
      </c>
      <c r="J497" s="28" t="e">
        <f>A497/A490-1</f>
        <v>#DIV/0!</v>
      </c>
    </row>
    <row r="498" spans="7:10">
      <c r="G498" s="19" t="str">
        <f t="shared" ref="G498" si="114">IF(WEEKDAY(F498,2)=1,"W"&amp;WEEKNUM(F498,14),"")</f>
        <v/>
      </c>
    </row>
    <row r="499" spans="7:10">
      <c r="G499" s="19" t="str">
        <f t="shared" ref="G499" si="115">IF(WEEKDAY(F499,2)=1,"W"&amp;WEEKNUM(F499,14),"")</f>
        <v/>
      </c>
    </row>
    <row r="500" spans="7:10">
      <c r="G500" s="19" t="str">
        <f t="shared" ref="G500" si="116">IF(WEEKDAY(F500,2)=1,"W"&amp;WEEKNUM(F500,14),"")</f>
        <v/>
      </c>
    </row>
    <row r="501" spans="7:10">
      <c r="G501" s="19" t="str">
        <f t="shared" ref="G501" si="117">IF(WEEKDAY(F501,2)=1,"W"&amp;WEEKNUM(F501,14),"")</f>
        <v/>
      </c>
    </row>
    <row r="502" spans="7:10">
      <c r="G502" s="19" t="str">
        <f t="shared" ref="G502" si="118">IF(WEEKDAY(F502,2)=1,"W"&amp;WEEKNUM(F502,14),"")</f>
        <v/>
      </c>
    </row>
    <row r="503" spans="7:10">
      <c r="G503" s="19" t="str">
        <f t="shared" ref="G503" si="119">IF(WEEKDAY(F503,2)=1,"W"&amp;WEEKNUM(F503,14),"")</f>
        <v/>
      </c>
    </row>
    <row r="504" spans="7:10">
      <c r="G504" s="19" t="str">
        <f t="shared" ref="G504" si="120">IF(WEEKDAY(F504,2)=1,"W"&amp;WEEKNUM(F504,14),"")</f>
        <v/>
      </c>
      <c r="H504">
        <f>SUM(A504:A510)</f>
        <v>0</v>
      </c>
      <c r="I504" s="28" t="e">
        <f>H504/H497-1</f>
        <v>#DIV/0!</v>
      </c>
      <c r="J504" s="28" t="e">
        <f>A504/A497-1</f>
        <v>#DIV/0!</v>
      </c>
    </row>
    <row r="505" spans="7:10">
      <c r="G505" s="19" t="str">
        <f t="shared" ref="G505" si="121">IF(WEEKDAY(F505,2)=1,"W"&amp;WEEKNUM(F505,14),"")</f>
        <v/>
      </c>
    </row>
    <row r="506" spans="7:10">
      <c r="G506" s="19" t="str">
        <f t="shared" ref="G506" si="122">IF(WEEKDAY(F506,2)=1,"W"&amp;WEEKNUM(F506,14),"")</f>
        <v/>
      </c>
    </row>
    <row r="507" spans="7:10">
      <c r="G507" s="19" t="str">
        <f t="shared" ref="G507" si="123">IF(WEEKDAY(F507,2)=1,"W"&amp;WEEKNUM(F507,14),"")</f>
        <v/>
      </c>
    </row>
    <row r="508" spans="7:10">
      <c r="G508" s="19" t="str">
        <f t="shared" ref="G508" si="124">IF(WEEKDAY(F508,2)=1,"W"&amp;WEEKNUM(F508,14),"")</f>
        <v/>
      </c>
    </row>
    <row r="509" spans="7:10">
      <c r="G509" s="19" t="str">
        <f t="shared" ref="G509" si="125">IF(WEEKDAY(F509,2)=1,"W"&amp;WEEKNUM(F509,14),"")</f>
        <v/>
      </c>
    </row>
    <row r="510" spans="7:10">
      <c r="G510" s="19" t="str">
        <f t="shared" ref="G510" si="126">IF(WEEKDAY(F510,2)=1,"W"&amp;WEEKNUM(F510,14),"")</f>
        <v/>
      </c>
    </row>
    <row r="511" spans="7:10">
      <c r="G511" s="19" t="str">
        <f t="shared" ref="G511" si="127">IF(WEEKDAY(F511,2)=1,"W"&amp;WEEKNUM(F511,14),"")</f>
        <v/>
      </c>
      <c r="H511">
        <f>SUM(A511:A517)</f>
        <v>0</v>
      </c>
      <c r="I511" s="28" t="e">
        <f>H511/H504-1</f>
        <v>#DIV/0!</v>
      </c>
      <c r="J511" s="28" t="e">
        <f>A511/A504-1</f>
        <v>#DIV/0!</v>
      </c>
    </row>
    <row r="512" spans="7:10">
      <c r="G512" s="19" t="str">
        <f t="shared" ref="G512" si="128">IF(WEEKDAY(F512,2)=1,"W"&amp;WEEKNUM(F512,14),"")</f>
        <v/>
      </c>
    </row>
    <row r="513" spans="7:10">
      <c r="G513" s="19" t="str">
        <f t="shared" ref="G513" si="129">IF(WEEKDAY(F513,2)=1,"W"&amp;WEEKNUM(F513,14),"")</f>
        <v/>
      </c>
    </row>
    <row r="514" spans="7:10">
      <c r="G514" s="19" t="str">
        <f t="shared" ref="G514" si="130">IF(WEEKDAY(F514,2)=1,"W"&amp;WEEKNUM(F514,14),"")</f>
        <v/>
      </c>
    </row>
    <row r="515" spans="7:10">
      <c r="G515" s="19" t="str">
        <f t="shared" ref="G515" si="131">IF(WEEKDAY(F515,2)=1,"W"&amp;WEEKNUM(F515,14),"")</f>
        <v/>
      </c>
    </row>
    <row r="516" spans="7:10">
      <c r="G516" s="19" t="str">
        <f t="shared" ref="G516" si="132">IF(WEEKDAY(F516,2)=1,"W"&amp;WEEKNUM(F516,14),"")</f>
        <v/>
      </c>
    </row>
    <row r="517" spans="7:10">
      <c r="G517" s="19" t="str">
        <f t="shared" ref="G517" si="133">IF(WEEKDAY(F517,2)=1,"W"&amp;WEEKNUM(F517,14),"")</f>
        <v/>
      </c>
    </row>
    <row r="518" spans="7:10">
      <c r="G518" s="19" t="str">
        <f t="shared" ref="G518" si="134">IF(WEEKDAY(F518,2)=1,"W"&amp;WEEKNUM(F518,14),"")</f>
        <v/>
      </c>
      <c r="H518">
        <f>SUM(A518:A524)</f>
        <v>0</v>
      </c>
      <c r="I518" s="28" t="e">
        <f>H518/H511-1</f>
        <v>#DIV/0!</v>
      </c>
      <c r="J518" s="28" t="e">
        <f>A518/A511-1</f>
        <v>#DIV/0!</v>
      </c>
    </row>
    <row r="519" spans="7:10">
      <c r="G519" s="19" t="str">
        <f t="shared" ref="G519" si="135">IF(WEEKDAY(F519,2)=1,"W"&amp;WEEKNUM(F519,14),"")</f>
        <v/>
      </c>
    </row>
    <row r="520" spans="7:10">
      <c r="G520" s="19" t="str">
        <f t="shared" ref="G520" si="136">IF(WEEKDAY(F520,2)=1,"W"&amp;WEEKNUM(F520,14),"")</f>
        <v/>
      </c>
    </row>
    <row r="521" spans="7:10">
      <c r="G521" s="19" t="str">
        <f t="shared" ref="G521" si="137">IF(WEEKDAY(F521,2)=1,"W"&amp;WEEKNUM(F521,14),"")</f>
        <v/>
      </c>
    </row>
    <row r="522" spans="7:10">
      <c r="G522" s="19" t="str">
        <f t="shared" ref="G522" si="138">IF(WEEKDAY(F522,2)=1,"W"&amp;WEEKNUM(F522,14),"")</f>
        <v/>
      </c>
    </row>
    <row r="523" spans="7:10">
      <c r="G523" s="19" t="str">
        <f t="shared" ref="G523" si="139">IF(WEEKDAY(F523,2)=1,"W"&amp;WEEKNUM(F523,14),"")</f>
        <v/>
      </c>
    </row>
    <row r="524" spans="7:10">
      <c r="G524" s="19" t="str">
        <f t="shared" ref="G524" si="140">IF(WEEKDAY(F524,2)=1,"W"&amp;WEEKNUM(F524,14),"")</f>
        <v/>
      </c>
    </row>
    <row r="525" spans="7:10">
      <c r="G525" s="19" t="str">
        <f t="shared" ref="G525" si="141">IF(WEEKDAY(F525,2)=1,"W"&amp;WEEKNUM(F525,14),"")</f>
        <v/>
      </c>
      <c r="H525">
        <f>SUM(A525:A531)</f>
        <v>0</v>
      </c>
      <c r="I525" s="28" t="e">
        <f>H525/H518-1</f>
        <v>#DIV/0!</v>
      </c>
      <c r="J525" s="28" t="e">
        <f>A525/A518-1</f>
        <v>#DIV/0!</v>
      </c>
    </row>
    <row r="526" spans="7:10">
      <c r="G526" s="19" t="str">
        <f t="shared" ref="G526" si="142">IF(WEEKDAY(F526,2)=1,"W"&amp;WEEKNUM(F526,14),"")</f>
        <v/>
      </c>
    </row>
    <row r="527" spans="7:10">
      <c r="G527" s="19" t="str">
        <f t="shared" ref="G527" si="143">IF(WEEKDAY(F527,2)=1,"W"&amp;WEEKNUM(F527,14),"")</f>
        <v/>
      </c>
    </row>
    <row r="528" spans="7:10">
      <c r="G528" s="19" t="str">
        <f t="shared" ref="G528" si="144">IF(WEEKDAY(F528,2)=1,"W"&amp;WEEKNUM(F528,14),"")</f>
        <v/>
      </c>
    </row>
    <row r="529" spans="7:10">
      <c r="G529" s="19" t="str">
        <f t="shared" ref="G529" si="145">IF(WEEKDAY(F529,2)=1,"W"&amp;WEEKNUM(F529,14),"")</f>
        <v/>
      </c>
    </row>
    <row r="530" spans="7:10">
      <c r="G530" s="19" t="str">
        <f t="shared" ref="G530" si="146">IF(WEEKDAY(F530,2)=1,"W"&amp;WEEKNUM(F530,14),"")</f>
        <v/>
      </c>
    </row>
    <row r="531" spans="7:10">
      <c r="G531" s="19" t="str">
        <f t="shared" ref="G531" si="147">IF(WEEKDAY(F531,2)=1,"W"&amp;WEEKNUM(F531,14),"")</f>
        <v/>
      </c>
    </row>
    <row r="532" spans="7:10">
      <c r="G532" s="19" t="str">
        <f t="shared" ref="G532" si="148">IF(WEEKDAY(F532,2)=1,"W"&amp;WEEKNUM(F532,14),"")</f>
        <v/>
      </c>
      <c r="H532">
        <f>SUM(A532:A538)</f>
        <v>0</v>
      </c>
      <c r="I532" s="28" t="e">
        <f>H532/H525-1</f>
        <v>#DIV/0!</v>
      </c>
      <c r="J532" s="28" t="e">
        <f>A532/A525-1</f>
        <v>#DIV/0!</v>
      </c>
    </row>
    <row r="533" spans="7:10">
      <c r="G533" s="19" t="str">
        <f t="shared" ref="G533" si="149">IF(WEEKDAY(F533,2)=1,"W"&amp;WEEKNUM(F533,14),"")</f>
        <v/>
      </c>
    </row>
    <row r="534" spans="7:10">
      <c r="G534" s="19" t="str">
        <f t="shared" ref="G534" si="150">IF(WEEKDAY(F534,2)=1,"W"&amp;WEEKNUM(F534,14),"")</f>
        <v/>
      </c>
    </row>
    <row r="535" spans="7:10">
      <c r="G535" s="19" t="str">
        <f t="shared" ref="G535" si="151">IF(WEEKDAY(F535,2)=1,"W"&amp;WEEKNUM(F535,14),"")</f>
        <v/>
      </c>
    </row>
    <row r="536" spans="7:10">
      <c r="G536" s="19" t="str">
        <f t="shared" ref="G536" si="152">IF(WEEKDAY(F536,2)=1,"W"&amp;WEEKNUM(F536,14),"")</f>
        <v/>
      </c>
    </row>
    <row r="537" spans="7:10">
      <c r="G537" s="19" t="str">
        <f t="shared" ref="G537" si="153">IF(WEEKDAY(F537,2)=1,"W"&amp;WEEKNUM(F537,14),"")</f>
        <v/>
      </c>
    </row>
    <row r="538" spans="7:10">
      <c r="G538" s="19" t="str">
        <f t="shared" ref="G538" si="154">IF(WEEKDAY(F538,2)=1,"W"&amp;WEEKNUM(F538,14),"")</f>
        <v/>
      </c>
    </row>
    <row r="539" spans="7:10">
      <c r="G539" s="19" t="str">
        <f t="shared" ref="G539" si="155">IF(WEEKDAY(F539,2)=1,"W"&amp;WEEKNUM(F539,14),"")</f>
        <v/>
      </c>
      <c r="H539">
        <f>SUM(A539:A545)</f>
        <v>0</v>
      </c>
      <c r="I539" s="28" t="e">
        <f>H539/H532-1</f>
        <v>#DIV/0!</v>
      </c>
      <c r="J539" s="28" t="e">
        <f>A539/A532-1</f>
        <v>#DIV/0!</v>
      </c>
    </row>
    <row r="540" spans="7:10">
      <c r="G540" s="19" t="str">
        <f t="shared" ref="G540" si="156">IF(WEEKDAY(F540,2)=1,"W"&amp;WEEKNUM(F540,14),"")</f>
        <v/>
      </c>
    </row>
    <row r="541" spans="7:10">
      <c r="G541" s="19" t="str">
        <f t="shared" ref="G541" si="157">IF(WEEKDAY(F541,2)=1,"W"&amp;WEEKNUM(F541,14),"")</f>
        <v/>
      </c>
    </row>
    <row r="542" spans="7:10">
      <c r="G542" s="19" t="str">
        <f t="shared" ref="G542" si="158">IF(WEEKDAY(F542,2)=1,"W"&amp;WEEKNUM(F542,14),"")</f>
        <v/>
      </c>
    </row>
    <row r="543" spans="7:10">
      <c r="G543" s="19" t="str">
        <f t="shared" ref="G543" si="159">IF(WEEKDAY(F543,2)=1,"W"&amp;WEEKNUM(F543,14),"")</f>
        <v/>
      </c>
    </row>
    <row r="544" spans="7:10">
      <c r="G544" s="19" t="str">
        <f t="shared" ref="G544" si="160">IF(WEEKDAY(F544,2)=1,"W"&amp;WEEKNUM(F544,14),"")</f>
        <v/>
      </c>
    </row>
    <row r="545" spans="7:10">
      <c r="G545" s="19" t="str">
        <f t="shared" ref="G545" si="161">IF(WEEKDAY(F545,2)=1,"W"&amp;WEEKNUM(F545,14),"")</f>
        <v/>
      </c>
    </row>
    <row r="546" spans="7:10">
      <c r="G546" s="19" t="str">
        <f t="shared" ref="G546" si="162">IF(WEEKDAY(F546,2)=1,"W"&amp;WEEKNUM(F546,14),"")</f>
        <v/>
      </c>
      <c r="H546">
        <f>SUM(A546:A552)</f>
        <v>0</v>
      </c>
      <c r="I546" s="28" t="e">
        <f>H546/H539-1</f>
        <v>#DIV/0!</v>
      </c>
      <c r="J546" s="28" t="e">
        <f>A546/A539-1</f>
        <v>#DIV/0!</v>
      </c>
    </row>
    <row r="547" spans="7:10">
      <c r="G547" s="19" t="str">
        <f t="shared" ref="G547" si="163">IF(WEEKDAY(F547,2)=1,"W"&amp;WEEKNUM(F547,14),"")</f>
        <v/>
      </c>
    </row>
    <row r="548" spans="7:10">
      <c r="G548" s="19" t="str">
        <f t="shared" ref="G548" si="164">IF(WEEKDAY(F548,2)=1,"W"&amp;WEEKNUM(F548,14),"")</f>
        <v/>
      </c>
    </row>
    <row r="549" spans="7:10">
      <c r="G549" s="19" t="str">
        <f t="shared" ref="G549" si="165">IF(WEEKDAY(F549,2)=1,"W"&amp;WEEKNUM(F549,14),"")</f>
        <v/>
      </c>
    </row>
    <row r="550" spans="7:10">
      <c r="G550" s="19" t="str">
        <f t="shared" ref="G550" si="166">IF(WEEKDAY(F550,2)=1,"W"&amp;WEEKNUM(F550,14),"")</f>
        <v/>
      </c>
    </row>
    <row r="551" spans="7:10">
      <c r="G551" s="19" t="str">
        <f t="shared" ref="G551" si="167">IF(WEEKDAY(F551,2)=1,"W"&amp;WEEKNUM(F551,14),"")</f>
        <v/>
      </c>
    </row>
    <row r="552" spans="7:10">
      <c r="G552" s="19" t="str">
        <f t="shared" ref="G552" si="168">IF(WEEKDAY(F552,2)=1,"W"&amp;WEEKNUM(F552,14),"")</f>
        <v/>
      </c>
    </row>
    <row r="553" spans="7:10">
      <c r="G553" s="19" t="str">
        <f t="shared" ref="G553" si="169">IF(WEEKDAY(F553,2)=1,"W"&amp;WEEKNUM(F553,14),"")</f>
        <v/>
      </c>
      <c r="H553">
        <f>SUM(A553:A559)</f>
        <v>0</v>
      </c>
      <c r="I553" s="28" t="e">
        <f>H553/H546-1</f>
        <v>#DIV/0!</v>
      </c>
      <c r="J553" s="28" t="e">
        <f>A553/A546-1</f>
        <v>#DIV/0!</v>
      </c>
    </row>
    <row r="554" spans="7:10">
      <c r="G554" s="19" t="str">
        <f t="shared" ref="G554" si="170">IF(WEEKDAY(F554,2)=1,"W"&amp;WEEKNUM(F554,14),"")</f>
        <v/>
      </c>
    </row>
    <row r="555" spans="7:10">
      <c r="G555" s="19" t="str">
        <f t="shared" ref="G555" si="171">IF(WEEKDAY(F555,2)=1,"W"&amp;WEEKNUM(F555,14),"")</f>
        <v/>
      </c>
    </row>
    <row r="556" spans="7:10">
      <c r="G556" s="19" t="str">
        <f t="shared" ref="G556" si="172">IF(WEEKDAY(F556,2)=1,"W"&amp;WEEKNUM(F556,14),"")</f>
        <v/>
      </c>
    </row>
    <row r="557" spans="7:10">
      <c r="G557" s="19" t="str">
        <f t="shared" ref="G557" si="173">IF(WEEKDAY(F557,2)=1,"W"&amp;WEEKNUM(F557,14),"")</f>
        <v/>
      </c>
    </row>
    <row r="558" spans="7:10">
      <c r="G558" s="19" t="str">
        <f t="shared" ref="G558" si="174">IF(WEEKDAY(F558,2)=1,"W"&amp;WEEKNUM(F558,14),"")</f>
        <v/>
      </c>
    </row>
    <row r="559" spans="7:10">
      <c r="G559" s="19" t="str">
        <f t="shared" ref="G559" si="175">IF(WEEKDAY(F559,2)=1,"W"&amp;WEEKNUM(F559,14),"")</f>
        <v/>
      </c>
    </row>
    <row r="560" spans="7:10">
      <c r="G560" s="19" t="str">
        <f t="shared" ref="G560" si="176">IF(WEEKDAY(F560,2)=1,"W"&amp;WEEKNUM(F560,14),"")</f>
        <v/>
      </c>
      <c r="H560">
        <f>SUM(A560:A566)</f>
        <v>0</v>
      </c>
      <c r="I560" s="28" t="e">
        <f>H560/H553-1</f>
        <v>#DIV/0!</v>
      </c>
      <c r="J560" s="28" t="e">
        <f>A560/A553-1</f>
        <v>#DIV/0!</v>
      </c>
    </row>
    <row r="561" spans="7:10">
      <c r="G561" s="19" t="str">
        <f t="shared" ref="G561" si="177">IF(WEEKDAY(F561,2)=1,"W"&amp;WEEKNUM(F561,14),"")</f>
        <v/>
      </c>
    </row>
    <row r="562" spans="7:10">
      <c r="G562" s="19" t="str">
        <f t="shared" ref="G562" si="178">IF(WEEKDAY(F562,2)=1,"W"&amp;WEEKNUM(F562,14),"")</f>
        <v/>
      </c>
    </row>
    <row r="563" spans="7:10">
      <c r="G563" s="19" t="str">
        <f t="shared" ref="G563" si="179">IF(WEEKDAY(F563,2)=1,"W"&amp;WEEKNUM(F563,14),"")</f>
        <v/>
      </c>
    </row>
    <row r="564" spans="7:10">
      <c r="G564" s="19" t="str">
        <f t="shared" ref="G564" si="180">IF(WEEKDAY(F564,2)=1,"W"&amp;WEEKNUM(F564,14),"")</f>
        <v/>
      </c>
    </row>
    <row r="565" spans="7:10">
      <c r="G565" s="19" t="str">
        <f t="shared" ref="G565" si="181">IF(WEEKDAY(F565,2)=1,"W"&amp;WEEKNUM(F565,14),"")</f>
        <v/>
      </c>
    </row>
    <row r="566" spans="7:10">
      <c r="G566" s="19" t="str">
        <f t="shared" ref="G566" si="182">IF(WEEKDAY(F566,2)=1,"W"&amp;WEEKNUM(F566,14),"")</f>
        <v/>
      </c>
    </row>
    <row r="567" spans="7:10">
      <c r="G567" s="19" t="str">
        <f t="shared" ref="G567" si="183">IF(WEEKDAY(F567,2)=1,"W"&amp;WEEKNUM(F567,14),"")</f>
        <v/>
      </c>
      <c r="H567">
        <f>SUM(A567:A573)</f>
        <v>0</v>
      </c>
      <c r="I567" s="28" t="e">
        <f>H567/H560-1</f>
        <v>#DIV/0!</v>
      </c>
      <c r="J567" s="28" t="e">
        <f>A567/A560-1</f>
        <v>#DIV/0!</v>
      </c>
    </row>
    <row r="568" spans="7:10">
      <c r="G568" s="19" t="str">
        <f t="shared" ref="G568" si="184">IF(WEEKDAY(F568,2)=1,"W"&amp;WEEKNUM(F568,14),"")</f>
        <v/>
      </c>
    </row>
    <row r="569" spans="7:10">
      <c r="G569" s="19" t="str">
        <f t="shared" ref="G569" si="185">IF(WEEKDAY(F569,2)=1,"W"&amp;WEEKNUM(F569,14),"")</f>
        <v/>
      </c>
    </row>
    <row r="570" spans="7:10">
      <c r="G570" s="19" t="str">
        <f t="shared" ref="G570" si="186">IF(WEEKDAY(F570,2)=1,"W"&amp;WEEKNUM(F570,14),"")</f>
        <v/>
      </c>
    </row>
    <row r="571" spans="7:10">
      <c r="G571" s="19" t="str">
        <f t="shared" ref="G571" si="187">IF(WEEKDAY(F571,2)=1,"W"&amp;WEEKNUM(F571,14),"")</f>
        <v/>
      </c>
    </row>
    <row r="572" spans="7:10">
      <c r="G572" s="19" t="str">
        <f t="shared" ref="G572" si="188">IF(WEEKDAY(F572,2)=1,"W"&amp;WEEKNUM(F572,14),"")</f>
        <v/>
      </c>
    </row>
    <row r="573" spans="7:10">
      <c r="G573" s="19" t="str">
        <f t="shared" ref="G573" si="189">IF(WEEKDAY(F573,2)=1,"W"&amp;WEEKNUM(F573,14),"")</f>
        <v/>
      </c>
    </row>
    <row r="574" spans="7:10">
      <c r="G574" s="19" t="str">
        <f t="shared" ref="G574" si="190">IF(WEEKDAY(F574,2)=1,"W"&amp;WEEKNUM(F574,14),"")</f>
        <v/>
      </c>
      <c r="H574">
        <f>SUM(A574:A580)</f>
        <v>0</v>
      </c>
      <c r="I574" s="28" t="e">
        <f>H574/H567-1</f>
        <v>#DIV/0!</v>
      </c>
      <c r="J574" s="28" t="e">
        <f>A574/A567-1</f>
        <v>#DIV/0!</v>
      </c>
    </row>
    <row r="575" spans="7:10">
      <c r="G575" s="19" t="str">
        <f t="shared" ref="G575:G595" si="191">IF(WEEKDAY(F575,2)=1,"W"&amp;WEEKNUM(F575,14),"")</f>
        <v/>
      </c>
    </row>
    <row r="576" spans="7:10">
      <c r="G576" s="19" t="str">
        <f t="shared" si="191"/>
        <v/>
      </c>
    </row>
    <row r="577" spans="7:10">
      <c r="G577" s="19" t="str">
        <f t="shared" si="191"/>
        <v/>
      </c>
    </row>
    <row r="578" spans="7:10">
      <c r="G578" s="19" t="str">
        <f t="shared" si="191"/>
        <v/>
      </c>
    </row>
    <row r="579" spans="7:10">
      <c r="G579" s="19" t="str">
        <f t="shared" si="191"/>
        <v/>
      </c>
    </row>
    <row r="580" spans="7:10">
      <c r="G580" s="19" t="str">
        <f t="shared" si="191"/>
        <v/>
      </c>
    </row>
    <row r="581" spans="7:10">
      <c r="G581" s="19" t="str">
        <f t="shared" si="191"/>
        <v/>
      </c>
      <c r="H581">
        <f>SUM(A581:A587)</f>
        <v>0</v>
      </c>
      <c r="I581" s="28" t="e">
        <f>H581/H574-1</f>
        <v>#DIV/0!</v>
      </c>
      <c r="J581" s="28" t="e">
        <f>A581/A574-1</f>
        <v>#DIV/0!</v>
      </c>
    </row>
    <row r="582" spans="7:10">
      <c r="G582" s="19" t="str">
        <f t="shared" si="191"/>
        <v/>
      </c>
    </row>
    <row r="583" spans="7:10">
      <c r="G583" s="19" t="str">
        <f t="shared" si="191"/>
        <v/>
      </c>
    </row>
    <row r="584" spans="7:10">
      <c r="G584" s="19" t="str">
        <f t="shared" si="191"/>
        <v/>
      </c>
    </row>
    <row r="585" spans="7:10">
      <c r="G585" s="19" t="str">
        <f t="shared" si="191"/>
        <v/>
      </c>
    </row>
    <row r="586" spans="7:10">
      <c r="G586" s="19" t="str">
        <f t="shared" si="191"/>
        <v/>
      </c>
    </row>
    <row r="587" spans="7:10">
      <c r="G587" s="19" t="str">
        <f t="shared" si="191"/>
        <v/>
      </c>
    </row>
    <row r="588" spans="7:10">
      <c r="G588" s="19" t="str">
        <f t="shared" si="191"/>
        <v/>
      </c>
      <c r="H588">
        <f>SUM(A588:A594)</f>
        <v>0</v>
      </c>
      <c r="I588" s="28" t="e">
        <f>H588/H581-1</f>
        <v>#DIV/0!</v>
      </c>
      <c r="J588" s="28" t="e">
        <f>A588/A581-1</f>
        <v>#DIV/0!</v>
      </c>
    </row>
    <row r="589" spans="7:10">
      <c r="G589" s="19" t="str">
        <f t="shared" si="191"/>
        <v/>
      </c>
    </row>
    <row r="590" spans="7:10">
      <c r="G590" s="19" t="str">
        <f t="shared" si="191"/>
        <v/>
      </c>
    </row>
    <row r="591" spans="7:10">
      <c r="G591" s="19" t="str">
        <f t="shared" si="191"/>
        <v/>
      </c>
    </row>
    <row r="592" spans="7:10">
      <c r="G592" s="19" t="str">
        <f t="shared" si="191"/>
        <v/>
      </c>
    </row>
    <row r="593" spans="7:10">
      <c r="G593" s="19" t="str">
        <f t="shared" si="191"/>
        <v/>
      </c>
    </row>
    <row r="594" spans="7:10">
      <c r="G594" s="19" t="str">
        <f t="shared" si="191"/>
        <v/>
      </c>
    </row>
    <row r="595" spans="7:10">
      <c r="G595" s="19" t="str">
        <f t="shared" si="191"/>
        <v/>
      </c>
      <c r="H595">
        <f>SUM(A595:A601)</f>
        <v>0</v>
      </c>
      <c r="I595" s="28" t="e">
        <f>H595/H588-1</f>
        <v>#DIV/0!</v>
      </c>
      <c r="J595" s="28" t="e">
        <f>A595/A588-1</f>
        <v>#DIV/0!</v>
      </c>
    </row>
    <row r="596" spans="7:10">
      <c r="G596" s="19" t="str">
        <f t="shared" ref="G596:G616" si="192">IF(WEEKDAY(F596,2)=1,"W"&amp;WEEKNUM(F596,14),"")</f>
        <v/>
      </c>
    </row>
    <row r="597" spans="7:10">
      <c r="G597" s="19" t="str">
        <f t="shared" si="192"/>
        <v/>
      </c>
    </row>
    <row r="598" spans="7:10">
      <c r="G598" s="19" t="str">
        <f t="shared" si="192"/>
        <v/>
      </c>
    </row>
    <row r="599" spans="7:10">
      <c r="G599" s="19" t="str">
        <f t="shared" si="192"/>
        <v/>
      </c>
    </row>
    <row r="600" spans="7:10">
      <c r="G600" s="19" t="str">
        <f t="shared" si="192"/>
        <v/>
      </c>
    </row>
    <row r="601" spans="7:10">
      <c r="G601" s="19" t="str">
        <f t="shared" si="192"/>
        <v/>
      </c>
    </row>
    <row r="602" spans="7:10">
      <c r="G602" s="19" t="str">
        <f t="shared" si="192"/>
        <v/>
      </c>
      <c r="H602">
        <f>SUM(A602:A608)</f>
        <v>0</v>
      </c>
      <c r="I602" s="28" t="e">
        <f>H602/H595-1</f>
        <v>#DIV/0!</v>
      </c>
      <c r="J602" s="28" t="e">
        <f>A602/A595-1</f>
        <v>#DIV/0!</v>
      </c>
    </row>
    <row r="603" spans="7:10">
      <c r="G603" s="19" t="str">
        <f t="shared" si="192"/>
        <v/>
      </c>
    </row>
    <row r="604" spans="7:10">
      <c r="G604" s="19" t="str">
        <f t="shared" si="192"/>
        <v/>
      </c>
    </row>
    <row r="605" spans="7:10">
      <c r="G605" s="19" t="str">
        <f t="shared" si="192"/>
        <v/>
      </c>
    </row>
    <row r="606" spans="7:10">
      <c r="G606" s="19" t="str">
        <f t="shared" si="192"/>
        <v/>
      </c>
    </row>
    <row r="607" spans="7:10">
      <c r="G607" s="19" t="str">
        <f t="shared" si="192"/>
        <v/>
      </c>
    </row>
    <row r="608" spans="7:10">
      <c r="G608" s="19" t="str">
        <f t="shared" si="192"/>
        <v/>
      </c>
    </row>
    <row r="609" spans="7:10">
      <c r="G609" s="19" t="str">
        <f t="shared" si="192"/>
        <v/>
      </c>
      <c r="H609">
        <f>SUM(A609:A615)</f>
        <v>0</v>
      </c>
      <c r="I609" s="28" t="e">
        <f>H609/H602-1</f>
        <v>#DIV/0!</v>
      </c>
      <c r="J609" s="28" t="e">
        <f>A609/A602-1</f>
        <v>#DIV/0!</v>
      </c>
    </row>
    <row r="610" spans="7:10">
      <c r="G610" s="19" t="str">
        <f t="shared" si="192"/>
        <v/>
      </c>
    </row>
    <row r="611" spans="7:10">
      <c r="G611" s="19" t="str">
        <f t="shared" si="192"/>
        <v/>
      </c>
    </row>
    <row r="612" spans="7:10">
      <c r="G612" s="19" t="str">
        <f t="shared" si="192"/>
        <v/>
      </c>
    </row>
    <row r="613" spans="7:10">
      <c r="G613" s="19" t="str">
        <f t="shared" si="192"/>
        <v/>
      </c>
    </row>
    <row r="614" spans="7:10">
      <c r="G614" s="19" t="str">
        <f t="shared" si="192"/>
        <v/>
      </c>
    </row>
    <row r="615" spans="7:10">
      <c r="G615" s="19" t="str">
        <f t="shared" si="192"/>
        <v/>
      </c>
    </row>
    <row r="616" spans="7:10">
      <c r="G616" s="19" t="str">
        <f t="shared" si="192"/>
        <v/>
      </c>
      <c r="H616">
        <f>SUM(A616:A622)</f>
        <v>0</v>
      </c>
      <c r="I616" s="28" t="e">
        <f>H616/H609-1</f>
        <v>#DIV/0!</v>
      </c>
      <c r="J616" s="28" t="e">
        <f>A616/A609-1</f>
        <v>#DIV/0!</v>
      </c>
    </row>
    <row r="617" spans="7:10">
      <c r="G617" s="19" t="str">
        <f t="shared" ref="G617:G637" si="193">IF(WEEKDAY(F617,2)=1,"W"&amp;WEEKNUM(F617,14),"")</f>
        <v/>
      </c>
    </row>
    <row r="618" spans="7:10">
      <c r="G618" s="19" t="str">
        <f t="shared" si="193"/>
        <v/>
      </c>
    </row>
    <row r="619" spans="7:10">
      <c r="G619" s="19" t="str">
        <f t="shared" si="193"/>
        <v/>
      </c>
    </row>
    <row r="620" spans="7:10">
      <c r="G620" s="19" t="str">
        <f t="shared" si="193"/>
        <v/>
      </c>
    </row>
    <row r="621" spans="7:10">
      <c r="G621" s="19" t="str">
        <f t="shared" si="193"/>
        <v/>
      </c>
    </row>
    <row r="622" spans="7:10">
      <c r="G622" s="19" t="str">
        <f t="shared" si="193"/>
        <v/>
      </c>
    </row>
    <row r="623" spans="7:10">
      <c r="G623" s="19" t="str">
        <f t="shared" si="193"/>
        <v/>
      </c>
      <c r="H623">
        <f>SUM(A623:A629)</f>
        <v>0</v>
      </c>
      <c r="I623" s="28" t="e">
        <f>H623/H616-1</f>
        <v>#DIV/0!</v>
      </c>
      <c r="J623" s="28" t="e">
        <f>A623/A616-1</f>
        <v>#DIV/0!</v>
      </c>
    </row>
    <row r="624" spans="7:10">
      <c r="G624" s="19" t="str">
        <f t="shared" si="193"/>
        <v/>
      </c>
    </row>
    <row r="625" spans="7:10">
      <c r="G625" s="19" t="str">
        <f t="shared" si="193"/>
        <v/>
      </c>
    </row>
    <row r="626" spans="7:10">
      <c r="G626" s="19" t="str">
        <f t="shared" si="193"/>
        <v/>
      </c>
    </row>
    <row r="627" spans="7:10">
      <c r="G627" s="19" t="str">
        <f t="shared" si="193"/>
        <v/>
      </c>
    </row>
    <row r="628" spans="7:10">
      <c r="G628" s="19" t="str">
        <f t="shared" si="193"/>
        <v/>
      </c>
    </row>
    <row r="629" spans="7:10">
      <c r="G629" s="19" t="str">
        <f t="shared" si="193"/>
        <v/>
      </c>
    </row>
    <row r="630" spans="7:10">
      <c r="G630" s="19" t="str">
        <f t="shared" si="193"/>
        <v/>
      </c>
      <c r="H630">
        <f>SUM(A630:A636)</f>
        <v>0</v>
      </c>
      <c r="I630" s="28" t="e">
        <f>H630/H623-1</f>
        <v>#DIV/0!</v>
      </c>
      <c r="J630" s="28" t="e">
        <f>A630/A623-1</f>
        <v>#DIV/0!</v>
      </c>
    </row>
    <row r="631" spans="7:10">
      <c r="G631" s="19" t="str">
        <f t="shared" si="193"/>
        <v/>
      </c>
    </row>
    <row r="632" spans="7:10">
      <c r="G632" s="19" t="str">
        <f t="shared" si="193"/>
        <v/>
      </c>
    </row>
    <row r="633" spans="7:10">
      <c r="G633" s="19" t="str">
        <f t="shared" si="193"/>
        <v/>
      </c>
    </row>
    <row r="634" spans="7:10">
      <c r="G634" s="19" t="str">
        <f t="shared" si="193"/>
        <v/>
      </c>
    </row>
    <row r="635" spans="7:10">
      <c r="G635" s="19" t="str">
        <f t="shared" si="193"/>
        <v/>
      </c>
    </row>
    <row r="636" spans="7:10">
      <c r="G636" s="19" t="str">
        <f t="shared" si="193"/>
        <v/>
      </c>
    </row>
    <row r="637" spans="7:10">
      <c r="G637" s="19" t="str">
        <f t="shared" si="193"/>
        <v/>
      </c>
      <c r="H637">
        <f>SUM(A637:A643)</f>
        <v>0</v>
      </c>
      <c r="I637" s="28" t="e">
        <f>H637/H630-1</f>
        <v>#DIV/0!</v>
      </c>
      <c r="J637" s="28" t="e">
        <f>A637/A630-1</f>
        <v>#DIV/0!</v>
      </c>
    </row>
    <row r="638" spans="7:10">
      <c r="G638" s="19" t="str">
        <f t="shared" ref="G638" si="194">IF(WEEKDAY(F638,2)=1,"W"&amp;WEEKNUM(F638,14),"")</f>
        <v/>
      </c>
    </row>
    <row r="639" spans="7:10">
      <c r="G639" s="19" t="str">
        <f t="shared" ref="G639" si="195">IF(WEEKDAY(F639,2)=1,"W"&amp;WEEKNUM(F639,14),"")</f>
        <v/>
      </c>
    </row>
    <row r="640" spans="7:10">
      <c r="G640" s="19" t="str">
        <f t="shared" ref="G640" si="196">IF(WEEKDAY(F640,2)=1,"W"&amp;WEEKNUM(F640,14),"")</f>
        <v/>
      </c>
    </row>
    <row r="641" spans="7:10">
      <c r="G641" s="19" t="str">
        <f t="shared" ref="G641" si="197">IF(WEEKDAY(F641,2)=1,"W"&amp;WEEKNUM(F641,14),"")</f>
        <v/>
      </c>
    </row>
    <row r="642" spans="7:10">
      <c r="G642" s="19" t="str">
        <f t="shared" ref="G642" si="198">IF(WEEKDAY(F642,2)=1,"W"&amp;WEEKNUM(F642,14),"")</f>
        <v/>
      </c>
    </row>
    <row r="643" spans="7:10">
      <c r="G643" s="19" t="str">
        <f t="shared" ref="G643" si="199">IF(WEEKDAY(F643,2)=1,"W"&amp;WEEKNUM(F643,14),"")</f>
        <v/>
      </c>
    </row>
    <row r="644" spans="7:10">
      <c r="G644" s="19" t="str">
        <f t="shared" ref="G644" si="200">IF(WEEKDAY(F644,2)=1,"W"&amp;WEEKNUM(F644,14),"")</f>
        <v/>
      </c>
      <c r="H644">
        <f>SUM(A644:A650)</f>
        <v>0</v>
      </c>
      <c r="I644" s="28" t="e">
        <f>H644/H637-1</f>
        <v>#DIV/0!</v>
      </c>
      <c r="J644" s="28" t="e">
        <f>A644/A637-1</f>
        <v>#DIV/0!</v>
      </c>
    </row>
    <row r="645" spans="7:10">
      <c r="G645" s="19" t="str">
        <f t="shared" ref="G645" si="201">IF(WEEKDAY(F645,2)=1,"W"&amp;WEEKNUM(F645,14),"")</f>
        <v/>
      </c>
    </row>
    <row r="646" spans="7:10">
      <c r="G646" s="19" t="str">
        <f t="shared" ref="G646" si="202">IF(WEEKDAY(F646,2)=1,"W"&amp;WEEKNUM(F646,14),"")</f>
        <v/>
      </c>
    </row>
    <row r="647" spans="7:10">
      <c r="G647" s="19" t="str">
        <f t="shared" ref="G647" si="203">IF(WEEKDAY(F647,2)=1,"W"&amp;WEEKNUM(F647,14),"")</f>
        <v/>
      </c>
    </row>
    <row r="648" spans="7:10">
      <c r="G648" s="19" t="str">
        <f t="shared" ref="G648:G662" si="204">IF(WEEKDAY(F648,2)=1,"W"&amp;WEEKNUM(F648,14),"")</f>
        <v/>
      </c>
    </row>
    <row r="649" spans="7:10">
      <c r="G649" s="19" t="str">
        <f t="shared" si="204"/>
        <v/>
      </c>
    </row>
    <row r="650" spans="7:10">
      <c r="G650" s="19" t="str">
        <f t="shared" si="204"/>
        <v/>
      </c>
    </row>
    <row r="651" spans="7:10">
      <c r="G651" s="19" t="str">
        <f t="shared" si="204"/>
        <v/>
      </c>
      <c r="H651">
        <f>SUM(A651:A657)</f>
        <v>0</v>
      </c>
      <c r="I651" s="28" t="e">
        <f>H651/H644-1</f>
        <v>#DIV/0!</v>
      </c>
      <c r="J651" s="28" t="e">
        <f>A651/A644-1</f>
        <v>#DIV/0!</v>
      </c>
    </row>
    <row r="652" spans="7:10">
      <c r="G652" s="19" t="str">
        <f t="shared" si="204"/>
        <v/>
      </c>
    </row>
    <row r="653" spans="7:10">
      <c r="G653" s="19" t="str">
        <f t="shared" si="204"/>
        <v/>
      </c>
    </row>
    <row r="654" spans="7:10">
      <c r="G654" s="19" t="str">
        <f t="shared" si="204"/>
        <v/>
      </c>
    </row>
    <row r="655" spans="7:10">
      <c r="G655" s="19" t="str">
        <f t="shared" si="204"/>
        <v/>
      </c>
    </row>
    <row r="656" spans="7:10">
      <c r="G656" s="19" t="str">
        <f t="shared" si="204"/>
        <v/>
      </c>
    </row>
    <row r="657" spans="7:10">
      <c r="G657" s="19" t="str">
        <f t="shared" si="204"/>
        <v/>
      </c>
    </row>
    <row r="658" spans="7:10">
      <c r="G658" s="19" t="str">
        <f t="shared" si="204"/>
        <v/>
      </c>
      <c r="H658">
        <f>SUM(A658:A664)</f>
        <v>0</v>
      </c>
      <c r="I658" s="28" t="e">
        <f>H658/H651-1</f>
        <v>#DIV/0!</v>
      </c>
      <c r="J658" s="28" t="e">
        <f>A658/A651-1</f>
        <v>#DIV/0!</v>
      </c>
    </row>
    <row r="659" spans="7:10">
      <c r="G659" s="19" t="str">
        <f t="shared" si="204"/>
        <v/>
      </c>
    </row>
    <row r="660" spans="7:10">
      <c r="G660" s="19" t="str">
        <f t="shared" si="204"/>
        <v/>
      </c>
    </row>
    <row r="661" spans="7:10">
      <c r="G661" s="19" t="str">
        <f t="shared" si="204"/>
        <v/>
      </c>
    </row>
    <row r="662" spans="7:10">
      <c r="G662" s="19" t="str">
        <f t="shared" si="204"/>
        <v/>
      </c>
    </row>
    <row r="663" spans="7:10">
      <c r="G663" s="19" t="str">
        <f t="shared" ref="G663:G677" si="205">IF(WEEKDAY(F663,2)=1,"W"&amp;WEEKNUM(F663,14),"")</f>
        <v/>
      </c>
    </row>
    <row r="664" spans="7:10">
      <c r="G664" s="19" t="str">
        <f t="shared" si="205"/>
        <v/>
      </c>
    </row>
    <row r="665" spans="7:10">
      <c r="G665" s="19" t="str">
        <f t="shared" si="205"/>
        <v/>
      </c>
      <c r="H665">
        <f>SUM(A665:A671)</f>
        <v>0</v>
      </c>
      <c r="I665" s="28" t="e">
        <f>H665/H658-1</f>
        <v>#DIV/0!</v>
      </c>
      <c r="J665" s="28" t="e">
        <f>A665/A658-1</f>
        <v>#DIV/0!</v>
      </c>
    </row>
    <row r="666" spans="7:10">
      <c r="G666" s="19" t="str">
        <f t="shared" si="205"/>
        <v/>
      </c>
    </row>
    <row r="667" spans="7:10">
      <c r="G667" s="19" t="str">
        <f t="shared" si="205"/>
        <v/>
      </c>
    </row>
    <row r="668" spans="7:10">
      <c r="G668" s="19" t="str">
        <f t="shared" si="205"/>
        <v/>
      </c>
    </row>
    <row r="669" spans="7:10">
      <c r="G669" s="19" t="str">
        <f t="shared" si="205"/>
        <v/>
      </c>
    </row>
    <row r="670" spans="7:10">
      <c r="G670" s="19" t="str">
        <f t="shared" si="205"/>
        <v/>
      </c>
    </row>
    <row r="671" spans="7:10">
      <c r="G671" s="19" t="str">
        <f t="shared" si="205"/>
        <v/>
      </c>
    </row>
    <row r="672" spans="7:10">
      <c r="G672" s="19" t="str">
        <f t="shared" si="205"/>
        <v/>
      </c>
      <c r="H672">
        <f>SUM(A672:A678)</f>
        <v>0</v>
      </c>
      <c r="I672" s="28" t="e">
        <f>H672/H665-1</f>
        <v>#DIV/0!</v>
      </c>
      <c r="J672" s="28" t="e">
        <f>A672/A665-1</f>
        <v>#DIV/0!</v>
      </c>
    </row>
    <row r="673" spans="7:10">
      <c r="G673" s="19" t="str">
        <f t="shared" si="205"/>
        <v/>
      </c>
    </row>
    <row r="674" spans="7:10">
      <c r="G674" s="19" t="str">
        <f t="shared" si="205"/>
        <v/>
      </c>
    </row>
    <row r="675" spans="7:10">
      <c r="G675" s="19" t="str">
        <f t="shared" si="205"/>
        <v/>
      </c>
    </row>
    <row r="676" spans="7:10">
      <c r="G676" s="19" t="str">
        <f t="shared" si="205"/>
        <v/>
      </c>
    </row>
    <row r="677" spans="7:10">
      <c r="G677" s="19" t="str">
        <f t="shared" si="205"/>
        <v/>
      </c>
    </row>
    <row r="678" spans="7:10">
      <c r="G678" s="19" t="str">
        <f t="shared" ref="G678:G692" si="206">IF(WEEKDAY(F678,2)=1,"W"&amp;WEEKNUM(F678,14),"")</f>
        <v/>
      </c>
    </row>
    <row r="679" spans="7:10">
      <c r="G679" s="19" t="str">
        <f t="shared" si="206"/>
        <v/>
      </c>
      <c r="H679">
        <f>SUM(A679:A685)</f>
        <v>0</v>
      </c>
      <c r="I679" s="28" t="e">
        <f>H679/H672-1</f>
        <v>#DIV/0!</v>
      </c>
      <c r="J679" s="28" t="e">
        <f>A679/A672-1</f>
        <v>#DIV/0!</v>
      </c>
    </row>
    <row r="680" spans="7:10">
      <c r="G680" s="19" t="str">
        <f t="shared" si="206"/>
        <v/>
      </c>
    </row>
    <row r="681" spans="7:10">
      <c r="G681" s="19" t="str">
        <f t="shared" si="206"/>
        <v/>
      </c>
    </row>
    <row r="682" spans="7:10">
      <c r="G682" s="19" t="str">
        <f t="shared" si="206"/>
        <v/>
      </c>
    </row>
    <row r="683" spans="7:10">
      <c r="G683" s="19" t="str">
        <f t="shared" si="206"/>
        <v/>
      </c>
    </row>
    <row r="684" spans="7:10">
      <c r="G684" s="19" t="str">
        <f t="shared" si="206"/>
        <v/>
      </c>
    </row>
    <row r="685" spans="7:10">
      <c r="G685" s="19" t="str">
        <f t="shared" si="206"/>
        <v/>
      </c>
    </row>
    <row r="686" spans="7:10">
      <c r="G686" s="19" t="str">
        <f t="shared" si="206"/>
        <v/>
      </c>
      <c r="H686">
        <f>SUM(A686:A692)</f>
        <v>0</v>
      </c>
      <c r="I686" s="28" t="e">
        <f>H686/H679-1</f>
        <v>#DIV/0!</v>
      </c>
      <c r="J686" s="28" t="e">
        <f>A686/A679-1</f>
        <v>#DIV/0!</v>
      </c>
    </row>
    <row r="687" spans="7:10">
      <c r="G687" s="19" t="str">
        <f t="shared" si="206"/>
        <v/>
      </c>
    </row>
    <row r="688" spans="7:10">
      <c r="G688" s="19" t="str">
        <f t="shared" si="206"/>
        <v/>
      </c>
    </row>
    <row r="689" spans="7:10">
      <c r="G689" s="19" t="str">
        <f t="shared" si="206"/>
        <v/>
      </c>
    </row>
    <row r="690" spans="7:10">
      <c r="G690" s="19" t="str">
        <f t="shared" si="206"/>
        <v/>
      </c>
    </row>
    <row r="691" spans="7:10">
      <c r="G691" s="19" t="str">
        <f t="shared" si="206"/>
        <v/>
      </c>
    </row>
    <row r="692" spans="7:10">
      <c r="G692" s="19" t="str">
        <f t="shared" si="206"/>
        <v/>
      </c>
    </row>
    <row r="693" spans="7:10">
      <c r="G693" s="19" t="str">
        <f t="shared" ref="G693:G707" si="207">IF(WEEKDAY(F693,2)=1,"W"&amp;WEEKNUM(F693,14),"")</f>
        <v/>
      </c>
      <c r="H693">
        <f>SUM(A693:A699)</f>
        <v>0</v>
      </c>
      <c r="I693" s="28" t="e">
        <f>H693/H686-1</f>
        <v>#DIV/0!</v>
      </c>
      <c r="J693" s="28" t="e">
        <f>A693/A686-1</f>
        <v>#DIV/0!</v>
      </c>
    </row>
    <row r="694" spans="7:10">
      <c r="G694" s="19" t="str">
        <f t="shared" si="207"/>
        <v/>
      </c>
    </row>
    <row r="695" spans="7:10">
      <c r="G695" s="19" t="str">
        <f t="shared" si="207"/>
        <v/>
      </c>
    </row>
    <row r="696" spans="7:10">
      <c r="G696" s="19" t="str">
        <f t="shared" si="207"/>
        <v/>
      </c>
    </row>
    <row r="697" spans="7:10">
      <c r="G697" s="19" t="str">
        <f t="shared" si="207"/>
        <v/>
      </c>
    </row>
    <row r="698" spans="7:10">
      <c r="G698" s="19" t="str">
        <f t="shared" si="207"/>
        <v/>
      </c>
    </row>
    <row r="699" spans="7:10">
      <c r="G699" s="19" t="str">
        <f t="shared" si="207"/>
        <v/>
      </c>
    </row>
    <row r="700" spans="7:10">
      <c r="G700" s="19" t="str">
        <f t="shared" si="207"/>
        <v/>
      </c>
      <c r="H700">
        <f>SUM(A700:A706)</f>
        <v>0</v>
      </c>
      <c r="I700" s="28" t="e">
        <f>H700/H693-1</f>
        <v>#DIV/0!</v>
      </c>
      <c r="J700" s="28" t="e">
        <f>A700/A693-1</f>
        <v>#DIV/0!</v>
      </c>
    </row>
    <row r="701" spans="7:10">
      <c r="G701" s="19" t="str">
        <f t="shared" si="207"/>
        <v/>
      </c>
    </row>
    <row r="702" spans="7:10">
      <c r="G702" s="19" t="str">
        <f t="shared" si="207"/>
        <v/>
      </c>
    </row>
    <row r="703" spans="7:10">
      <c r="G703" s="19" t="str">
        <f t="shared" si="207"/>
        <v/>
      </c>
    </row>
    <row r="704" spans="7:10">
      <c r="G704" s="19" t="str">
        <f t="shared" si="207"/>
        <v/>
      </c>
    </row>
    <row r="705" spans="7:10">
      <c r="G705" s="19" t="str">
        <f t="shared" si="207"/>
        <v/>
      </c>
    </row>
    <row r="706" spans="7:10">
      <c r="G706" s="19" t="str">
        <f t="shared" si="207"/>
        <v/>
      </c>
    </row>
    <row r="707" spans="7:10">
      <c r="G707" s="19" t="str">
        <f t="shared" si="207"/>
        <v/>
      </c>
      <c r="H707">
        <f>SUM(A707:A713)</f>
        <v>0</v>
      </c>
      <c r="I707" s="28" t="e">
        <f>H707/H700-1</f>
        <v>#DIV/0!</v>
      </c>
      <c r="J707" s="28" t="e">
        <f>A707/A700-1</f>
        <v>#DIV/0!</v>
      </c>
    </row>
    <row r="708" spans="7:10">
      <c r="G708" s="19" t="str">
        <f t="shared" ref="G708" si="208">IF(WEEKDAY(F708,2)=1,"W"&amp;WEEKNUM(F708,14),"")</f>
        <v/>
      </c>
    </row>
    <row r="709" spans="7:10">
      <c r="G709" s="19" t="str">
        <f t="shared" ref="G709" si="209">IF(WEEKDAY(F709,2)=1,"W"&amp;WEEKNUM(F709,14),"")</f>
        <v/>
      </c>
    </row>
    <row r="710" spans="7:10">
      <c r="G710" s="19" t="str">
        <f t="shared" ref="G710" si="210">IF(WEEKDAY(F710,2)=1,"W"&amp;WEEKNUM(F710,14),"")</f>
        <v/>
      </c>
    </row>
    <row r="711" spans="7:10">
      <c r="G711" s="19" t="str">
        <f t="shared" ref="G711" si="211">IF(WEEKDAY(F711,2)=1,"W"&amp;WEEKNUM(F711,14),"")</f>
        <v/>
      </c>
    </row>
    <row r="712" spans="7:10">
      <c r="G712" s="19" t="str">
        <f t="shared" ref="G712" si="212">IF(WEEKDAY(F712,2)=1,"W"&amp;WEEKNUM(F712,14),"")</f>
        <v/>
      </c>
    </row>
    <row r="713" spans="7:10">
      <c r="G713" s="19" t="str">
        <f t="shared" ref="G713" si="213">IF(WEEKDAY(F713,2)=1,"W"&amp;WEEKNUM(F713,14),"")</f>
        <v/>
      </c>
    </row>
    <row r="714" spans="7:10">
      <c r="G714" s="19" t="str">
        <f t="shared" ref="G714" si="214">IF(WEEKDAY(F714,2)=1,"W"&amp;WEEKNUM(F714,14),"")</f>
        <v/>
      </c>
      <c r="H714">
        <f>SUM(A714:A720)</f>
        <v>0</v>
      </c>
      <c r="I714" s="28" t="e">
        <f>H714/H707-1</f>
        <v>#DIV/0!</v>
      </c>
      <c r="J714" s="28" t="e">
        <f>A714/A707-1</f>
        <v>#DIV/0!</v>
      </c>
    </row>
    <row r="715" spans="7:10">
      <c r="G715" s="19" t="str">
        <f t="shared" ref="G715" si="215">IF(WEEKDAY(F715,2)=1,"W"&amp;WEEKNUM(F715,14),"")</f>
        <v/>
      </c>
    </row>
    <row r="716" spans="7:10">
      <c r="G716" s="19" t="str">
        <f t="shared" ref="G716" si="216">IF(WEEKDAY(F716,2)=1,"W"&amp;WEEKNUM(F716,14),"")</f>
        <v/>
      </c>
    </row>
    <row r="717" spans="7:10">
      <c r="G717" s="19" t="str">
        <f t="shared" ref="G717" si="217">IF(WEEKDAY(F717,2)=1,"W"&amp;WEEKNUM(F717,14),"")</f>
        <v/>
      </c>
    </row>
    <row r="718" spans="7:10">
      <c r="G718" s="19" t="str">
        <f t="shared" ref="G718" si="218">IF(WEEKDAY(F718,2)=1,"W"&amp;WEEKNUM(F718,14),"")</f>
        <v/>
      </c>
    </row>
    <row r="719" spans="7:10">
      <c r="G719" s="19" t="str">
        <f t="shared" ref="G719" si="219">IF(WEEKDAY(F719,2)=1,"W"&amp;WEEKNUM(F719,14),"")</f>
        <v/>
      </c>
    </row>
    <row r="720" spans="7:10">
      <c r="G720" s="19" t="str">
        <f t="shared" ref="G720" si="220">IF(WEEKDAY(F720,2)=1,"W"&amp;WEEKNUM(F720,14),"")</f>
        <v/>
      </c>
    </row>
    <row r="721" spans="7:10">
      <c r="G721" s="19" t="str">
        <f t="shared" ref="G721" si="221">IF(WEEKDAY(F721,2)=1,"W"&amp;WEEKNUM(F721,14),"")</f>
        <v/>
      </c>
      <c r="H721">
        <f>SUM(A721:A727)</f>
        <v>0</v>
      </c>
      <c r="I721" s="28" t="e">
        <f>H721/H714-1</f>
        <v>#DIV/0!</v>
      </c>
      <c r="J721" s="28" t="e">
        <f>A721/A714-1</f>
        <v>#DIV/0!</v>
      </c>
    </row>
    <row r="722" spans="7:10">
      <c r="G722" s="19" t="str">
        <f t="shared" ref="G722" si="222">IF(WEEKDAY(F722,2)=1,"W"&amp;WEEKNUM(F722,14),"")</f>
        <v/>
      </c>
    </row>
    <row r="723" spans="7:10">
      <c r="G723" s="19" t="str">
        <f t="shared" ref="G723" si="223">IF(WEEKDAY(F723,2)=1,"W"&amp;WEEKNUM(F723,14),"")</f>
        <v/>
      </c>
    </row>
    <row r="724" spans="7:10">
      <c r="G724" s="19" t="str">
        <f t="shared" ref="G724" si="224">IF(WEEKDAY(F724,2)=1,"W"&amp;WEEKNUM(F724,14),"")</f>
        <v/>
      </c>
    </row>
    <row r="725" spans="7:10">
      <c r="G725" s="19" t="str">
        <f t="shared" ref="G725" si="225">IF(WEEKDAY(F725,2)=1,"W"&amp;WEEKNUM(F725,14),"")</f>
        <v/>
      </c>
    </row>
    <row r="726" spans="7:10">
      <c r="G726" s="19" t="str">
        <f t="shared" ref="G726" si="226">IF(WEEKDAY(F726,2)=1,"W"&amp;WEEKNUM(F726,14),"")</f>
        <v/>
      </c>
    </row>
    <row r="727" spans="7:10">
      <c r="G727" s="19" t="str">
        <f t="shared" ref="G727" si="227">IF(WEEKDAY(F727,2)=1,"W"&amp;WEEKNUM(F727,14),"")</f>
        <v/>
      </c>
    </row>
    <row r="728" spans="7:10">
      <c r="G728" s="19" t="str">
        <f t="shared" ref="G728" si="228">IF(WEEKDAY(F728,2)=1,"W"&amp;WEEKNUM(F728,14),"")</f>
        <v/>
      </c>
      <c r="H728">
        <f>SUM(A728:A734)</f>
        <v>0</v>
      </c>
      <c r="I728" s="28" t="e">
        <f>H728/H721-1</f>
        <v>#DIV/0!</v>
      </c>
      <c r="J728" s="28" t="e">
        <f>A728/A721-1</f>
        <v>#DIV/0!</v>
      </c>
    </row>
    <row r="729" spans="7:10">
      <c r="G729" s="19" t="str">
        <f t="shared" ref="G729" si="229">IF(WEEKDAY(F729,2)=1,"W"&amp;WEEKNUM(F729,14),"")</f>
        <v/>
      </c>
    </row>
    <row r="730" spans="7:10">
      <c r="G730" s="19" t="str">
        <f t="shared" ref="G730" si="230">IF(WEEKDAY(F730,2)=1,"W"&amp;WEEKNUM(F730,14),"")</f>
        <v/>
      </c>
    </row>
    <row r="731" spans="7:10">
      <c r="G731" s="19" t="str">
        <f t="shared" ref="G731" si="231">IF(WEEKDAY(F731,2)=1,"W"&amp;WEEKNUM(F731,14),"")</f>
        <v/>
      </c>
    </row>
    <row r="732" spans="7:10">
      <c r="G732" s="19" t="str">
        <f t="shared" ref="G732" si="232">IF(WEEKDAY(F732,2)=1,"W"&amp;WEEKNUM(F732,14),"")</f>
        <v/>
      </c>
    </row>
    <row r="733" spans="7:10">
      <c r="G733" s="19" t="str">
        <f t="shared" ref="G733" si="233">IF(WEEKDAY(F733,2)=1,"W"&amp;WEEKNUM(F733,14),"")</f>
        <v/>
      </c>
    </row>
    <row r="734" spans="7:10">
      <c r="G734" s="19" t="str">
        <f t="shared" ref="G734" si="234">IF(WEEKDAY(F734,2)=1,"W"&amp;WEEKNUM(F734,14),"")</f>
        <v/>
      </c>
    </row>
    <row r="735" spans="7:10">
      <c r="G735" s="19" t="str">
        <f t="shared" ref="G735" si="235">IF(WEEKDAY(F735,2)=1,"W"&amp;WEEKNUM(F735,14),"")</f>
        <v/>
      </c>
      <c r="H735">
        <f>SUM(A735:A741)</f>
        <v>0</v>
      </c>
      <c r="I735" s="28" t="e">
        <f>H735/H728-1</f>
        <v>#DIV/0!</v>
      </c>
      <c r="J735" s="28" t="e">
        <f>A735/A728-1</f>
        <v>#DIV/0!</v>
      </c>
    </row>
    <row r="736" spans="7:10">
      <c r="G736" s="19" t="str">
        <f t="shared" ref="G736" si="236">IF(WEEKDAY(F736,2)=1,"W"&amp;WEEKNUM(F736,14),"")</f>
        <v/>
      </c>
    </row>
    <row r="737" spans="7:10">
      <c r="G737" s="19" t="str">
        <f t="shared" ref="G737" si="237">IF(WEEKDAY(F737,2)=1,"W"&amp;WEEKNUM(F737,14),"")</f>
        <v/>
      </c>
    </row>
    <row r="738" spans="7:10">
      <c r="G738" s="19" t="str">
        <f t="shared" ref="G738" si="238">IF(WEEKDAY(F738,2)=1,"W"&amp;WEEKNUM(F738,14),"")</f>
        <v/>
      </c>
    </row>
    <row r="739" spans="7:10">
      <c r="G739" s="19" t="str">
        <f t="shared" ref="G739" si="239">IF(WEEKDAY(F739,2)=1,"W"&amp;WEEKNUM(F739,14),"")</f>
        <v/>
      </c>
    </row>
    <row r="740" spans="7:10">
      <c r="G740" s="19" t="str">
        <f t="shared" ref="G740" si="240">IF(WEEKDAY(F740,2)=1,"W"&amp;WEEKNUM(F740,14),"")</f>
        <v/>
      </c>
    </row>
    <row r="741" spans="7:10">
      <c r="G741" s="19" t="str">
        <f t="shared" ref="G741" si="241">IF(WEEKDAY(F741,2)=1,"W"&amp;WEEKNUM(F741,14),"")</f>
        <v/>
      </c>
    </row>
    <row r="742" spans="7:10">
      <c r="G742" s="19" t="str">
        <f t="shared" ref="G742:G805" si="242">IF(WEEKDAY(F742,2)=1,"W"&amp;WEEKNUM(F742,14),"")</f>
        <v/>
      </c>
      <c r="H742">
        <f>SUM(A742:A748)</f>
        <v>0</v>
      </c>
      <c r="I742" s="28" t="e">
        <f>H742/H735-1</f>
        <v>#DIV/0!</v>
      </c>
      <c r="J742" s="28" t="e">
        <f>A742/A735-1</f>
        <v>#DIV/0!</v>
      </c>
    </row>
    <row r="743" spans="7:10">
      <c r="G743" s="19" t="str">
        <f t="shared" si="242"/>
        <v/>
      </c>
    </row>
    <row r="744" spans="7:10">
      <c r="G744" s="19" t="str">
        <f t="shared" si="242"/>
        <v/>
      </c>
    </row>
    <row r="745" spans="7:10">
      <c r="G745" s="19" t="str">
        <f t="shared" si="242"/>
        <v/>
      </c>
    </row>
    <row r="746" spans="7:10">
      <c r="G746" s="19" t="str">
        <f t="shared" si="242"/>
        <v/>
      </c>
    </row>
    <row r="747" spans="7:10">
      <c r="G747" s="19" t="str">
        <f t="shared" si="242"/>
        <v/>
      </c>
    </row>
    <row r="748" spans="7:10">
      <c r="G748" s="19" t="str">
        <f t="shared" si="242"/>
        <v/>
      </c>
    </row>
    <row r="749" spans="7:10">
      <c r="G749" s="19" t="str">
        <f t="shared" si="242"/>
        <v/>
      </c>
      <c r="H749">
        <f>SUM(A749:A755)</f>
        <v>0</v>
      </c>
      <c r="I749" s="28" t="e">
        <f>H749/H742-1</f>
        <v>#DIV/0!</v>
      </c>
      <c r="J749" s="28" t="e">
        <f>A749/A742-1</f>
        <v>#DIV/0!</v>
      </c>
    </row>
    <row r="750" spans="7:10">
      <c r="G750" s="19" t="str">
        <f t="shared" si="242"/>
        <v/>
      </c>
    </row>
    <row r="751" spans="7:10">
      <c r="G751" s="19" t="str">
        <f t="shared" si="242"/>
        <v/>
      </c>
    </row>
    <row r="752" spans="7:10">
      <c r="G752" s="19" t="str">
        <f t="shared" si="242"/>
        <v/>
      </c>
    </row>
    <row r="753" spans="7:10">
      <c r="G753" s="19" t="str">
        <f t="shared" si="242"/>
        <v/>
      </c>
    </row>
    <row r="754" spans="7:10">
      <c r="G754" s="19" t="str">
        <f t="shared" si="242"/>
        <v/>
      </c>
    </row>
    <row r="755" spans="7:10">
      <c r="G755" s="19" t="str">
        <f t="shared" si="242"/>
        <v/>
      </c>
    </row>
    <row r="756" spans="7:10">
      <c r="G756" s="19" t="str">
        <f t="shared" si="242"/>
        <v/>
      </c>
      <c r="H756">
        <f>SUM(A756:A762)</f>
        <v>0</v>
      </c>
      <c r="I756" s="28" t="e">
        <f>H756/H749-1</f>
        <v>#DIV/0!</v>
      </c>
      <c r="J756" s="28" t="e">
        <f>A756/A749-1</f>
        <v>#DIV/0!</v>
      </c>
    </row>
    <row r="757" spans="7:10">
      <c r="G757" s="19" t="str">
        <f t="shared" si="242"/>
        <v/>
      </c>
    </row>
    <row r="758" spans="7:10">
      <c r="G758" s="19" t="str">
        <f t="shared" si="242"/>
        <v/>
      </c>
    </row>
    <row r="759" spans="7:10">
      <c r="G759" s="19" t="str">
        <f t="shared" si="242"/>
        <v/>
      </c>
    </row>
    <row r="760" spans="7:10">
      <c r="G760" s="19" t="str">
        <f t="shared" si="242"/>
        <v/>
      </c>
    </row>
    <row r="761" spans="7:10">
      <c r="G761" s="19" t="str">
        <f t="shared" si="242"/>
        <v/>
      </c>
    </row>
    <row r="762" spans="7:10">
      <c r="G762" s="19" t="str">
        <f t="shared" si="242"/>
        <v/>
      </c>
    </row>
    <row r="763" spans="7:10">
      <c r="G763" s="19" t="str">
        <f t="shared" si="242"/>
        <v/>
      </c>
      <c r="H763">
        <f>SUM(A763:A769)</f>
        <v>0</v>
      </c>
      <c r="I763" s="28" t="e">
        <f>H763/H756-1</f>
        <v>#DIV/0!</v>
      </c>
      <c r="J763" s="28" t="e">
        <f>A763/A756-1</f>
        <v>#DIV/0!</v>
      </c>
    </row>
    <row r="764" spans="7:10">
      <c r="G764" s="19" t="str">
        <f t="shared" si="242"/>
        <v/>
      </c>
    </row>
    <row r="765" spans="7:10">
      <c r="G765" s="19" t="str">
        <f t="shared" si="242"/>
        <v/>
      </c>
    </row>
    <row r="766" spans="7:10">
      <c r="G766" s="19" t="str">
        <f t="shared" si="242"/>
        <v/>
      </c>
    </row>
    <row r="767" spans="7:10">
      <c r="G767" s="19" t="str">
        <f t="shared" si="242"/>
        <v/>
      </c>
    </row>
    <row r="768" spans="7:10">
      <c r="G768" s="19" t="str">
        <f t="shared" si="242"/>
        <v/>
      </c>
    </row>
    <row r="769" spans="7:10">
      <c r="G769" s="19" t="str">
        <f t="shared" si="242"/>
        <v/>
      </c>
    </row>
    <row r="770" spans="7:10">
      <c r="G770" s="19" t="str">
        <f t="shared" si="242"/>
        <v/>
      </c>
      <c r="H770">
        <f>SUM(A770:A776)</f>
        <v>0</v>
      </c>
      <c r="I770" s="28" t="e">
        <f>H770/H763-1</f>
        <v>#DIV/0!</v>
      </c>
      <c r="J770" s="28" t="e">
        <f>A770/A763-1</f>
        <v>#DIV/0!</v>
      </c>
    </row>
    <row r="771" spans="7:10">
      <c r="G771" s="19" t="str">
        <f t="shared" si="242"/>
        <v/>
      </c>
    </row>
    <row r="772" spans="7:10">
      <c r="G772" s="19" t="str">
        <f t="shared" si="242"/>
        <v/>
      </c>
    </row>
    <row r="773" spans="7:10">
      <c r="G773" s="19" t="str">
        <f t="shared" si="242"/>
        <v/>
      </c>
    </row>
    <row r="774" spans="7:10">
      <c r="G774" s="19" t="str">
        <f t="shared" si="242"/>
        <v/>
      </c>
    </row>
    <row r="775" spans="7:10">
      <c r="G775" s="19" t="str">
        <f t="shared" si="242"/>
        <v/>
      </c>
    </row>
    <row r="776" spans="7:10">
      <c r="G776" s="19" t="str">
        <f t="shared" si="242"/>
        <v/>
      </c>
    </row>
    <row r="777" spans="7:10">
      <c r="G777" s="19" t="str">
        <f t="shared" si="242"/>
        <v/>
      </c>
      <c r="H777">
        <f>SUM(A777:A783)</f>
        <v>0</v>
      </c>
      <c r="I777" s="28" t="e">
        <f>H777/H770-1</f>
        <v>#DIV/0!</v>
      </c>
      <c r="J777" s="28" t="e">
        <f>A777/A770-1</f>
        <v>#DIV/0!</v>
      </c>
    </row>
    <row r="778" spans="7:10">
      <c r="G778" s="19" t="str">
        <f t="shared" si="242"/>
        <v/>
      </c>
    </row>
    <row r="779" spans="7:10">
      <c r="G779" s="19" t="str">
        <f t="shared" si="242"/>
        <v/>
      </c>
    </row>
    <row r="780" spans="7:10">
      <c r="G780" s="19" t="str">
        <f t="shared" si="242"/>
        <v/>
      </c>
    </row>
    <row r="781" spans="7:10">
      <c r="G781" s="19" t="str">
        <f t="shared" si="242"/>
        <v/>
      </c>
    </row>
    <row r="782" spans="7:10">
      <c r="G782" s="19" t="str">
        <f t="shared" si="242"/>
        <v/>
      </c>
    </row>
    <row r="783" spans="7:10">
      <c r="G783" s="19" t="str">
        <f t="shared" si="242"/>
        <v/>
      </c>
    </row>
    <row r="784" spans="7:10">
      <c r="G784" s="19" t="str">
        <f t="shared" si="242"/>
        <v/>
      </c>
      <c r="H784">
        <f>SUM(A784:A790)</f>
        <v>0</v>
      </c>
      <c r="I784" s="28" t="e">
        <f>H784/H777-1</f>
        <v>#DIV/0!</v>
      </c>
      <c r="J784" s="28" t="e">
        <f>A784/A777-1</f>
        <v>#DIV/0!</v>
      </c>
    </row>
    <row r="785" spans="7:10">
      <c r="G785" s="19" t="str">
        <f t="shared" si="242"/>
        <v/>
      </c>
    </row>
    <row r="786" spans="7:10">
      <c r="G786" s="19" t="str">
        <f t="shared" si="242"/>
        <v/>
      </c>
    </row>
    <row r="787" spans="7:10">
      <c r="G787" s="19" t="str">
        <f t="shared" si="242"/>
        <v/>
      </c>
    </row>
    <row r="788" spans="7:10">
      <c r="G788" s="19" t="str">
        <f t="shared" si="242"/>
        <v/>
      </c>
    </row>
    <row r="789" spans="7:10">
      <c r="G789" s="19" t="str">
        <f t="shared" si="242"/>
        <v/>
      </c>
    </row>
    <row r="790" spans="7:10">
      <c r="G790" s="19" t="str">
        <f t="shared" si="242"/>
        <v/>
      </c>
    </row>
    <row r="791" spans="7:10">
      <c r="G791" s="19" t="str">
        <f t="shared" si="242"/>
        <v/>
      </c>
      <c r="H791">
        <f>SUM(A791:A797)</f>
        <v>0</v>
      </c>
      <c r="I791" s="28" t="e">
        <f>H791/H784-1</f>
        <v>#DIV/0!</v>
      </c>
      <c r="J791" s="28" t="e">
        <f>A791/A784-1</f>
        <v>#DIV/0!</v>
      </c>
    </row>
    <row r="792" spans="7:10">
      <c r="G792" s="19" t="str">
        <f t="shared" si="242"/>
        <v/>
      </c>
    </row>
    <row r="793" spans="7:10">
      <c r="G793" s="19" t="str">
        <f t="shared" si="242"/>
        <v/>
      </c>
    </row>
    <row r="794" spans="7:10">
      <c r="G794" s="19" t="str">
        <f t="shared" si="242"/>
        <v/>
      </c>
    </row>
    <row r="795" spans="7:10">
      <c r="G795" s="19" t="str">
        <f t="shared" si="242"/>
        <v/>
      </c>
    </row>
    <row r="796" spans="7:10">
      <c r="G796" s="19" t="str">
        <f t="shared" si="242"/>
        <v/>
      </c>
    </row>
    <row r="797" spans="7:10">
      <c r="G797" s="19" t="str">
        <f t="shared" si="242"/>
        <v/>
      </c>
    </row>
    <row r="798" spans="7:10">
      <c r="G798" s="19" t="str">
        <f t="shared" si="242"/>
        <v/>
      </c>
      <c r="H798">
        <f>SUM(A798:A804)</f>
        <v>0</v>
      </c>
      <c r="I798" s="28" t="e">
        <f>H798/H791-1</f>
        <v>#DIV/0!</v>
      </c>
      <c r="J798" s="28" t="e">
        <f>A798/A791-1</f>
        <v>#DIV/0!</v>
      </c>
    </row>
    <row r="799" spans="7:10">
      <c r="G799" s="19" t="str">
        <f t="shared" si="242"/>
        <v/>
      </c>
    </row>
    <row r="800" spans="7:10">
      <c r="G800" s="19" t="str">
        <f t="shared" si="242"/>
        <v/>
      </c>
    </row>
    <row r="801" spans="7:10">
      <c r="G801" s="19" t="str">
        <f t="shared" si="242"/>
        <v/>
      </c>
    </row>
    <row r="802" spans="7:10">
      <c r="G802" s="19" t="str">
        <f t="shared" si="242"/>
        <v/>
      </c>
    </row>
    <row r="803" spans="7:10">
      <c r="G803" s="19" t="str">
        <f t="shared" si="242"/>
        <v/>
      </c>
    </row>
    <row r="804" spans="7:10">
      <c r="G804" s="19" t="str">
        <f t="shared" si="242"/>
        <v/>
      </c>
    </row>
    <row r="805" spans="7:10">
      <c r="G805" s="19" t="str">
        <f t="shared" si="242"/>
        <v/>
      </c>
      <c r="H805">
        <f>SUM(A805:A811)</f>
        <v>0</v>
      </c>
      <c r="I805" s="28" t="e">
        <f>H805/H798-1</f>
        <v>#DIV/0!</v>
      </c>
      <c r="J805" s="28" t="e">
        <f>A805/A798-1</f>
        <v>#DIV/0!</v>
      </c>
    </row>
  </sheetData>
  <autoFilter ref="A1:F281" xr:uid="{00000000-0009-0000-0000-000001000000}">
    <sortState xmlns:xlrd2="http://schemas.microsoft.com/office/spreadsheetml/2017/richdata2" ref="A61:F222">
      <sortCondition ref="D1:D226"/>
    </sortState>
  </autoFilter>
  <pageMargins left="0.7" right="0.7" top="0.75" bottom="0.75" header="0.3" footer="0.3"/>
  <pageSetup paperSize="9" orientation="portrait" horizontalDpi="300" verticalDpi="300" r:id="rId1"/>
  <ignoredErrors>
    <ignoredError sqref="H37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C186"/>
  <sheetViews>
    <sheetView zoomScaleNormal="100" workbookViewId="0"/>
  </sheetViews>
  <sheetFormatPr defaultRowHeight="14.6"/>
  <cols>
    <col min="2" max="2" width="10.07421875" customWidth="1"/>
    <col min="3" max="3" width="10.84375" bestFit="1" customWidth="1"/>
    <col min="6" max="6" width="11.4609375" customWidth="1"/>
    <col min="10" max="10" width="10.07421875" bestFit="1" customWidth="1"/>
    <col min="11" max="11" width="9.3046875" style="4"/>
    <col min="13" max="13" width="12.074218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07421875" style="16" customWidth="1"/>
    <col min="26" max="26" width="15" bestFit="1" customWidth="1"/>
    <col min="28" max="28" width="12.07421875" style="16" customWidth="1"/>
    <col min="30" max="30" width="15" bestFit="1" customWidth="1"/>
    <col min="31" max="31" width="12.07421875" style="16" customWidth="1"/>
    <col min="34" max="34" width="15" style="16" bestFit="1" customWidth="1"/>
    <col min="37" max="37" width="12.07421875" style="16" customWidth="1"/>
    <col min="38" max="38" width="15" bestFit="1" customWidth="1"/>
    <col min="40" max="40" width="12.07421875" style="16" customWidth="1"/>
    <col min="42" max="42" width="15" bestFit="1" customWidth="1"/>
    <col min="43" max="43" width="9.3046875" style="16"/>
    <col min="46" max="46" width="9.3046875" style="16"/>
    <col min="49" max="49" width="9.3046875" style="16"/>
    <col min="52" max="52" width="9.3046875" style="16"/>
    <col min="55" max="55" width="9.3046875" style="16"/>
    <col min="58" max="58" width="9.3046875" style="16"/>
    <col min="61" max="61" width="9.3046875" style="16"/>
    <col min="64" max="64" width="9.3046875" style="16"/>
    <col min="67" max="67" width="9.3046875" style="16"/>
    <col min="70" max="70" width="9.3046875" style="16"/>
    <col min="73" max="73" width="9.3046875" style="16"/>
    <col min="76" max="76" width="9.3046875" style="16"/>
    <col min="79" max="79" width="9.3046875" style="16"/>
    <col min="82" max="82" width="9.3046875" style="16"/>
    <col min="85" max="85" width="9.3046875" style="16"/>
    <col min="88" max="88" width="9.3046875" style="16"/>
  </cols>
  <sheetData>
    <row r="1" spans="1:333">
      <c r="B1" s="4"/>
    </row>
    <row r="2" spans="1:333">
      <c r="B2" s="4"/>
    </row>
    <row r="3" spans="1:333">
      <c r="B3" s="4"/>
    </row>
    <row r="4" spans="1:333">
      <c r="A4" t="str">
        <f ca="1">"Kirjattuja (näytteenottopäivä) COVID-19 tapauksia. N="&amp;C35&amp;"."&amp;CHAR(32)&amp;"Uusimmat "&amp;TEXT(MAX(M:M),"p.k.vvvv")&amp;" lisäykset punaisella n="&amp;P37&amp;"."</f>
        <v>Kirjattuja (näytteenottopäivä) COVID-19 tapauksia. N=50662. Uusimmat 15.2.2021 lisäykset punaisella n=343.</v>
      </c>
      <c r="B4" s="4"/>
    </row>
    <row r="5" spans="1:333">
      <c r="B5" s="4" t="s">
        <v>5</v>
      </c>
      <c r="C5" t="s">
        <v>0</v>
      </c>
      <c r="D5" t="s">
        <v>6</v>
      </c>
      <c r="E5">
        <f ca="1">SUM(E7:E35)</f>
        <v>335</v>
      </c>
      <c r="F5" t="s">
        <v>228</v>
      </c>
      <c r="G5" t="s">
        <v>346</v>
      </c>
      <c r="I5" t="s">
        <v>347</v>
      </c>
      <c r="J5" t="s">
        <v>346</v>
      </c>
      <c r="M5" s="16" t="s">
        <v>303</v>
      </c>
      <c r="P5" s="16" t="s">
        <v>304</v>
      </c>
      <c r="S5" s="16" t="s">
        <v>305</v>
      </c>
    </row>
    <row r="6" spans="1:333">
      <c r="A6" t="str">
        <f t="shared" ref="A6:A35" ca="1" si="0">IF(WEEKDAY(B6,2)=1,"Ma "&amp;TEXT(B6,"p"),TEXT(B6,"p.k"))</f>
        <v>17.1</v>
      </c>
      <c r="B6" s="4">
        <f t="shared" ref="B6:B34" ca="1" si="1">B7-1</f>
        <v>44213</v>
      </c>
      <c r="C6" s="11">
        <f t="shared" ref="C6:C35" ca="1" si="2">SUMIF(aika,"&lt;"&amp;(B6+1),DataN)</f>
        <v>40741</v>
      </c>
    </row>
    <row r="7" spans="1:333" s="10" customFormat="1">
      <c r="A7" t="str">
        <f t="shared" ca="1" si="0"/>
        <v>Ma 18</v>
      </c>
      <c r="B7" s="9">
        <f t="shared" ca="1" si="1"/>
        <v>44214</v>
      </c>
      <c r="C7" s="10">
        <f t="shared" ca="1" si="2"/>
        <v>41188</v>
      </c>
      <c r="D7" s="10">
        <f t="shared" ref="D7:D35" ca="1" si="3">C7-C6</f>
        <v>447</v>
      </c>
      <c r="E7" s="10">
        <f t="shared" ref="E7:E35" ca="1" si="4">_xlfn.IFNA(D7-F7,"")</f>
        <v>0</v>
      </c>
      <c r="F7" s="10">
        <f t="shared" ref="F7:F35" ca="1" si="5">VLOOKUP(B7,Previous,3,FALSE)</f>
        <v>447</v>
      </c>
      <c r="G7" s="10">
        <f ca="1">SUM(D7:D13)</f>
        <v>2343</v>
      </c>
      <c r="I7" s="10">
        <f ca="1">SUM(D7:D20)</f>
        <v>5043</v>
      </c>
      <c r="K7" s="14"/>
      <c r="M7" s="17">
        <v>44214</v>
      </c>
      <c r="N7" s="10">
        <v>41180</v>
      </c>
      <c r="O7" s="10">
        <v>447</v>
      </c>
      <c r="P7" s="17">
        <v>44214</v>
      </c>
      <c r="Q7" s="10">
        <v>41180</v>
      </c>
      <c r="R7" s="10">
        <v>447</v>
      </c>
      <c r="S7" s="17">
        <v>44085</v>
      </c>
      <c r="T7" s="10">
        <v>8688</v>
      </c>
      <c r="U7" s="10">
        <v>57</v>
      </c>
      <c r="V7" s="17">
        <v>44086</v>
      </c>
      <c r="W7" s="10">
        <v>8730</v>
      </c>
      <c r="X7" s="10">
        <v>41</v>
      </c>
      <c r="Y7" s="17">
        <v>44087</v>
      </c>
      <c r="Z7" s="10">
        <v>8776</v>
      </c>
      <c r="AA7" s="10">
        <v>46</v>
      </c>
      <c r="AB7" s="17">
        <v>44088</v>
      </c>
      <c r="AC7" s="10">
        <v>8835</v>
      </c>
      <c r="AD7" s="10">
        <v>59</v>
      </c>
      <c r="AE7" s="17">
        <v>44089</v>
      </c>
      <c r="AF7" s="10">
        <v>8888</v>
      </c>
      <c r="AG7" s="10">
        <v>53</v>
      </c>
      <c r="AH7" s="17">
        <v>44090</v>
      </c>
      <c r="AI7" s="10">
        <v>8946</v>
      </c>
      <c r="AJ7" s="10">
        <v>57</v>
      </c>
      <c r="AK7" s="17">
        <v>44091</v>
      </c>
      <c r="AL7" s="10">
        <v>9030</v>
      </c>
      <c r="AM7" s="10">
        <v>85</v>
      </c>
      <c r="AN7" s="17">
        <v>44092</v>
      </c>
      <c r="AO7" s="10">
        <v>9106</v>
      </c>
      <c r="AP7" s="10">
        <v>76</v>
      </c>
      <c r="AQ7" s="17">
        <v>44093</v>
      </c>
      <c r="AR7" s="10">
        <v>9167</v>
      </c>
      <c r="AS7" s="10">
        <v>61</v>
      </c>
      <c r="AT7" s="17">
        <v>44094</v>
      </c>
      <c r="AU7" s="10">
        <v>9240</v>
      </c>
      <c r="AV7" s="10">
        <v>73</v>
      </c>
      <c r="AW7" s="17">
        <v>44095</v>
      </c>
      <c r="AX7" s="10">
        <v>9360</v>
      </c>
      <c r="AY7" s="10">
        <v>119</v>
      </c>
      <c r="AZ7" s="17">
        <v>44096</v>
      </c>
      <c r="BA7" s="10">
        <v>9464</v>
      </c>
      <c r="BB7" s="10">
        <v>104</v>
      </c>
      <c r="BC7" s="17">
        <v>44097</v>
      </c>
      <c r="BD7" s="10">
        <v>9582</v>
      </c>
      <c r="BE7" s="10">
        <v>118</v>
      </c>
      <c r="BF7" s="17">
        <v>44098</v>
      </c>
      <c r="BG7" s="10">
        <v>9677</v>
      </c>
      <c r="BH7" s="10">
        <v>97</v>
      </c>
      <c r="BI7" s="17">
        <v>44099</v>
      </c>
      <c r="BJ7" s="10">
        <v>9806</v>
      </c>
      <c r="BK7" s="10">
        <v>127</v>
      </c>
      <c r="BL7" s="17">
        <v>44100</v>
      </c>
      <c r="BM7" s="10">
        <v>9879</v>
      </c>
      <c r="BN7" s="10">
        <v>73</v>
      </c>
      <c r="BO7" s="17">
        <v>44101</v>
      </c>
      <c r="BP7" s="10">
        <v>9950</v>
      </c>
      <c r="BQ7" s="10">
        <v>71</v>
      </c>
      <c r="BR7" s="17">
        <v>44102</v>
      </c>
      <c r="BS7" s="10">
        <v>10073</v>
      </c>
      <c r="BT7" s="10">
        <v>122</v>
      </c>
      <c r="BU7" s="17">
        <v>44104</v>
      </c>
      <c r="BV7" s="10">
        <v>10371</v>
      </c>
      <c r="BW7" s="10">
        <v>165</v>
      </c>
      <c r="BX7" s="17">
        <v>44105</v>
      </c>
      <c r="BY7" s="10">
        <v>10560</v>
      </c>
      <c r="BZ7" s="10">
        <v>188</v>
      </c>
      <c r="CA7" s="17">
        <v>44106</v>
      </c>
      <c r="CB7" s="10">
        <v>10748</v>
      </c>
      <c r="CC7" s="10">
        <v>188</v>
      </c>
      <c r="CD7" s="17">
        <v>44107</v>
      </c>
      <c r="CE7" s="10">
        <v>10925</v>
      </c>
      <c r="CF7" s="10">
        <v>170</v>
      </c>
      <c r="CG7" s="17">
        <v>44108</v>
      </c>
      <c r="CH7" s="10">
        <v>11073</v>
      </c>
      <c r="CI7" s="10">
        <v>147</v>
      </c>
      <c r="CJ7" s="17">
        <v>44109</v>
      </c>
      <c r="CK7" s="10">
        <v>11363</v>
      </c>
      <c r="CL7" s="10">
        <v>290</v>
      </c>
      <c r="CM7" s="17">
        <v>44110</v>
      </c>
      <c r="CN7" s="10">
        <v>11664</v>
      </c>
      <c r="CO7" s="10">
        <v>301</v>
      </c>
      <c r="CP7" s="17">
        <v>44111</v>
      </c>
      <c r="CQ7" s="10">
        <v>11970</v>
      </c>
      <c r="CR7" s="10">
        <v>306</v>
      </c>
      <c r="CS7" s="17">
        <v>44112</v>
      </c>
      <c r="CT7" s="10">
        <v>12232</v>
      </c>
      <c r="CU7" s="10">
        <v>260</v>
      </c>
      <c r="CV7" s="17">
        <v>44113</v>
      </c>
      <c r="CW7" s="10">
        <v>12459</v>
      </c>
      <c r="CX7" s="10">
        <v>227</v>
      </c>
      <c r="CY7" s="17">
        <v>44115</v>
      </c>
      <c r="CZ7" s="10">
        <v>12696</v>
      </c>
      <c r="DA7" s="10">
        <v>130</v>
      </c>
      <c r="DB7" s="17">
        <v>44116</v>
      </c>
      <c r="DC7" s="10">
        <v>12950</v>
      </c>
      <c r="DD7" s="10">
        <v>254</v>
      </c>
      <c r="DE7" s="17">
        <v>44117</v>
      </c>
      <c r="DF7" s="10">
        <v>13147</v>
      </c>
      <c r="DG7" s="10">
        <v>197</v>
      </c>
      <c r="DH7" s="17">
        <v>44118</v>
      </c>
      <c r="DI7" s="10">
        <v>13348</v>
      </c>
      <c r="DJ7" s="10">
        <v>200</v>
      </c>
      <c r="DK7" s="17">
        <v>44119</v>
      </c>
      <c r="DL7" s="10">
        <v>13542</v>
      </c>
      <c r="DM7" s="10">
        <v>191</v>
      </c>
      <c r="DN7" s="17">
        <v>44120</v>
      </c>
      <c r="DO7" s="10">
        <v>13734</v>
      </c>
      <c r="DP7" s="10">
        <v>192</v>
      </c>
      <c r="DQ7" s="17">
        <v>44121</v>
      </c>
      <c r="DR7" s="10">
        <v>13835</v>
      </c>
      <c r="DS7" s="10">
        <v>100</v>
      </c>
      <c r="DT7" s="17">
        <v>44121</v>
      </c>
      <c r="DU7" s="10">
        <v>13963</v>
      </c>
      <c r="DV7" s="10">
        <v>128</v>
      </c>
      <c r="DW7" s="17">
        <v>44123</v>
      </c>
      <c r="DX7" s="10">
        <v>14207</v>
      </c>
      <c r="DY7" s="10">
        <v>244</v>
      </c>
      <c r="DZ7" s="17">
        <v>44124</v>
      </c>
      <c r="EA7" s="10">
        <v>14370</v>
      </c>
      <c r="EB7" s="10">
        <v>163</v>
      </c>
      <c r="EC7" s="17">
        <v>44125</v>
      </c>
      <c r="ED7" s="10">
        <v>14552</v>
      </c>
      <c r="EE7" s="10">
        <v>190</v>
      </c>
      <c r="EF7" s="17">
        <v>44126</v>
      </c>
      <c r="EG7" s="10">
        <v>14770</v>
      </c>
      <c r="EH7" s="10">
        <v>218</v>
      </c>
      <c r="EI7" s="17">
        <v>44127</v>
      </c>
      <c r="EJ7" s="10">
        <v>14962</v>
      </c>
      <c r="EK7" s="10">
        <v>192</v>
      </c>
      <c r="EL7" s="17">
        <v>44128</v>
      </c>
      <c r="EM7" s="10">
        <v>15070</v>
      </c>
      <c r="EN7" s="10">
        <v>108</v>
      </c>
      <c r="EO7" s="17">
        <v>44129</v>
      </c>
      <c r="EP7" s="10">
        <v>15193</v>
      </c>
      <c r="EQ7" s="10">
        <v>123</v>
      </c>
      <c r="ER7" s="17">
        <v>44130</v>
      </c>
      <c r="ES7" s="10">
        <v>15450</v>
      </c>
      <c r="ET7" s="10">
        <v>256</v>
      </c>
      <c r="EU7" s="17">
        <v>44131</v>
      </c>
      <c r="EV7" s="10">
        <v>15680</v>
      </c>
      <c r="EW7" s="10">
        <v>230</v>
      </c>
      <c r="EX7" s="17">
        <v>44132</v>
      </c>
      <c r="EY7" s="10">
        <v>15920</v>
      </c>
      <c r="EZ7" s="10">
        <v>240</v>
      </c>
      <c r="FA7" s="17">
        <v>44133</v>
      </c>
      <c r="FB7" s="10">
        <v>16156</v>
      </c>
      <c r="FC7" s="10">
        <v>237</v>
      </c>
      <c r="FD7" s="17">
        <v>44134</v>
      </c>
      <c r="FE7" s="10">
        <v>16330</v>
      </c>
      <c r="FF7" s="10">
        <v>219</v>
      </c>
      <c r="FG7" s="17">
        <v>44135</v>
      </c>
      <c r="FH7" s="10">
        <v>16502</v>
      </c>
      <c r="FI7" s="10">
        <v>121</v>
      </c>
      <c r="FJ7" s="17">
        <v>44136</v>
      </c>
      <c r="FK7" s="10">
        <v>16662</v>
      </c>
      <c r="FL7" s="10">
        <v>150</v>
      </c>
      <c r="FM7" s="17">
        <v>44137</v>
      </c>
      <c r="FN7" s="10">
        <v>16943</v>
      </c>
      <c r="FO7" s="10">
        <v>281</v>
      </c>
      <c r="FP7" s="17">
        <v>44138</v>
      </c>
      <c r="FQ7" s="10">
        <v>17184</v>
      </c>
      <c r="FR7" s="10">
        <v>241</v>
      </c>
      <c r="FS7" s="17">
        <v>44139</v>
      </c>
      <c r="FT7" s="10">
        <v>17418</v>
      </c>
      <c r="FU7" s="10">
        <v>213</v>
      </c>
      <c r="FV7" s="17">
        <v>44140</v>
      </c>
      <c r="FW7" s="10">
        <v>17641</v>
      </c>
      <c r="FX7" s="10">
        <v>222</v>
      </c>
      <c r="FY7" s="17">
        <v>44141</v>
      </c>
      <c r="FZ7" s="10">
        <v>17841</v>
      </c>
      <c r="GA7" s="10">
        <v>196</v>
      </c>
      <c r="GB7" s="17">
        <v>44142</v>
      </c>
      <c r="GC7" s="10">
        <v>17969</v>
      </c>
      <c r="GD7" s="10">
        <v>128</v>
      </c>
      <c r="GE7" s="17">
        <v>44143</v>
      </c>
      <c r="GF7" s="10">
        <v>18102</v>
      </c>
      <c r="GG7" s="10">
        <v>133</v>
      </c>
      <c r="GH7" s="17">
        <v>44144</v>
      </c>
      <c r="GI7" s="10">
        <v>18375</v>
      </c>
      <c r="GJ7" s="10">
        <v>273</v>
      </c>
      <c r="GK7" s="17">
        <v>44145</v>
      </c>
      <c r="GL7" s="10">
        <v>18580</v>
      </c>
      <c r="GM7" s="10">
        <v>205</v>
      </c>
      <c r="GN7" s="17">
        <v>44146</v>
      </c>
      <c r="GO7" s="10">
        <v>18872</v>
      </c>
      <c r="GP7" s="10">
        <v>292</v>
      </c>
      <c r="GQ7" s="17">
        <v>44147</v>
      </c>
      <c r="GR7" s="10">
        <v>19155</v>
      </c>
      <c r="GS7" s="10">
        <v>282</v>
      </c>
      <c r="GT7" s="17">
        <v>44148</v>
      </c>
      <c r="GU7" s="10">
        <v>19419</v>
      </c>
      <c r="GV7" s="10">
        <v>265</v>
      </c>
      <c r="GW7" s="17">
        <v>44149</v>
      </c>
      <c r="GX7" s="10">
        <v>19570</v>
      </c>
      <c r="GY7" s="10">
        <v>145</v>
      </c>
      <c r="GZ7" s="17">
        <v>44150</v>
      </c>
      <c r="HA7" s="10">
        <v>19753</v>
      </c>
      <c r="HB7" s="10">
        <v>182</v>
      </c>
      <c r="HC7" s="17">
        <v>44151</v>
      </c>
      <c r="HD7" s="10">
        <v>20144</v>
      </c>
      <c r="HE7" s="10">
        <v>392</v>
      </c>
      <c r="HF7" s="17">
        <v>44152</v>
      </c>
      <c r="HG7" s="10">
        <v>20535</v>
      </c>
      <c r="HH7" s="10">
        <v>391</v>
      </c>
      <c r="HI7" s="17">
        <v>44153</v>
      </c>
      <c r="HJ7" s="10">
        <v>20907</v>
      </c>
      <c r="HK7" s="10">
        <v>371</v>
      </c>
      <c r="HL7" s="17">
        <v>44154</v>
      </c>
      <c r="HM7" s="10">
        <v>21383</v>
      </c>
      <c r="HN7" s="10">
        <v>478</v>
      </c>
      <c r="HO7" s="17">
        <v>44155</v>
      </c>
      <c r="HP7" s="10">
        <v>21815</v>
      </c>
      <c r="HQ7" s="10">
        <v>429</v>
      </c>
      <c r="HR7" s="17">
        <v>44156</v>
      </c>
      <c r="HS7" s="10">
        <v>22082</v>
      </c>
      <c r="HT7" s="10">
        <v>268</v>
      </c>
      <c r="HU7" s="17">
        <v>44157</v>
      </c>
      <c r="HV7" s="10">
        <v>22350</v>
      </c>
      <c r="HW7" s="10">
        <v>267</v>
      </c>
      <c r="HX7" s="17">
        <v>44158</v>
      </c>
      <c r="HY7" s="10">
        <v>22854</v>
      </c>
      <c r="HZ7" s="10">
        <v>504</v>
      </c>
      <c r="IA7" s="17">
        <v>44159</v>
      </c>
      <c r="IB7" s="10">
        <v>23321</v>
      </c>
      <c r="IC7" s="10">
        <v>468</v>
      </c>
      <c r="ID7" s="17">
        <v>44160</v>
      </c>
      <c r="IE7" s="10">
        <v>23935</v>
      </c>
      <c r="IF7" s="10">
        <v>613</v>
      </c>
      <c r="IG7" s="17">
        <v>44161</v>
      </c>
      <c r="IH7" s="10">
        <v>24444</v>
      </c>
      <c r="II7" s="10">
        <v>509</v>
      </c>
      <c r="IJ7" s="17">
        <v>44162</v>
      </c>
      <c r="IK7" s="10">
        <v>24900</v>
      </c>
      <c r="IL7" s="10">
        <v>455</v>
      </c>
      <c r="IM7" s="17">
        <v>44163</v>
      </c>
      <c r="IN7" s="10">
        <v>25185</v>
      </c>
      <c r="IO7" s="10">
        <v>285</v>
      </c>
      <c r="IP7" s="10">
        <v>44164</v>
      </c>
      <c r="IQ7" s="10">
        <v>25478</v>
      </c>
      <c r="IR7" s="10">
        <v>293</v>
      </c>
      <c r="IS7" s="10">
        <v>44165</v>
      </c>
      <c r="IT7" s="10">
        <v>26074</v>
      </c>
      <c r="IU7" s="10">
        <v>596</v>
      </c>
      <c r="IV7" s="10">
        <v>44166</v>
      </c>
      <c r="IW7" s="10">
        <v>26514</v>
      </c>
      <c r="IX7" s="10">
        <v>440</v>
      </c>
      <c r="IY7" s="10">
        <v>44167</v>
      </c>
      <c r="IZ7" s="10">
        <v>27008</v>
      </c>
      <c r="JA7" s="10">
        <v>495</v>
      </c>
      <c r="JB7" s="10">
        <v>44171</v>
      </c>
      <c r="JC7" s="10">
        <v>28496</v>
      </c>
      <c r="JD7" s="10">
        <v>282</v>
      </c>
      <c r="JE7" s="10">
        <v>44175</v>
      </c>
      <c r="JF7" s="10">
        <v>30433</v>
      </c>
      <c r="JG7" s="10">
        <v>408</v>
      </c>
      <c r="JH7" s="10">
        <v>44176</v>
      </c>
      <c r="JI7" s="10">
        <v>30916</v>
      </c>
      <c r="JJ7" s="10">
        <v>444</v>
      </c>
      <c r="JK7" s="10">
        <v>44177</v>
      </c>
      <c r="JL7" s="10">
        <v>31158</v>
      </c>
      <c r="JM7" s="10">
        <v>250</v>
      </c>
      <c r="JN7" s="10">
        <v>44178</v>
      </c>
      <c r="JO7" s="10">
        <v>31426</v>
      </c>
      <c r="JP7" s="10">
        <v>276</v>
      </c>
      <c r="JQ7" s="10">
        <v>44180</v>
      </c>
      <c r="JR7" s="10">
        <v>32252</v>
      </c>
      <c r="JS7" s="10">
        <v>358</v>
      </c>
      <c r="JT7" s="10">
        <v>44180</v>
      </c>
      <c r="JU7" s="10">
        <v>32253</v>
      </c>
      <c r="JV7" s="10">
        <v>358</v>
      </c>
      <c r="JW7" s="10">
        <v>44182</v>
      </c>
      <c r="JX7" s="10">
        <v>32917</v>
      </c>
      <c r="JY7" s="10">
        <v>319</v>
      </c>
      <c r="JZ7" s="10">
        <v>44194</v>
      </c>
      <c r="KA7" s="10">
        <v>36138</v>
      </c>
      <c r="KB7" s="10">
        <v>306</v>
      </c>
      <c r="KC7" s="10">
        <v>44194</v>
      </c>
      <c r="KD7" s="10">
        <v>36146</v>
      </c>
      <c r="KE7" s="10">
        <v>307</v>
      </c>
      <c r="KF7" s="10">
        <v>44195</v>
      </c>
      <c r="KG7" s="10">
        <v>36393</v>
      </c>
      <c r="KH7" s="10">
        <v>255</v>
      </c>
      <c r="KI7" s="10">
        <v>44197</v>
      </c>
      <c r="KJ7" s="10">
        <v>36774</v>
      </c>
      <c r="KK7" s="10">
        <v>129</v>
      </c>
      <c r="KL7" s="10">
        <v>44198</v>
      </c>
      <c r="KM7" s="10">
        <v>36983</v>
      </c>
      <c r="KN7" s="10">
        <v>205</v>
      </c>
      <c r="KO7" s="10">
        <v>44202</v>
      </c>
      <c r="KP7" s="10">
        <v>38021</v>
      </c>
      <c r="KQ7" s="10">
        <v>209</v>
      </c>
      <c r="KR7" s="10">
        <v>44203</v>
      </c>
      <c r="KS7" s="10">
        <v>38356</v>
      </c>
      <c r="KT7" s="10">
        <v>331</v>
      </c>
      <c r="KU7" s="10">
        <v>44204</v>
      </c>
      <c r="KV7" s="10">
        <v>38608</v>
      </c>
      <c r="KW7" s="10">
        <v>252</v>
      </c>
      <c r="KX7" s="10">
        <v>44206</v>
      </c>
      <c r="KY7" s="10">
        <v>38985</v>
      </c>
      <c r="KZ7" s="10">
        <v>184</v>
      </c>
      <c r="LA7" s="10">
        <v>44207</v>
      </c>
      <c r="LB7" s="10">
        <v>39379</v>
      </c>
      <c r="LC7" s="10">
        <v>384</v>
      </c>
      <c r="LD7" s="10">
        <v>44208</v>
      </c>
      <c r="LE7" s="10">
        <v>39605</v>
      </c>
      <c r="LF7" s="10">
        <v>226</v>
      </c>
      <c r="LG7" s="10">
        <v>44210</v>
      </c>
      <c r="LH7" s="10">
        <v>40082</v>
      </c>
      <c r="LI7" s="10">
        <v>249</v>
      </c>
      <c r="LJ7" s="10">
        <v>44210</v>
      </c>
      <c r="LK7" s="10">
        <v>40080</v>
      </c>
      <c r="LL7" s="10">
        <v>249</v>
      </c>
      <c r="LM7" s="10">
        <v>44212</v>
      </c>
      <c r="LN7" s="10">
        <v>40539</v>
      </c>
      <c r="LO7" s="10">
        <v>168</v>
      </c>
      <c r="LP7" s="10">
        <v>44213</v>
      </c>
      <c r="LQ7" s="10">
        <v>40732</v>
      </c>
      <c r="LR7" s="10">
        <v>195</v>
      </c>
      <c r="LS7" s="10">
        <v>44214</v>
      </c>
      <c r="LT7" s="10">
        <v>41180</v>
      </c>
      <c r="LU7" s="10">
        <v>447</v>
      </c>
    </row>
    <row r="8" spans="1:333">
      <c r="A8" t="str">
        <f t="shared" ca="1" si="0"/>
        <v>19.1</v>
      </c>
      <c r="B8" s="4">
        <f t="shared" ca="1" si="1"/>
        <v>44215</v>
      </c>
      <c r="C8" s="11">
        <f t="shared" ca="1" si="2"/>
        <v>41530</v>
      </c>
      <c r="D8">
        <f t="shared" ca="1" si="3"/>
        <v>342</v>
      </c>
      <c r="E8" s="11">
        <f t="shared" ca="1" si="4"/>
        <v>-1</v>
      </c>
      <c r="F8" s="11">
        <f t="shared" ca="1" si="5"/>
        <v>343</v>
      </c>
      <c r="K8" s="3"/>
      <c r="M8" s="16">
        <v>44215</v>
      </c>
      <c r="N8">
        <v>41523</v>
      </c>
      <c r="O8">
        <v>343</v>
      </c>
      <c r="P8" s="16">
        <v>44215</v>
      </c>
      <c r="Q8">
        <v>41523</v>
      </c>
      <c r="R8">
        <v>343</v>
      </c>
      <c r="S8" s="16">
        <v>44086</v>
      </c>
      <c r="T8">
        <v>8729</v>
      </c>
      <c r="U8">
        <v>41</v>
      </c>
      <c r="V8" s="16">
        <v>44087</v>
      </c>
      <c r="W8">
        <v>8776</v>
      </c>
      <c r="X8">
        <v>46</v>
      </c>
      <c r="Y8" s="16">
        <v>44088</v>
      </c>
      <c r="Z8">
        <v>8836</v>
      </c>
      <c r="AA8">
        <v>59</v>
      </c>
      <c r="AB8" s="16">
        <v>44089</v>
      </c>
      <c r="AC8">
        <v>8888</v>
      </c>
      <c r="AD8">
        <v>53</v>
      </c>
      <c r="AE8" s="16">
        <v>44090</v>
      </c>
      <c r="AF8">
        <v>8945</v>
      </c>
      <c r="AG8">
        <v>57</v>
      </c>
      <c r="AH8" s="16">
        <v>44091</v>
      </c>
      <c r="AI8">
        <v>9031</v>
      </c>
      <c r="AJ8">
        <v>85</v>
      </c>
      <c r="AK8" s="16">
        <v>44092</v>
      </c>
      <c r="AL8">
        <v>9106</v>
      </c>
      <c r="AM8">
        <v>76</v>
      </c>
      <c r="AN8" s="16">
        <v>44093</v>
      </c>
      <c r="AO8">
        <v>9167</v>
      </c>
      <c r="AP8">
        <v>61</v>
      </c>
      <c r="AQ8" s="16">
        <v>44094</v>
      </c>
      <c r="AR8">
        <v>9240</v>
      </c>
      <c r="AS8">
        <v>73</v>
      </c>
      <c r="AT8" s="16">
        <v>44095</v>
      </c>
      <c r="AU8">
        <v>9359</v>
      </c>
      <c r="AV8">
        <v>119</v>
      </c>
      <c r="AW8" s="16">
        <v>44096</v>
      </c>
      <c r="AX8">
        <v>9464</v>
      </c>
      <c r="AY8">
        <v>104</v>
      </c>
      <c r="AZ8" s="16">
        <v>44097</v>
      </c>
      <c r="BA8">
        <v>9582</v>
      </c>
      <c r="BB8">
        <v>118</v>
      </c>
      <c r="BC8" s="16">
        <v>44098</v>
      </c>
      <c r="BD8">
        <v>9679</v>
      </c>
      <c r="BE8">
        <v>97</v>
      </c>
      <c r="BF8" s="16">
        <v>44099</v>
      </c>
      <c r="BG8">
        <v>9804</v>
      </c>
      <c r="BH8">
        <v>127</v>
      </c>
      <c r="BI8" s="16">
        <v>44100</v>
      </c>
      <c r="BJ8">
        <v>9879</v>
      </c>
      <c r="BK8">
        <v>73</v>
      </c>
      <c r="BL8" s="16">
        <v>44101</v>
      </c>
      <c r="BM8">
        <v>9950</v>
      </c>
      <c r="BN8">
        <v>71</v>
      </c>
      <c r="BO8" s="16">
        <v>44102</v>
      </c>
      <c r="BP8">
        <v>10072</v>
      </c>
      <c r="BQ8">
        <v>122</v>
      </c>
      <c r="BR8" s="16">
        <v>44103</v>
      </c>
      <c r="BS8">
        <v>10206</v>
      </c>
      <c r="BT8">
        <v>133</v>
      </c>
      <c r="BU8" s="16">
        <v>44105</v>
      </c>
      <c r="BV8">
        <v>10559</v>
      </c>
      <c r="BW8">
        <v>188</v>
      </c>
      <c r="BX8" s="16">
        <v>44106</v>
      </c>
      <c r="BY8">
        <v>10748</v>
      </c>
      <c r="BZ8">
        <v>188</v>
      </c>
      <c r="CA8" s="16">
        <v>44107</v>
      </c>
      <c r="CB8">
        <v>10918</v>
      </c>
      <c r="CC8">
        <v>170</v>
      </c>
      <c r="CD8" s="16">
        <v>44108</v>
      </c>
      <c r="CE8">
        <v>11072</v>
      </c>
      <c r="CF8">
        <v>147</v>
      </c>
      <c r="CG8" s="16">
        <v>44109</v>
      </c>
      <c r="CH8">
        <v>11363</v>
      </c>
      <c r="CI8">
        <v>290</v>
      </c>
      <c r="CJ8" s="16">
        <v>44110</v>
      </c>
      <c r="CK8">
        <v>11664</v>
      </c>
      <c r="CL8">
        <v>301</v>
      </c>
      <c r="CM8" s="16">
        <v>44111</v>
      </c>
      <c r="CN8">
        <v>11970</v>
      </c>
      <c r="CO8">
        <v>306</v>
      </c>
      <c r="CP8" s="16">
        <v>44112</v>
      </c>
      <c r="CQ8">
        <v>12230</v>
      </c>
      <c r="CR8">
        <v>260</v>
      </c>
      <c r="CS8" s="16">
        <v>44113</v>
      </c>
      <c r="CT8">
        <v>12458</v>
      </c>
      <c r="CU8">
        <v>226</v>
      </c>
      <c r="CV8" s="16">
        <v>44114</v>
      </c>
      <c r="CW8">
        <v>12568</v>
      </c>
      <c r="CX8">
        <v>109</v>
      </c>
      <c r="CY8" s="16">
        <v>44116</v>
      </c>
      <c r="CZ8">
        <v>12950</v>
      </c>
      <c r="DA8">
        <v>254</v>
      </c>
      <c r="DB8" s="16">
        <v>44117</v>
      </c>
      <c r="DC8">
        <v>13147</v>
      </c>
      <c r="DD8">
        <v>197</v>
      </c>
      <c r="DE8" s="16">
        <v>44118</v>
      </c>
      <c r="DF8">
        <v>13347</v>
      </c>
      <c r="DG8">
        <v>200</v>
      </c>
      <c r="DH8" s="16">
        <v>44119</v>
      </c>
      <c r="DI8">
        <v>13539</v>
      </c>
      <c r="DJ8">
        <v>191</v>
      </c>
      <c r="DK8" s="16">
        <v>44120</v>
      </c>
      <c r="DL8">
        <v>13734</v>
      </c>
      <c r="DM8">
        <v>192</v>
      </c>
      <c r="DN8" s="16">
        <v>44121</v>
      </c>
      <c r="DO8">
        <v>13834</v>
      </c>
      <c r="DP8">
        <v>100</v>
      </c>
      <c r="DQ8" s="16">
        <v>44122</v>
      </c>
      <c r="DR8">
        <v>13963</v>
      </c>
      <c r="DS8">
        <v>128</v>
      </c>
      <c r="DT8" s="16">
        <v>44123</v>
      </c>
      <c r="DU8">
        <v>14207</v>
      </c>
      <c r="DV8">
        <v>244</v>
      </c>
      <c r="DW8" s="16">
        <v>44124</v>
      </c>
      <c r="DX8">
        <v>14370</v>
      </c>
      <c r="DY8">
        <v>163</v>
      </c>
      <c r="DZ8" s="16">
        <v>44125</v>
      </c>
      <c r="EA8">
        <v>14560</v>
      </c>
      <c r="EB8">
        <v>190</v>
      </c>
      <c r="EC8" s="16">
        <v>44126</v>
      </c>
      <c r="ED8">
        <v>14770</v>
      </c>
      <c r="EE8">
        <v>218</v>
      </c>
      <c r="EF8" s="16">
        <v>44127</v>
      </c>
      <c r="EG8">
        <v>14962</v>
      </c>
      <c r="EH8">
        <v>192</v>
      </c>
      <c r="EI8" s="16">
        <v>44128</v>
      </c>
      <c r="EJ8">
        <v>15070</v>
      </c>
      <c r="EK8">
        <v>108</v>
      </c>
      <c r="EL8" s="16">
        <v>44129</v>
      </c>
      <c r="EM8">
        <v>15193</v>
      </c>
      <c r="EN8">
        <v>123</v>
      </c>
      <c r="EO8" s="16">
        <v>44130</v>
      </c>
      <c r="EP8">
        <v>15449</v>
      </c>
      <c r="EQ8">
        <v>256</v>
      </c>
      <c r="ER8" s="16">
        <v>44131</v>
      </c>
      <c r="ES8">
        <v>15680</v>
      </c>
      <c r="ET8">
        <v>230</v>
      </c>
      <c r="EU8" s="16">
        <v>44132</v>
      </c>
      <c r="EV8">
        <v>15920</v>
      </c>
      <c r="EW8">
        <v>240</v>
      </c>
      <c r="EX8" s="16">
        <v>44133</v>
      </c>
      <c r="EY8">
        <v>16157</v>
      </c>
      <c r="EZ8">
        <v>237</v>
      </c>
      <c r="FA8" s="16">
        <v>44134</v>
      </c>
      <c r="FB8">
        <v>16375</v>
      </c>
      <c r="FC8">
        <v>219</v>
      </c>
      <c r="FD8" s="16">
        <v>44135</v>
      </c>
      <c r="FE8">
        <v>16451</v>
      </c>
      <c r="FF8">
        <v>121</v>
      </c>
      <c r="FG8" s="16">
        <v>44136</v>
      </c>
      <c r="FH8">
        <v>16652</v>
      </c>
      <c r="FI8">
        <v>150</v>
      </c>
      <c r="FJ8" s="16">
        <v>44137</v>
      </c>
      <c r="FK8">
        <v>16943</v>
      </c>
      <c r="FL8">
        <v>281</v>
      </c>
      <c r="FM8" s="16">
        <v>44138</v>
      </c>
      <c r="FN8">
        <v>17184</v>
      </c>
      <c r="FO8">
        <v>241</v>
      </c>
      <c r="FP8" s="16">
        <v>44139</v>
      </c>
      <c r="FQ8">
        <v>17395</v>
      </c>
      <c r="FR8">
        <v>211</v>
      </c>
      <c r="FS8" s="16">
        <v>44140</v>
      </c>
      <c r="FT8">
        <v>17640</v>
      </c>
      <c r="FU8">
        <v>222</v>
      </c>
      <c r="FV8" s="16">
        <v>44141</v>
      </c>
      <c r="FW8">
        <v>17837</v>
      </c>
      <c r="FX8">
        <v>196</v>
      </c>
      <c r="FY8" s="16">
        <v>44142</v>
      </c>
      <c r="FZ8">
        <v>17969</v>
      </c>
      <c r="GA8">
        <v>128</v>
      </c>
      <c r="GB8" s="16">
        <v>44143</v>
      </c>
      <c r="GC8">
        <v>18102</v>
      </c>
      <c r="GD8">
        <v>133</v>
      </c>
      <c r="GE8" s="16">
        <v>44144</v>
      </c>
      <c r="GF8">
        <v>18375</v>
      </c>
      <c r="GG8">
        <v>273</v>
      </c>
      <c r="GH8" s="16">
        <v>44145</v>
      </c>
      <c r="GI8">
        <v>18580</v>
      </c>
      <c r="GJ8">
        <v>205</v>
      </c>
      <c r="GK8" s="16">
        <v>44146</v>
      </c>
      <c r="GL8">
        <v>18872</v>
      </c>
      <c r="GM8">
        <v>292</v>
      </c>
      <c r="GN8" s="16">
        <v>44147</v>
      </c>
      <c r="GO8">
        <v>19154</v>
      </c>
      <c r="GP8">
        <v>282</v>
      </c>
      <c r="GQ8" s="16">
        <v>44148</v>
      </c>
      <c r="GR8">
        <v>19420</v>
      </c>
      <c r="GS8">
        <v>265</v>
      </c>
      <c r="GT8" s="16">
        <v>44149</v>
      </c>
      <c r="GU8">
        <v>19564</v>
      </c>
      <c r="GV8">
        <v>145</v>
      </c>
      <c r="GW8" s="16">
        <v>44150</v>
      </c>
      <c r="GX8">
        <v>19752</v>
      </c>
      <c r="GY8">
        <v>182</v>
      </c>
      <c r="GZ8" s="16">
        <v>44151</v>
      </c>
      <c r="HA8">
        <v>20145</v>
      </c>
      <c r="HB8">
        <v>392</v>
      </c>
      <c r="HC8" s="16">
        <v>44152</v>
      </c>
      <c r="HD8">
        <v>20535</v>
      </c>
      <c r="HE8">
        <v>391</v>
      </c>
      <c r="HF8" s="16">
        <v>44153</v>
      </c>
      <c r="HG8">
        <v>20906</v>
      </c>
      <c r="HH8">
        <v>371</v>
      </c>
      <c r="HI8" s="16">
        <v>44154</v>
      </c>
      <c r="HJ8">
        <v>21385</v>
      </c>
      <c r="HK8">
        <v>478</v>
      </c>
      <c r="HL8" s="16">
        <v>44155</v>
      </c>
      <c r="HM8">
        <v>21812</v>
      </c>
      <c r="HN8">
        <v>429</v>
      </c>
      <c r="HO8" s="16">
        <v>44156</v>
      </c>
      <c r="HP8">
        <v>22083</v>
      </c>
      <c r="HQ8">
        <v>268</v>
      </c>
      <c r="HR8" s="16">
        <v>44157</v>
      </c>
      <c r="HS8">
        <v>22349</v>
      </c>
      <c r="HT8">
        <v>267</v>
      </c>
      <c r="HU8" s="16">
        <v>44158</v>
      </c>
      <c r="HV8">
        <v>22854</v>
      </c>
      <c r="HW8">
        <v>504</v>
      </c>
      <c r="HX8" s="16">
        <v>44159</v>
      </c>
      <c r="HY8">
        <v>23322</v>
      </c>
      <c r="HZ8">
        <v>468</v>
      </c>
      <c r="IA8" s="16">
        <v>44160</v>
      </c>
      <c r="IB8">
        <v>23934</v>
      </c>
      <c r="IC8">
        <v>613</v>
      </c>
      <c r="ID8" s="16">
        <v>44161</v>
      </c>
      <c r="IE8">
        <v>24445</v>
      </c>
      <c r="IF8">
        <v>510</v>
      </c>
      <c r="IG8" s="16">
        <v>44162</v>
      </c>
      <c r="IH8">
        <v>24899</v>
      </c>
      <c r="II8">
        <v>455</v>
      </c>
      <c r="IJ8" s="16">
        <v>44163</v>
      </c>
      <c r="IK8">
        <v>25185</v>
      </c>
      <c r="IL8">
        <v>285</v>
      </c>
      <c r="IM8" s="16">
        <v>44164</v>
      </c>
      <c r="IN8">
        <v>25478</v>
      </c>
      <c r="IO8">
        <v>293</v>
      </c>
      <c r="IP8">
        <v>44165</v>
      </c>
      <c r="IQ8">
        <v>26074</v>
      </c>
      <c r="IR8">
        <v>596</v>
      </c>
      <c r="IS8">
        <v>44166</v>
      </c>
      <c r="IT8">
        <v>26514</v>
      </c>
      <c r="IU8">
        <v>440</v>
      </c>
      <c r="IV8">
        <v>44167</v>
      </c>
      <c r="IW8">
        <v>27008</v>
      </c>
      <c r="IX8">
        <v>494</v>
      </c>
      <c r="IY8">
        <v>44168</v>
      </c>
      <c r="IZ8">
        <v>27485</v>
      </c>
      <c r="JA8">
        <v>477</v>
      </c>
      <c r="JB8">
        <v>44172</v>
      </c>
      <c r="JC8">
        <v>29084</v>
      </c>
      <c r="JD8">
        <v>588</v>
      </c>
      <c r="JE8">
        <v>44176</v>
      </c>
      <c r="JF8">
        <v>30877</v>
      </c>
      <c r="JG8">
        <v>444</v>
      </c>
      <c r="JH8">
        <v>44177</v>
      </c>
      <c r="JI8">
        <v>31166</v>
      </c>
      <c r="JJ8">
        <v>250</v>
      </c>
      <c r="JK8">
        <v>44178</v>
      </c>
      <c r="JL8">
        <v>31434</v>
      </c>
      <c r="JM8">
        <v>276</v>
      </c>
      <c r="JN8">
        <v>44179</v>
      </c>
      <c r="JO8">
        <v>31889</v>
      </c>
      <c r="JP8">
        <v>463</v>
      </c>
      <c r="JQ8">
        <v>44181</v>
      </c>
      <c r="JR8">
        <v>32602</v>
      </c>
      <c r="JS8">
        <v>350</v>
      </c>
      <c r="JT8">
        <v>44181</v>
      </c>
      <c r="JU8">
        <v>32603</v>
      </c>
      <c r="JV8">
        <v>350</v>
      </c>
      <c r="JW8">
        <v>44183</v>
      </c>
      <c r="JX8">
        <v>33312</v>
      </c>
      <c r="JY8">
        <v>395</v>
      </c>
      <c r="JZ8">
        <v>44195</v>
      </c>
      <c r="KA8">
        <v>36393</v>
      </c>
      <c r="KB8">
        <v>255</v>
      </c>
      <c r="KC8">
        <v>44195</v>
      </c>
      <c r="KD8">
        <v>36401</v>
      </c>
      <c r="KE8">
        <v>255</v>
      </c>
      <c r="KF8">
        <v>44196</v>
      </c>
      <c r="KG8">
        <v>36646</v>
      </c>
      <c r="KH8">
        <v>253</v>
      </c>
      <c r="KI8">
        <v>44198</v>
      </c>
      <c r="KJ8">
        <v>36979</v>
      </c>
      <c r="KK8">
        <v>205</v>
      </c>
      <c r="KL8">
        <v>44199</v>
      </c>
      <c r="KM8">
        <v>37154</v>
      </c>
      <c r="KN8">
        <v>171</v>
      </c>
      <c r="KO8">
        <v>44203</v>
      </c>
      <c r="KP8">
        <v>38352</v>
      </c>
      <c r="KQ8">
        <v>331</v>
      </c>
      <c r="KR8">
        <v>44204</v>
      </c>
      <c r="KS8">
        <v>38608</v>
      </c>
      <c r="KT8">
        <v>252</v>
      </c>
      <c r="KU8">
        <v>44205</v>
      </c>
      <c r="KV8">
        <v>38801</v>
      </c>
      <c r="KW8">
        <v>193</v>
      </c>
      <c r="KX8">
        <v>44207</v>
      </c>
      <c r="KY8">
        <v>39371</v>
      </c>
      <c r="KZ8">
        <v>386</v>
      </c>
      <c r="LA8">
        <v>44208</v>
      </c>
      <c r="LB8">
        <v>39605</v>
      </c>
      <c r="LC8">
        <v>226</v>
      </c>
      <c r="LD8">
        <v>44209</v>
      </c>
      <c r="LE8">
        <v>39863</v>
      </c>
      <c r="LF8">
        <v>258</v>
      </c>
      <c r="LG8">
        <v>44211</v>
      </c>
      <c r="LH8">
        <v>40347</v>
      </c>
      <c r="LI8">
        <v>265</v>
      </c>
      <c r="LJ8">
        <v>44211</v>
      </c>
      <c r="LK8">
        <v>40345</v>
      </c>
      <c r="LL8">
        <v>265</v>
      </c>
      <c r="LM8">
        <v>44213</v>
      </c>
      <c r="LN8">
        <v>40734</v>
      </c>
      <c r="LO8">
        <v>195</v>
      </c>
      <c r="LP8">
        <v>44214</v>
      </c>
      <c r="LQ8">
        <v>41179</v>
      </c>
      <c r="LR8">
        <v>447</v>
      </c>
      <c r="LS8">
        <v>44215</v>
      </c>
      <c r="LT8">
        <v>41523</v>
      </c>
      <c r="LU8">
        <v>343</v>
      </c>
    </row>
    <row r="9" spans="1:333">
      <c r="A9" t="str">
        <f t="shared" ca="1" si="0"/>
        <v>20.1</v>
      </c>
      <c r="B9" s="4">
        <f t="shared" ca="1" si="1"/>
        <v>44216</v>
      </c>
      <c r="C9" s="11">
        <f t="shared" ca="1" si="2"/>
        <v>41936</v>
      </c>
      <c r="D9">
        <f t="shared" ca="1" si="3"/>
        <v>406</v>
      </c>
      <c r="E9" s="11">
        <f t="shared" ca="1" si="4"/>
        <v>0</v>
      </c>
      <c r="F9" s="11">
        <f t="shared" ca="1" si="5"/>
        <v>406</v>
      </c>
      <c r="K9" s="3"/>
      <c r="M9" s="16">
        <v>44216</v>
      </c>
      <c r="N9">
        <v>41929</v>
      </c>
      <c r="O9">
        <v>406</v>
      </c>
      <c r="P9" s="16">
        <v>44216</v>
      </c>
      <c r="Q9">
        <v>41929</v>
      </c>
      <c r="R9">
        <v>406</v>
      </c>
      <c r="S9" s="16">
        <v>44087</v>
      </c>
      <c r="T9">
        <v>8775</v>
      </c>
      <c r="U9">
        <v>46</v>
      </c>
      <c r="V9" s="16">
        <v>44088</v>
      </c>
      <c r="W9">
        <v>8835</v>
      </c>
      <c r="X9">
        <v>59</v>
      </c>
      <c r="Y9" s="16">
        <v>44089</v>
      </c>
      <c r="Z9">
        <v>8889</v>
      </c>
      <c r="AA9">
        <v>53</v>
      </c>
      <c r="AB9" s="16">
        <v>44090</v>
      </c>
      <c r="AC9">
        <v>8945</v>
      </c>
      <c r="AD9">
        <v>57</v>
      </c>
      <c r="AE9" s="16">
        <v>44091</v>
      </c>
      <c r="AF9">
        <v>9030</v>
      </c>
      <c r="AG9">
        <v>85</v>
      </c>
      <c r="AH9" s="16">
        <v>44092</v>
      </c>
      <c r="AI9">
        <v>9107</v>
      </c>
      <c r="AJ9">
        <v>76</v>
      </c>
      <c r="AK9" s="16">
        <v>44093</v>
      </c>
      <c r="AL9">
        <v>9167</v>
      </c>
      <c r="AM9">
        <v>61</v>
      </c>
      <c r="AN9" s="16">
        <v>44094</v>
      </c>
      <c r="AO9">
        <v>9240</v>
      </c>
      <c r="AP9">
        <v>73</v>
      </c>
      <c r="AQ9" s="16">
        <v>44095</v>
      </c>
      <c r="AR9">
        <v>9359</v>
      </c>
      <c r="AS9">
        <v>119</v>
      </c>
      <c r="AT9" s="16">
        <v>44096</v>
      </c>
      <c r="AU9">
        <v>9464</v>
      </c>
      <c r="AV9">
        <v>105</v>
      </c>
      <c r="AW9" s="16">
        <v>44097</v>
      </c>
      <c r="AX9">
        <v>9582</v>
      </c>
      <c r="AY9">
        <v>118</v>
      </c>
      <c r="AZ9" s="16">
        <v>44098</v>
      </c>
      <c r="BA9">
        <v>9679</v>
      </c>
      <c r="BB9">
        <v>97</v>
      </c>
      <c r="BC9" s="16">
        <v>44099</v>
      </c>
      <c r="BD9">
        <v>9806</v>
      </c>
      <c r="BE9">
        <v>127</v>
      </c>
      <c r="BF9" s="16">
        <v>44100</v>
      </c>
      <c r="BG9">
        <v>9877</v>
      </c>
      <c r="BH9">
        <v>73</v>
      </c>
      <c r="BI9" s="16">
        <v>44101</v>
      </c>
      <c r="BJ9">
        <v>9950</v>
      </c>
      <c r="BK9">
        <v>71</v>
      </c>
      <c r="BL9" s="16">
        <v>44102</v>
      </c>
      <c r="BM9">
        <v>10072</v>
      </c>
      <c r="BN9">
        <v>122</v>
      </c>
      <c r="BO9" s="16">
        <v>44103</v>
      </c>
      <c r="BP9">
        <v>10205</v>
      </c>
      <c r="BQ9">
        <v>133</v>
      </c>
      <c r="BR9" s="16">
        <v>44104</v>
      </c>
      <c r="BS9">
        <v>10371</v>
      </c>
      <c r="BT9">
        <v>165</v>
      </c>
      <c r="BU9" s="16">
        <v>44106</v>
      </c>
      <c r="BV9">
        <v>10747</v>
      </c>
      <c r="BW9">
        <v>188</v>
      </c>
      <c r="BX9" s="16">
        <v>44107</v>
      </c>
      <c r="BY9">
        <v>10918</v>
      </c>
      <c r="BZ9">
        <v>170</v>
      </c>
      <c r="CA9" s="16">
        <v>44108</v>
      </c>
      <c r="CB9">
        <v>11065</v>
      </c>
      <c r="CC9">
        <v>147</v>
      </c>
      <c r="CD9" s="16">
        <v>44109</v>
      </c>
      <c r="CE9">
        <v>11362</v>
      </c>
      <c r="CF9">
        <v>290</v>
      </c>
      <c r="CG9" s="16">
        <v>44110</v>
      </c>
      <c r="CH9">
        <v>11664</v>
      </c>
      <c r="CI9">
        <v>301</v>
      </c>
      <c r="CJ9" s="16">
        <v>44111</v>
      </c>
      <c r="CK9">
        <v>11970</v>
      </c>
      <c r="CL9">
        <v>306</v>
      </c>
      <c r="CM9" s="16">
        <v>44112</v>
      </c>
      <c r="CN9">
        <v>12230</v>
      </c>
      <c r="CO9">
        <v>260</v>
      </c>
      <c r="CP9" s="16">
        <v>44113</v>
      </c>
      <c r="CQ9">
        <v>12456</v>
      </c>
      <c r="CR9">
        <v>226</v>
      </c>
      <c r="CS9" s="16">
        <v>44114</v>
      </c>
      <c r="CT9">
        <v>12567</v>
      </c>
      <c r="CU9">
        <v>109</v>
      </c>
      <c r="CV9" s="16">
        <v>44115</v>
      </c>
      <c r="CW9">
        <v>12698</v>
      </c>
      <c r="CX9">
        <v>130</v>
      </c>
      <c r="CY9" s="16">
        <v>44117</v>
      </c>
      <c r="CZ9">
        <v>13147</v>
      </c>
      <c r="DA9">
        <v>197</v>
      </c>
      <c r="DB9" s="16">
        <v>44118</v>
      </c>
      <c r="DC9">
        <v>13347</v>
      </c>
      <c r="DD9">
        <v>200</v>
      </c>
      <c r="DE9" s="16">
        <v>44119</v>
      </c>
      <c r="DF9">
        <v>13538</v>
      </c>
      <c r="DG9">
        <v>191</v>
      </c>
      <c r="DH9" s="16">
        <v>44120</v>
      </c>
      <c r="DI9">
        <v>13732</v>
      </c>
      <c r="DJ9">
        <v>193</v>
      </c>
      <c r="DK9" s="16">
        <v>44121</v>
      </c>
      <c r="DL9">
        <v>13834</v>
      </c>
      <c r="DM9">
        <v>100</v>
      </c>
      <c r="DN9" s="16">
        <v>44122</v>
      </c>
      <c r="DO9">
        <v>13962</v>
      </c>
      <c r="DP9">
        <v>128</v>
      </c>
      <c r="DQ9" s="16">
        <v>44123</v>
      </c>
      <c r="DR9">
        <v>14207</v>
      </c>
      <c r="DS9">
        <v>244</v>
      </c>
      <c r="DT9" s="16">
        <v>44124</v>
      </c>
      <c r="DU9">
        <v>14370</v>
      </c>
      <c r="DV9">
        <v>163</v>
      </c>
      <c r="DW9" s="16">
        <v>44125</v>
      </c>
      <c r="DX9">
        <v>14560</v>
      </c>
      <c r="DY9">
        <v>190</v>
      </c>
      <c r="DZ9" s="16">
        <v>44126</v>
      </c>
      <c r="EA9">
        <v>14778</v>
      </c>
      <c r="EB9">
        <v>218</v>
      </c>
      <c r="EC9" s="16">
        <v>44127</v>
      </c>
      <c r="ED9">
        <v>14962</v>
      </c>
      <c r="EE9">
        <v>192</v>
      </c>
      <c r="EF9" s="16">
        <v>44128</v>
      </c>
      <c r="EG9">
        <v>15070</v>
      </c>
      <c r="EH9">
        <v>108</v>
      </c>
      <c r="EI9" s="16">
        <v>44129</v>
      </c>
      <c r="EJ9">
        <v>15193</v>
      </c>
      <c r="EK9">
        <v>123</v>
      </c>
      <c r="EL9" s="16">
        <v>44130</v>
      </c>
      <c r="EM9">
        <v>15449</v>
      </c>
      <c r="EN9">
        <v>256</v>
      </c>
      <c r="EO9" s="16">
        <v>44131</v>
      </c>
      <c r="EP9">
        <v>15679</v>
      </c>
      <c r="EQ9">
        <v>230</v>
      </c>
      <c r="ER9" s="16">
        <v>44132</v>
      </c>
      <c r="ES9">
        <v>15920</v>
      </c>
      <c r="ET9">
        <v>240</v>
      </c>
      <c r="EU9" s="16">
        <v>44133</v>
      </c>
      <c r="EV9">
        <v>16157</v>
      </c>
      <c r="EW9">
        <v>237</v>
      </c>
      <c r="EX9" s="16">
        <v>44134</v>
      </c>
      <c r="EY9">
        <v>16376</v>
      </c>
      <c r="EZ9">
        <v>219</v>
      </c>
      <c r="FA9" s="16">
        <v>44135</v>
      </c>
      <c r="FB9">
        <v>16496</v>
      </c>
      <c r="FC9">
        <v>121</v>
      </c>
      <c r="FD9" s="16">
        <v>44136</v>
      </c>
      <c r="FE9">
        <v>16601</v>
      </c>
      <c r="FF9">
        <v>150</v>
      </c>
      <c r="FG9" s="16">
        <v>44137</v>
      </c>
      <c r="FH9">
        <v>16933</v>
      </c>
      <c r="FI9">
        <v>281</v>
      </c>
      <c r="FJ9" s="16">
        <v>44138</v>
      </c>
      <c r="FK9">
        <v>17184</v>
      </c>
      <c r="FL9">
        <v>241</v>
      </c>
      <c r="FM9" s="16">
        <v>44139</v>
      </c>
      <c r="FN9">
        <v>17395</v>
      </c>
      <c r="FO9">
        <v>211</v>
      </c>
      <c r="FP9" s="16">
        <v>44140</v>
      </c>
      <c r="FQ9">
        <v>17617</v>
      </c>
      <c r="FR9">
        <v>222</v>
      </c>
      <c r="FS9" s="16">
        <v>44141</v>
      </c>
      <c r="FT9">
        <v>17835</v>
      </c>
      <c r="FU9">
        <v>195</v>
      </c>
      <c r="FV9" s="16">
        <v>44142</v>
      </c>
      <c r="FW9">
        <v>17965</v>
      </c>
      <c r="FX9">
        <v>128</v>
      </c>
      <c r="FY9" s="16">
        <v>44143</v>
      </c>
      <c r="FZ9">
        <v>18102</v>
      </c>
      <c r="GA9">
        <v>133</v>
      </c>
      <c r="GB9" s="16">
        <v>44144</v>
      </c>
      <c r="GC9">
        <v>18375</v>
      </c>
      <c r="GD9">
        <v>273</v>
      </c>
      <c r="GE9" s="16">
        <v>44145</v>
      </c>
      <c r="GF9">
        <v>18580</v>
      </c>
      <c r="GG9">
        <v>205</v>
      </c>
      <c r="GH9" s="16">
        <v>44146</v>
      </c>
      <c r="GI9">
        <v>18872</v>
      </c>
      <c r="GJ9">
        <v>292</v>
      </c>
      <c r="GK9" s="16">
        <v>44147</v>
      </c>
      <c r="GL9">
        <v>19154</v>
      </c>
      <c r="GM9">
        <v>282</v>
      </c>
      <c r="GN9" s="16">
        <v>44148</v>
      </c>
      <c r="GO9">
        <v>19419</v>
      </c>
      <c r="GP9">
        <v>265</v>
      </c>
      <c r="GQ9" s="16">
        <v>44149</v>
      </c>
      <c r="GR9">
        <v>19565</v>
      </c>
      <c r="GS9">
        <v>145</v>
      </c>
      <c r="GT9" s="16">
        <v>44150</v>
      </c>
      <c r="GU9">
        <v>19746</v>
      </c>
      <c r="GV9">
        <v>182</v>
      </c>
      <c r="GW9" s="16">
        <v>44151</v>
      </c>
      <c r="GX9">
        <v>20143</v>
      </c>
      <c r="GY9">
        <v>391</v>
      </c>
      <c r="GZ9" s="16">
        <v>44152</v>
      </c>
      <c r="HA9">
        <v>20536</v>
      </c>
      <c r="HB9">
        <v>391</v>
      </c>
      <c r="HC9" s="16">
        <v>44153</v>
      </c>
      <c r="HD9">
        <v>20906</v>
      </c>
      <c r="HE9">
        <v>371</v>
      </c>
      <c r="HF9" s="16">
        <v>44154</v>
      </c>
      <c r="HG9">
        <v>21384</v>
      </c>
      <c r="HH9">
        <v>478</v>
      </c>
      <c r="HI9" s="16">
        <v>44155</v>
      </c>
      <c r="HJ9">
        <v>21814</v>
      </c>
      <c r="HK9">
        <v>429</v>
      </c>
      <c r="HL9" s="16">
        <v>44156</v>
      </c>
      <c r="HM9">
        <v>22080</v>
      </c>
      <c r="HN9">
        <v>268</v>
      </c>
      <c r="HO9" s="16">
        <v>44157</v>
      </c>
      <c r="HP9">
        <v>22350</v>
      </c>
      <c r="HQ9">
        <v>267</v>
      </c>
      <c r="HR9" s="16">
        <v>44158</v>
      </c>
      <c r="HS9">
        <v>22853</v>
      </c>
      <c r="HT9">
        <v>504</v>
      </c>
      <c r="HU9" s="16">
        <v>44159</v>
      </c>
      <c r="HV9">
        <v>23322</v>
      </c>
      <c r="HW9">
        <v>468</v>
      </c>
      <c r="HX9" s="16">
        <v>44160</v>
      </c>
      <c r="HY9">
        <v>23935</v>
      </c>
      <c r="HZ9">
        <v>613</v>
      </c>
      <c r="IA9" s="16">
        <v>44161</v>
      </c>
      <c r="IB9">
        <v>24444</v>
      </c>
      <c r="IC9">
        <v>510</v>
      </c>
      <c r="ID9" s="16">
        <v>44162</v>
      </c>
      <c r="IE9">
        <v>24900</v>
      </c>
      <c r="IF9">
        <v>455</v>
      </c>
      <c r="IG9" s="16">
        <v>44163</v>
      </c>
      <c r="IH9">
        <v>25184</v>
      </c>
      <c r="II9">
        <v>285</v>
      </c>
      <c r="IJ9" s="16">
        <v>44164</v>
      </c>
      <c r="IK9">
        <v>25478</v>
      </c>
      <c r="IL9">
        <v>293</v>
      </c>
      <c r="IM9" s="16">
        <v>44165</v>
      </c>
      <c r="IN9">
        <v>26074</v>
      </c>
      <c r="IO9">
        <v>596</v>
      </c>
      <c r="IP9">
        <v>44166</v>
      </c>
      <c r="IQ9">
        <v>26514</v>
      </c>
      <c r="IR9">
        <v>440</v>
      </c>
      <c r="IS9">
        <v>44167</v>
      </c>
      <c r="IT9">
        <v>27008</v>
      </c>
      <c r="IU9">
        <v>494</v>
      </c>
      <c r="IV9">
        <v>44168</v>
      </c>
      <c r="IW9">
        <v>27485</v>
      </c>
      <c r="IX9">
        <v>477</v>
      </c>
      <c r="IY9">
        <v>44169</v>
      </c>
      <c r="IZ9">
        <v>27958</v>
      </c>
      <c r="JA9">
        <v>473</v>
      </c>
      <c r="JB9">
        <v>44173</v>
      </c>
      <c r="JC9">
        <v>29562</v>
      </c>
      <c r="JD9">
        <v>478</v>
      </c>
      <c r="JE9">
        <v>44177</v>
      </c>
      <c r="JF9">
        <v>31127</v>
      </c>
      <c r="JG9">
        <v>250</v>
      </c>
      <c r="JH9">
        <v>44178</v>
      </c>
      <c r="JI9">
        <v>31442</v>
      </c>
      <c r="JJ9">
        <v>276</v>
      </c>
      <c r="JK9">
        <v>44179</v>
      </c>
      <c r="JL9">
        <v>31897</v>
      </c>
      <c r="JM9">
        <v>463</v>
      </c>
      <c r="JN9">
        <v>44180</v>
      </c>
      <c r="JO9">
        <v>32247</v>
      </c>
      <c r="JP9">
        <v>358</v>
      </c>
      <c r="JQ9">
        <v>44182</v>
      </c>
      <c r="JR9">
        <v>32921</v>
      </c>
      <c r="JS9">
        <v>319</v>
      </c>
      <c r="JT9">
        <v>44182</v>
      </c>
      <c r="JU9">
        <v>32922</v>
      </c>
      <c r="JV9">
        <v>319</v>
      </c>
      <c r="JW9">
        <v>44184</v>
      </c>
      <c r="JX9">
        <v>33502</v>
      </c>
      <c r="JY9">
        <v>190</v>
      </c>
      <c r="JZ9">
        <v>44196</v>
      </c>
      <c r="KA9">
        <v>36646</v>
      </c>
      <c r="KB9">
        <v>253</v>
      </c>
      <c r="KC9">
        <v>44196</v>
      </c>
      <c r="KD9">
        <v>36654</v>
      </c>
      <c r="KE9">
        <v>253</v>
      </c>
      <c r="KF9">
        <v>44197</v>
      </c>
      <c r="KG9">
        <v>36775</v>
      </c>
      <c r="KH9">
        <v>129</v>
      </c>
      <c r="KI9">
        <v>44199</v>
      </c>
      <c r="KJ9">
        <v>37150</v>
      </c>
      <c r="KK9">
        <v>171</v>
      </c>
      <c r="KL9">
        <v>44200</v>
      </c>
      <c r="KM9">
        <v>37549</v>
      </c>
      <c r="KN9">
        <v>395</v>
      </c>
      <c r="KO9">
        <v>44204</v>
      </c>
      <c r="KP9">
        <v>38604</v>
      </c>
      <c r="KQ9">
        <v>252</v>
      </c>
      <c r="KR9">
        <v>44205</v>
      </c>
      <c r="KS9">
        <v>38801</v>
      </c>
      <c r="KT9">
        <v>193</v>
      </c>
      <c r="KU9">
        <v>44206</v>
      </c>
      <c r="KV9">
        <v>38985</v>
      </c>
      <c r="KW9">
        <v>184</v>
      </c>
      <c r="KX9">
        <v>44208</v>
      </c>
      <c r="KY9">
        <v>39596</v>
      </c>
      <c r="KZ9">
        <v>225</v>
      </c>
      <c r="LA9">
        <v>44209</v>
      </c>
      <c r="LB9">
        <v>39863</v>
      </c>
      <c r="LC9">
        <v>258</v>
      </c>
      <c r="LD9">
        <v>44210</v>
      </c>
      <c r="LE9">
        <v>40112</v>
      </c>
      <c r="LF9">
        <v>249</v>
      </c>
      <c r="LG9">
        <v>44212</v>
      </c>
      <c r="LH9">
        <v>40515</v>
      </c>
      <c r="LI9">
        <v>168</v>
      </c>
      <c r="LJ9">
        <v>44212</v>
      </c>
      <c r="LK9">
        <v>40513</v>
      </c>
      <c r="LL9">
        <v>168</v>
      </c>
      <c r="LM9">
        <v>44214</v>
      </c>
      <c r="LN9">
        <v>41181</v>
      </c>
      <c r="LO9">
        <v>447</v>
      </c>
      <c r="LP9">
        <v>44215</v>
      </c>
      <c r="LQ9">
        <v>41522</v>
      </c>
      <c r="LR9">
        <v>343</v>
      </c>
      <c r="LS9">
        <v>44216</v>
      </c>
      <c r="LT9">
        <v>41929</v>
      </c>
      <c r="LU9">
        <v>406</v>
      </c>
    </row>
    <row r="10" spans="1:333">
      <c r="A10" t="str">
        <f t="shared" ca="1" si="0"/>
        <v>21.1</v>
      </c>
      <c r="B10" s="4">
        <f t="shared" ca="1" si="1"/>
        <v>44217</v>
      </c>
      <c r="C10" s="11">
        <f t="shared" ca="1" si="2"/>
        <v>42312</v>
      </c>
      <c r="D10">
        <f t="shared" ca="1" si="3"/>
        <v>376</v>
      </c>
      <c r="E10" s="11">
        <f t="shared" ca="1" si="4"/>
        <v>1</v>
      </c>
      <c r="F10" s="11">
        <f t="shared" ca="1" si="5"/>
        <v>375</v>
      </c>
      <c r="K10" s="10"/>
      <c r="M10" s="16">
        <v>44217</v>
      </c>
      <c r="N10">
        <v>42304</v>
      </c>
      <c r="O10">
        <v>375</v>
      </c>
      <c r="P10" s="16">
        <v>44217</v>
      </c>
      <c r="Q10">
        <v>42304</v>
      </c>
      <c r="R10">
        <v>375</v>
      </c>
      <c r="S10" s="16">
        <v>44088</v>
      </c>
      <c r="T10">
        <v>8834</v>
      </c>
      <c r="U10">
        <v>59</v>
      </c>
      <c r="V10" s="16">
        <v>44089</v>
      </c>
      <c r="W10">
        <v>8888</v>
      </c>
      <c r="X10">
        <v>53</v>
      </c>
      <c r="Y10" s="16">
        <v>44090</v>
      </c>
      <c r="Z10">
        <v>8946</v>
      </c>
      <c r="AA10">
        <v>57</v>
      </c>
      <c r="AB10" s="16">
        <v>44091</v>
      </c>
      <c r="AC10">
        <v>9030</v>
      </c>
      <c r="AD10">
        <v>85</v>
      </c>
      <c r="AE10" s="16">
        <v>44092</v>
      </c>
      <c r="AF10">
        <v>9106</v>
      </c>
      <c r="AG10">
        <v>76</v>
      </c>
      <c r="AH10" s="16">
        <v>44093</v>
      </c>
      <c r="AI10">
        <v>9168</v>
      </c>
      <c r="AJ10">
        <v>61</v>
      </c>
      <c r="AK10" s="16">
        <v>44094</v>
      </c>
      <c r="AL10">
        <v>9240</v>
      </c>
      <c r="AM10">
        <v>73</v>
      </c>
      <c r="AN10" s="16">
        <v>44095</v>
      </c>
      <c r="AO10">
        <v>9359</v>
      </c>
      <c r="AP10">
        <v>119</v>
      </c>
      <c r="AQ10" s="16">
        <v>44096</v>
      </c>
      <c r="AR10">
        <v>9464</v>
      </c>
      <c r="AS10">
        <v>105</v>
      </c>
      <c r="AT10" s="16">
        <v>44097</v>
      </c>
      <c r="AU10">
        <v>9582</v>
      </c>
      <c r="AV10">
        <v>118</v>
      </c>
      <c r="AW10" s="16">
        <v>44098</v>
      </c>
      <c r="AX10">
        <v>9679</v>
      </c>
      <c r="AY10">
        <v>97</v>
      </c>
      <c r="AZ10" s="16">
        <v>44099</v>
      </c>
      <c r="BA10">
        <v>9806</v>
      </c>
      <c r="BB10">
        <v>127</v>
      </c>
      <c r="BC10" s="16">
        <v>44100</v>
      </c>
      <c r="BD10">
        <v>9879</v>
      </c>
      <c r="BE10">
        <v>73</v>
      </c>
      <c r="BF10" s="16">
        <v>44101</v>
      </c>
      <c r="BG10">
        <v>9948</v>
      </c>
      <c r="BH10">
        <v>71</v>
      </c>
      <c r="BI10" s="16">
        <v>44102</v>
      </c>
      <c r="BJ10">
        <v>10072</v>
      </c>
      <c r="BK10">
        <v>122</v>
      </c>
      <c r="BL10" s="16">
        <v>44103</v>
      </c>
      <c r="BM10">
        <v>10205</v>
      </c>
      <c r="BN10">
        <v>133</v>
      </c>
      <c r="BO10" s="16">
        <v>44104</v>
      </c>
      <c r="BP10">
        <v>10370</v>
      </c>
      <c r="BQ10">
        <v>165</v>
      </c>
      <c r="BR10" s="16">
        <v>44105</v>
      </c>
      <c r="BS10">
        <v>10559</v>
      </c>
      <c r="BT10">
        <v>188</v>
      </c>
      <c r="BU10" s="16">
        <v>44107</v>
      </c>
      <c r="BV10">
        <v>10916</v>
      </c>
      <c r="BW10">
        <v>169</v>
      </c>
      <c r="BX10" s="16">
        <v>44108</v>
      </c>
      <c r="BY10">
        <v>11065</v>
      </c>
      <c r="BZ10">
        <v>147</v>
      </c>
      <c r="CA10" s="16">
        <v>44109</v>
      </c>
      <c r="CB10">
        <v>11355</v>
      </c>
      <c r="CC10">
        <v>290</v>
      </c>
      <c r="CD10" s="16">
        <v>44110</v>
      </c>
      <c r="CE10">
        <v>11663</v>
      </c>
      <c r="CF10">
        <v>301</v>
      </c>
      <c r="CG10" s="16">
        <v>44111</v>
      </c>
      <c r="CH10">
        <v>11970</v>
      </c>
      <c r="CI10">
        <v>306</v>
      </c>
      <c r="CJ10" s="16">
        <v>44112</v>
      </c>
      <c r="CK10">
        <v>12230</v>
      </c>
      <c r="CL10">
        <v>260</v>
      </c>
      <c r="CM10" s="16">
        <v>44113</v>
      </c>
      <c r="CN10">
        <v>12456</v>
      </c>
      <c r="CO10">
        <v>226</v>
      </c>
      <c r="CP10" s="16">
        <v>44114</v>
      </c>
      <c r="CQ10">
        <v>12565</v>
      </c>
      <c r="CR10">
        <v>109</v>
      </c>
      <c r="CS10" s="16">
        <v>44115</v>
      </c>
      <c r="CT10">
        <v>12697</v>
      </c>
      <c r="CU10">
        <v>130</v>
      </c>
      <c r="CV10" s="16">
        <v>44116</v>
      </c>
      <c r="CW10">
        <v>12952</v>
      </c>
      <c r="CX10">
        <v>254</v>
      </c>
      <c r="CY10" s="16">
        <v>44118</v>
      </c>
      <c r="CZ10">
        <v>13347</v>
      </c>
      <c r="DA10">
        <v>200</v>
      </c>
      <c r="DB10" s="16">
        <v>44119</v>
      </c>
      <c r="DC10">
        <v>13538</v>
      </c>
      <c r="DD10">
        <v>191</v>
      </c>
      <c r="DE10" s="16">
        <v>44120</v>
      </c>
      <c r="DF10">
        <v>13731</v>
      </c>
      <c r="DG10">
        <v>193</v>
      </c>
      <c r="DH10" s="16">
        <v>44121</v>
      </c>
      <c r="DI10">
        <v>13832</v>
      </c>
      <c r="DJ10">
        <v>100</v>
      </c>
      <c r="DK10" s="16">
        <v>44122</v>
      </c>
      <c r="DL10">
        <v>13963</v>
      </c>
      <c r="DM10">
        <v>129</v>
      </c>
      <c r="DN10" s="16">
        <v>44123</v>
      </c>
      <c r="DO10">
        <v>14206</v>
      </c>
      <c r="DP10">
        <v>244</v>
      </c>
      <c r="DQ10" s="16">
        <v>44124</v>
      </c>
      <c r="DR10">
        <v>14370</v>
      </c>
      <c r="DS10">
        <v>163</v>
      </c>
      <c r="DT10" s="16">
        <v>44125</v>
      </c>
      <c r="DU10">
        <v>14560</v>
      </c>
      <c r="DV10">
        <v>190</v>
      </c>
      <c r="DW10" s="16">
        <v>44126</v>
      </c>
      <c r="DX10">
        <v>14778</v>
      </c>
      <c r="DY10">
        <v>218</v>
      </c>
      <c r="DZ10" s="16">
        <v>44127</v>
      </c>
      <c r="EA10">
        <v>14970</v>
      </c>
      <c r="EB10">
        <v>192</v>
      </c>
      <c r="EC10" s="16">
        <v>44128</v>
      </c>
      <c r="ED10">
        <v>15070</v>
      </c>
      <c r="EE10">
        <v>108</v>
      </c>
      <c r="EF10" s="16">
        <v>44129</v>
      </c>
      <c r="EG10">
        <v>15193</v>
      </c>
      <c r="EH10">
        <v>123</v>
      </c>
      <c r="EI10" s="16">
        <v>44130</v>
      </c>
      <c r="EJ10">
        <v>15449</v>
      </c>
      <c r="EK10">
        <v>256</v>
      </c>
      <c r="EL10" s="16">
        <v>44131</v>
      </c>
      <c r="EM10">
        <v>15679</v>
      </c>
      <c r="EN10">
        <v>230</v>
      </c>
      <c r="EO10" s="16">
        <v>44132</v>
      </c>
      <c r="EP10">
        <v>15919</v>
      </c>
      <c r="EQ10">
        <v>240</v>
      </c>
      <c r="ER10" s="16">
        <v>44133</v>
      </c>
      <c r="ES10">
        <v>16157</v>
      </c>
      <c r="ET10">
        <v>237</v>
      </c>
      <c r="EU10" s="16">
        <v>44134</v>
      </c>
      <c r="EV10">
        <v>16376</v>
      </c>
      <c r="EW10">
        <v>219</v>
      </c>
      <c r="EX10" s="16">
        <v>44135</v>
      </c>
      <c r="EY10">
        <v>16497</v>
      </c>
      <c r="EZ10">
        <v>121</v>
      </c>
      <c r="FA10" s="16">
        <v>44136</v>
      </c>
      <c r="FB10">
        <v>16646</v>
      </c>
      <c r="FC10">
        <v>150</v>
      </c>
      <c r="FD10" s="16">
        <v>44137</v>
      </c>
      <c r="FE10">
        <v>16878</v>
      </c>
      <c r="FF10">
        <v>277</v>
      </c>
      <c r="FG10" s="16">
        <v>44138</v>
      </c>
      <c r="FH10">
        <v>17174</v>
      </c>
      <c r="FI10">
        <v>241</v>
      </c>
      <c r="FJ10" s="16">
        <v>44139</v>
      </c>
      <c r="FK10">
        <v>17395</v>
      </c>
      <c r="FL10">
        <v>211</v>
      </c>
      <c r="FM10" s="16">
        <v>44140</v>
      </c>
      <c r="FN10">
        <v>17617</v>
      </c>
      <c r="FO10">
        <v>222</v>
      </c>
      <c r="FP10" s="16">
        <v>44141</v>
      </c>
      <c r="FQ10">
        <v>17812</v>
      </c>
      <c r="FR10">
        <v>195</v>
      </c>
      <c r="FS10" s="16">
        <v>44142</v>
      </c>
      <c r="FT10">
        <v>17963</v>
      </c>
      <c r="FU10">
        <v>128</v>
      </c>
      <c r="FV10" s="16">
        <v>44143</v>
      </c>
      <c r="FW10">
        <v>18098</v>
      </c>
      <c r="FX10">
        <v>133</v>
      </c>
      <c r="FY10" s="16">
        <v>44144</v>
      </c>
      <c r="FZ10">
        <v>18375</v>
      </c>
      <c r="GA10">
        <v>273</v>
      </c>
      <c r="GB10" s="16">
        <v>44145</v>
      </c>
      <c r="GC10">
        <v>18580</v>
      </c>
      <c r="GD10">
        <v>205</v>
      </c>
      <c r="GE10" s="16">
        <v>44146</v>
      </c>
      <c r="GF10">
        <v>18872</v>
      </c>
      <c r="GG10">
        <v>292</v>
      </c>
      <c r="GH10" s="16">
        <v>44147</v>
      </c>
      <c r="GI10">
        <v>19154</v>
      </c>
      <c r="GJ10">
        <v>282</v>
      </c>
      <c r="GK10" s="16">
        <v>44148</v>
      </c>
      <c r="GL10">
        <v>19419</v>
      </c>
      <c r="GM10">
        <v>265</v>
      </c>
      <c r="GN10" s="16">
        <v>44149</v>
      </c>
      <c r="GO10">
        <v>19564</v>
      </c>
      <c r="GP10">
        <v>145</v>
      </c>
      <c r="GQ10" s="16">
        <v>44150</v>
      </c>
      <c r="GR10">
        <v>19747</v>
      </c>
      <c r="GS10">
        <v>182</v>
      </c>
      <c r="GT10" s="16">
        <v>44151</v>
      </c>
      <c r="GU10">
        <v>20138</v>
      </c>
      <c r="GV10">
        <v>392</v>
      </c>
      <c r="GW10" s="16">
        <v>44152</v>
      </c>
      <c r="GX10">
        <v>20534</v>
      </c>
      <c r="GY10">
        <v>391</v>
      </c>
      <c r="GZ10" s="16">
        <v>44153</v>
      </c>
      <c r="HA10">
        <v>20907</v>
      </c>
      <c r="HB10">
        <v>371</v>
      </c>
      <c r="HC10" s="16">
        <v>44154</v>
      </c>
      <c r="HD10">
        <v>21384</v>
      </c>
      <c r="HE10">
        <v>478</v>
      </c>
      <c r="HF10" s="16">
        <v>44155</v>
      </c>
      <c r="HG10">
        <v>21813</v>
      </c>
      <c r="HH10">
        <v>429</v>
      </c>
      <c r="HI10" s="16">
        <v>44156</v>
      </c>
      <c r="HJ10">
        <v>22082</v>
      </c>
      <c r="HK10">
        <v>268</v>
      </c>
      <c r="HL10" s="16">
        <v>44157</v>
      </c>
      <c r="HM10">
        <v>22347</v>
      </c>
      <c r="HN10">
        <v>267</v>
      </c>
      <c r="HO10" s="16">
        <v>44158</v>
      </c>
      <c r="HP10">
        <v>22854</v>
      </c>
      <c r="HQ10">
        <v>504</v>
      </c>
      <c r="HR10" s="16">
        <v>44159</v>
      </c>
      <c r="HS10">
        <v>23321</v>
      </c>
      <c r="HT10">
        <v>468</v>
      </c>
      <c r="HU10" s="16">
        <v>44160</v>
      </c>
      <c r="HV10">
        <v>23935</v>
      </c>
      <c r="HW10">
        <v>613</v>
      </c>
      <c r="HX10" s="16">
        <v>44161</v>
      </c>
      <c r="HY10">
        <v>24445</v>
      </c>
      <c r="HZ10">
        <v>510</v>
      </c>
      <c r="IA10" s="16">
        <v>44162</v>
      </c>
      <c r="IB10">
        <v>24899</v>
      </c>
      <c r="IC10">
        <v>455</v>
      </c>
      <c r="ID10" s="16">
        <v>44163</v>
      </c>
      <c r="IE10">
        <v>25185</v>
      </c>
      <c r="IF10">
        <v>285</v>
      </c>
      <c r="IG10" s="16">
        <v>44164</v>
      </c>
      <c r="IH10">
        <v>25477</v>
      </c>
      <c r="II10">
        <v>293</v>
      </c>
      <c r="IJ10" s="16">
        <v>44165</v>
      </c>
      <c r="IK10">
        <v>26074</v>
      </c>
      <c r="IL10">
        <v>596</v>
      </c>
      <c r="IM10" s="16">
        <v>44166</v>
      </c>
      <c r="IN10">
        <v>26514</v>
      </c>
      <c r="IO10">
        <v>440</v>
      </c>
      <c r="IP10">
        <v>44167</v>
      </c>
      <c r="IQ10">
        <v>27008</v>
      </c>
      <c r="IR10">
        <v>494</v>
      </c>
      <c r="IS10">
        <v>44168</v>
      </c>
      <c r="IT10">
        <v>27485</v>
      </c>
      <c r="IU10">
        <v>477</v>
      </c>
      <c r="IV10">
        <v>44169</v>
      </c>
      <c r="IW10">
        <v>27956</v>
      </c>
      <c r="IX10">
        <v>471</v>
      </c>
      <c r="IY10">
        <v>44170</v>
      </c>
      <c r="IZ10">
        <v>28208</v>
      </c>
      <c r="JA10">
        <v>250</v>
      </c>
      <c r="JB10">
        <v>44174</v>
      </c>
      <c r="JC10">
        <v>30025</v>
      </c>
      <c r="JD10">
        <v>463</v>
      </c>
      <c r="JE10">
        <v>44178</v>
      </c>
      <c r="JF10">
        <v>31403</v>
      </c>
      <c r="JG10">
        <v>276</v>
      </c>
      <c r="JH10">
        <v>44179</v>
      </c>
      <c r="JI10">
        <v>31905</v>
      </c>
      <c r="JJ10">
        <v>463</v>
      </c>
      <c r="JK10">
        <v>44180</v>
      </c>
      <c r="JL10">
        <v>32255</v>
      </c>
      <c r="JM10">
        <v>358</v>
      </c>
      <c r="JN10">
        <v>44181</v>
      </c>
      <c r="JO10">
        <v>32597</v>
      </c>
      <c r="JP10">
        <v>350</v>
      </c>
      <c r="JQ10">
        <v>44183</v>
      </c>
      <c r="JR10">
        <v>33316</v>
      </c>
      <c r="JS10">
        <v>395</v>
      </c>
      <c r="JT10">
        <v>44183</v>
      </c>
      <c r="JU10">
        <v>33317</v>
      </c>
      <c r="JV10">
        <v>395</v>
      </c>
      <c r="JW10">
        <v>44185</v>
      </c>
      <c r="JX10">
        <v>33746</v>
      </c>
      <c r="JY10">
        <v>244</v>
      </c>
      <c r="JZ10">
        <v>44197</v>
      </c>
      <c r="KA10">
        <v>36775</v>
      </c>
      <c r="KB10">
        <v>129</v>
      </c>
      <c r="KC10">
        <v>44197</v>
      </c>
      <c r="KD10">
        <v>36783</v>
      </c>
      <c r="KE10">
        <v>129</v>
      </c>
      <c r="KF10">
        <v>44198</v>
      </c>
      <c r="KG10">
        <v>36980</v>
      </c>
      <c r="KH10">
        <v>205</v>
      </c>
      <c r="KI10">
        <v>44200</v>
      </c>
      <c r="KJ10">
        <v>37545</v>
      </c>
      <c r="KK10">
        <v>395</v>
      </c>
      <c r="KL10">
        <v>44201</v>
      </c>
      <c r="KM10">
        <v>37809</v>
      </c>
      <c r="KN10">
        <v>260</v>
      </c>
      <c r="KO10">
        <v>44205</v>
      </c>
      <c r="KP10">
        <v>38797</v>
      </c>
      <c r="KQ10">
        <v>193</v>
      </c>
      <c r="KR10">
        <v>44206</v>
      </c>
      <c r="KS10">
        <v>38985</v>
      </c>
      <c r="KT10">
        <v>184</v>
      </c>
      <c r="KU10">
        <v>44207</v>
      </c>
      <c r="KV10">
        <v>39372</v>
      </c>
      <c r="KW10">
        <v>387</v>
      </c>
      <c r="KX10">
        <v>44209</v>
      </c>
      <c r="KY10">
        <v>39853</v>
      </c>
      <c r="KZ10">
        <v>257</v>
      </c>
      <c r="LA10">
        <v>44210</v>
      </c>
      <c r="LB10">
        <v>40112</v>
      </c>
      <c r="LC10">
        <v>249</v>
      </c>
      <c r="LD10">
        <v>44211</v>
      </c>
      <c r="LE10">
        <v>40378</v>
      </c>
      <c r="LF10">
        <v>266</v>
      </c>
      <c r="LG10">
        <v>44213</v>
      </c>
      <c r="LH10">
        <v>40708</v>
      </c>
      <c r="LI10">
        <v>193</v>
      </c>
      <c r="LJ10">
        <v>44213</v>
      </c>
      <c r="LK10">
        <v>40708</v>
      </c>
      <c r="LL10">
        <v>195</v>
      </c>
      <c r="LM10">
        <v>44215</v>
      </c>
      <c r="LN10">
        <v>41525</v>
      </c>
      <c r="LO10">
        <v>344</v>
      </c>
      <c r="LP10">
        <v>44216</v>
      </c>
      <c r="LQ10">
        <v>41928</v>
      </c>
      <c r="LR10">
        <v>406</v>
      </c>
      <c r="LS10">
        <v>44217</v>
      </c>
      <c r="LT10">
        <v>42304</v>
      </c>
      <c r="LU10">
        <v>375</v>
      </c>
    </row>
    <row r="11" spans="1:333">
      <c r="A11" t="str">
        <f t="shared" ca="1" si="0"/>
        <v>22.1</v>
      </c>
      <c r="B11" s="4">
        <f t="shared" ca="1" si="1"/>
        <v>44218</v>
      </c>
      <c r="C11" s="11">
        <f t="shared" ca="1" si="2"/>
        <v>42672</v>
      </c>
      <c r="D11">
        <f t="shared" ca="1" si="3"/>
        <v>360</v>
      </c>
      <c r="E11" s="11">
        <f t="shared" ca="1" si="4"/>
        <v>1</v>
      </c>
      <c r="F11" s="11">
        <f t="shared" ca="1" si="5"/>
        <v>359</v>
      </c>
      <c r="J11" s="10">
        <f ca="1">SUM(D11:D17)</f>
        <v>2593</v>
      </c>
      <c r="K11" s="3"/>
      <c r="M11" s="16">
        <v>44218</v>
      </c>
      <c r="N11">
        <v>42663</v>
      </c>
      <c r="O11">
        <v>359</v>
      </c>
      <c r="P11" s="16">
        <v>44218</v>
      </c>
      <c r="Q11">
        <v>42663</v>
      </c>
      <c r="R11">
        <v>359</v>
      </c>
      <c r="S11" s="16">
        <v>44089</v>
      </c>
      <c r="T11">
        <v>8887</v>
      </c>
      <c r="U11">
        <v>53</v>
      </c>
      <c r="V11" s="16">
        <v>44090</v>
      </c>
      <c r="W11">
        <v>8945</v>
      </c>
      <c r="X11">
        <v>57</v>
      </c>
      <c r="Y11" s="16">
        <v>44091</v>
      </c>
      <c r="Z11">
        <v>9031</v>
      </c>
      <c r="AA11">
        <v>85</v>
      </c>
      <c r="AB11" s="16">
        <v>44092</v>
      </c>
      <c r="AC11">
        <v>9106</v>
      </c>
      <c r="AD11">
        <v>76</v>
      </c>
      <c r="AE11" s="16">
        <v>44093</v>
      </c>
      <c r="AF11">
        <v>9167</v>
      </c>
      <c r="AG11">
        <v>61</v>
      </c>
      <c r="AH11" s="16">
        <v>44094</v>
      </c>
      <c r="AI11">
        <v>9241</v>
      </c>
      <c r="AJ11">
        <v>73</v>
      </c>
      <c r="AK11" s="16">
        <v>44095</v>
      </c>
      <c r="AL11">
        <v>9359</v>
      </c>
      <c r="AM11">
        <v>119</v>
      </c>
      <c r="AN11" s="16">
        <v>44096</v>
      </c>
      <c r="AO11">
        <v>9464</v>
      </c>
      <c r="AP11">
        <v>105</v>
      </c>
      <c r="AQ11" s="16">
        <v>44097</v>
      </c>
      <c r="AR11">
        <v>9582</v>
      </c>
      <c r="AS11">
        <v>118</v>
      </c>
      <c r="AT11" s="16">
        <v>44098</v>
      </c>
      <c r="AU11">
        <v>9679</v>
      </c>
      <c r="AV11">
        <v>97</v>
      </c>
      <c r="AW11" s="16">
        <v>44099</v>
      </c>
      <c r="AX11">
        <v>9806</v>
      </c>
      <c r="AY11">
        <v>127</v>
      </c>
      <c r="AZ11" s="16">
        <v>44100</v>
      </c>
      <c r="BA11">
        <v>9879</v>
      </c>
      <c r="BB11">
        <v>73</v>
      </c>
      <c r="BC11" s="16">
        <v>44101</v>
      </c>
      <c r="BD11">
        <v>9950</v>
      </c>
      <c r="BE11">
        <v>71</v>
      </c>
      <c r="BF11" s="16">
        <v>44102</v>
      </c>
      <c r="BG11">
        <v>10070</v>
      </c>
      <c r="BH11">
        <v>122</v>
      </c>
      <c r="BI11" s="16">
        <v>44103</v>
      </c>
      <c r="BJ11">
        <v>10205</v>
      </c>
      <c r="BK11">
        <v>133</v>
      </c>
      <c r="BL11" s="16">
        <v>44104</v>
      </c>
      <c r="BM11">
        <v>10371</v>
      </c>
      <c r="BN11">
        <v>166</v>
      </c>
      <c r="BO11" s="16">
        <v>44105</v>
      </c>
      <c r="BP11">
        <v>10558</v>
      </c>
      <c r="BQ11">
        <v>188</v>
      </c>
      <c r="BR11" s="16">
        <v>44106</v>
      </c>
      <c r="BS11">
        <v>10747</v>
      </c>
      <c r="BT11">
        <v>188</v>
      </c>
      <c r="BU11" s="16">
        <v>44108</v>
      </c>
      <c r="BV11">
        <v>11063</v>
      </c>
      <c r="BW11">
        <v>147</v>
      </c>
      <c r="BX11" s="16">
        <v>44109</v>
      </c>
      <c r="BY11">
        <v>11354</v>
      </c>
      <c r="BZ11">
        <v>289</v>
      </c>
      <c r="CA11" s="16">
        <v>44110</v>
      </c>
      <c r="CB11">
        <v>11656</v>
      </c>
      <c r="CC11">
        <v>301</v>
      </c>
      <c r="CD11" s="16">
        <v>44111</v>
      </c>
      <c r="CE11">
        <v>11969</v>
      </c>
      <c r="CF11">
        <v>306</v>
      </c>
      <c r="CG11" s="16">
        <v>44112</v>
      </c>
      <c r="CH11">
        <v>12230</v>
      </c>
      <c r="CI11">
        <v>260</v>
      </c>
      <c r="CJ11" s="16">
        <v>44113</v>
      </c>
      <c r="CK11">
        <v>12456</v>
      </c>
      <c r="CL11">
        <v>226</v>
      </c>
      <c r="CM11" s="16">
        <v>44114</v>
      </c>
      <c r="CN11">
        <v>12565</v>
      </c>
      <c r="CO11">
        <v>109</v>
      </c>
      <c r="CP11" s="16">
        <v>44115</v>
      </c>
      <c r="CQ11">
        <v>12695</v>
      </c>
      <c r="CR11">
        <v>130</v>
      </c>
      <c r="CS11" s="16">
        <v>44116</v>
      </c>
      <c r="CT11">
        <v>12951</v>
      </c>
      <c r="CU11">
        <v>254</v>
      </c>
      <c r="CV11" s="16">
        <v>44117</v>
      </c>
      <c r="CW11">
        <v>13149</v>
      </c>
      <c r="CX11">
        <v>197</v>
      </c>
      <c r="CY11" s="16">
        <v>44119</v>
      </c>
      <c r="CZ11">
        <v>13538</v>
      </c>
      <c r="DA11">
        <v>191</v>
      </c>
      <c r="DB11" s="16">
        <v>44120</v>
      </c>
      <c r="DC11">
        <v>13731</v>
      </c>
      <c r="DD11">
        <v>193</v>
      </c>
      <c r="DE11" s="16">
        <v>44121</v>
      </c>
      <c r="DF11">
        <v>13831</v>
      </c>
      <c r="DG11">
        <v>100</v>
      </c>
      <c r="DH11" s="16">
        <v>44122</v>
      </c>
      <c r="DI11">
        <v>13960</v>
      </c>
      <c r="DJ11">
        <v>128</v>
      </c>
      <c r="DK11" s="16">
        <v>44123</v>
      </c>
      <c r="DL11">
        <v>14207</v>
      </c>
      <c r="DM11">
        <v>244</v>
      </c>
      <c r="DN11" s="16">
        <v>44124</v>
      </c>
      <c r="DO11">
        <v>14369</v>
      </c>
      <c r="DP11">
        <v>163</v>
      </c>
      <c r="DQ11" s="16">
        <v>44125</v>
      </c>
      <c r="DR11">
        <v>14560</v>
      </c>
      <c r="DS11">
        <v>190</v>
      </c>
      <c r="DT11" s="16">
        <v>44126</v>
      </c>
      <c r="DU11">
        <v>14778</v>
      </c>
      <c r="DV11">
        <v>218</v>
      </c>
      <c r="DW11" s="16">
        <v>44127</v>
      </c>
      <c r="DX11">
        <v>14970</v>
      </c>
      <c r="DY11">
        <v>192</v>
      </c>
      <c r="DZ11" s="16">
        <v>44128</v>
      </c>
      <c r="EA11">
        <v>15078</v>
      </c>
      <c r="EB11">
        <v>108</v>
      </c>
      <c r="EC11" s="16">
        <v>44129</v>
      </c>
      <c r="ED11">
        <v>15193</v>
      </c>
      <c r="EE11">
        <v>123</v>
      </c>
      <c r="EF11" s="16">
        <v>44130</v>
      </c>
      <c r="EG11">
        <v>15449</v>
      </c>
      <c r="EH11">
        <v>256</v>
      </c>
      <c r="EI11" s="16">
        <v>44131</v>
      </c>
      <c r="EJ11">
        <v>15679</v>
      </c>
      <c r="EK11">
        <v>230</v>
      </c>
      <c r="EL11" s="16">
        <v>44132</v>
      </c>
      <c r="EM11">
        <v>15919</v>
      </c>
      <c r="EN11">
        <v>240</v>
      </c>
      <c r="EO11" s="16">
        <v>44133</v>
      </c>
      <c r="EP11">
        <v>16156</v>
      </c>
      <c r="EQ11">
        <v>237</v>
      </c>
      <c r="ER11" s="16">
        <v>44134</v>
      </c>
      <c r="ES11">
        <v>16376</v>
      </c>
      <c r="ET11">
        <v>219</v>
      </c>
      <c r="EU11" s="16">
        <v>44135</v>
      </c>
      <c r="EV11">
        <v>16497</v>
      </c>
      <c r="EW11">
        <v>121</v>
      </c>
      <c r="EX11" s="16">
        <v>44136</v>
      </c>
      <c r="EY11">
        <v>16647</v>
      </c>
      <c r="EZ11">
        <v>150</v>
      </c>
      <c r="FA11" s="16">
        <v>44137</v>
      </c>
      <c r="FB11">
        <v>16927</v>
      </c>
      <c r="FC11">
        <v>281</v>
      </c>
      <c r="FD11" s="16">
        <v>44138</v>
      </c>
      <c r="FE11">
        <v>17116</v>
      </c>
      <c r="FF11">
        <v>238</v>
      </c>
      <c r="FG11" s="16">
        <v>44139</v>
      </c>
      <c r="FH11">
        <v>17385</v>
      </c>
      <c r="FI11">
        <v>211</v>
      </c>
      <c r="FJ11" s="16">
        <v>44140</v>
      </c>
      <c r="FK11">
        <v>17617</v>
      </c>
      <c r="FL11">
        <v>222</v>
      </c>
      <c r="FM11" s="16">
        <v>44141</v>
      </c>
      <c r="FN11">
        <v>17812</v>
      </c>
      <c r="FO11">
        <v>195</v>
      </c>
      <c r="FP11" s="16">
        <v>44142</v>
      </c>
      <c r="FQ11">
        <v>17940</v>
      </c>
      <c r="FR11">
        <v>128</v>
      </c>
      <c r="FS11" s="16">
        <v>44143</v>
      </c>
      <c r="FT11">
        <v>18096</v>
      </c>
      <c r="FU11">
        <v>133</v>
      </c>
      <c r="FV11" s="16">
        <v>44144</v>
      </c>
      <c r="FW11">
        <v>18371</v>
      </c>
      <c r="FX11">
        <v>273</v>
      </c>
      <c r="FY11" s="16">
        <v>44145</v>
      </c>
      <c r="FZ11">
        <v>18580</v>
      </c>
      <c r="GA11">
        <v>205</v>
      </c>
      <c r="GB11" s="16">
        <v>44146</v>
      </c>
      <c r="GC11">
        <v>18872</v>
      </c>
      <c r="GD11">
        <v>292</v>
      </c>
      <c r="GE11" s="16">
        <v>44147</v>
      </c>
      <c r="GF11">
        <v>19154</v>
      </c>
      <c r="GG11">
        <v>282</v>
      </c>
      <c r="GH11" s="16">
        <v>44148</v>
      </c>
      <c r="GI11">
        <v>19419</v>
      </c>
      <c r="GJ11">
        <v>265</v>
      </c>
      <c r="GK11" s="16">
        <v>44149</v>
      </c>
      <c r="GL11">
        <v>19564</v>
      </c>
      <c r="GM11">
        <v>145</v>
      </c>
      <c r="GN11" s="16">
        <v>44150</v>
      </c>
      <c r="GO11">
        <v>19746</v>
      </c>
      <c r="GP11">
        <v>182</v>
      </c>
      <c r="GQ11" s="16">
        <v>44151</v>
      </c>
      <c r="GR11">
        <v>20139</v>
      </c>
      <c r="GS11">
        <v>392</v>
      </c>
      <c r="GT11" s="16">
        <v>44152</v>
      </c>
      <c r="GU11">
        <v>20529</v>
      </c>
      <c r="GV11">
        <v>391</v>
      </c>
      <c r="GW11" s="16">
        <v>44153</v>
      </c>
      <c r="GX11">
        <v>20905</v>
      </c>
      <c r="GY11">
        <v>371</v>
      </c>
      <c r="GZ11" s="16">
        <v>44154</v>
      </c>
      <c r="HA11">
        <v>21385</v>
      </c>
      <c r="HB11">
        <v>478</v>
      </c>
      <c r="HC11" s="16">
        <v>44155</v>
      </c>
      <c r="HD11">
        <v>21813</v>
      </c>
      <c r="HE11">
        <v>429</v>
      </c>
      <c r="HF11" s="16">
        <v>44156</v>
      </c>
      <c r="HG11">
        <v>22081</v>
      </c>
      <c r="HH11">
        <v>268</v>
      </c>
      <c r="HI11" s="16">
        <v>44157</v>
      </c>
      <c r="HJ11">
        <v>22349</v>
      </c>
      <c r="HK11">
        <v>267</v>
      </c>
      <c r="HL11" s="16">
        <v>44158</v>
      </c>
      <c r="HM11">
        <v>22851</v>
      </c>
      <c r="HN11">
        <v>504</v>
      </c>
      <c r="HO11" s="16">
        <v>44159</v>
      </c>
      <c r="HP11">
        <v>23322</v>
      </c>
      <c r="HQ11">
        <v>468</v>
      </c>
      <c r="HR11" s="16">
        <v>44160</v>
      </c>
      <c r="HS11">
        <v>23934</v>
      </c>
      <c r="HT11">
        <v>613</v>
      </c>
      <c r="HU11" s="16">
        <v>44161</v>
      </c>
      <c r="HV11">
        <v>24445</v>
      </c>
      <c r="HW11">
        <v>510</v>
      </c>
      <c r="HX11" s="16">
        <v>44162</v>
      </c>
      <c r="HY11">
        <v>24900</v>
      </c>
      <c r="HZ11">
        <v>455</v>
      </c>
      <c r="IA11" s="16">
        <v>44163</v>
      </c>
      <c r="IB11">
        <v>25184</v>
      </c>
      <c r="IC11">
        <v>285</v>
      </c>
      <c r="ID11" s="16">
        <v>44164</v>
      </c>
      <c r="IE11">
        <v>25478</v>
      </c>
      <c r="IF11">
        <v>293</v>
      </c>
      <c r="IG11" s="16">
        <v>44165</v>
      </c>
      <c r="IH11">
        <v>26073</v>
      </c>
      <c r="II11">
        <v>596</v>
      </c>
      <c r="IJ11" s="16">
        <v>44166</v>
      </c>
      <c r="IK11">
        <v>26514</v>
      </c>
      <c r="IL11">
        <v>440</v>
      </c>
      <c r="IM11" s="16">
        <v>44167</v>
      </c>
      <c r="IN11">
        <v>27008</v>
      </c>
      <c r="IO11">
        <v>494</v>
      </c>
      <c r="IP11">
        <v>44168</v>
      </c>
      <c r="IQ11">
        <v>27485</v>
      </c>
      <c r="IR11">
        <v>477</v>
      </c>
      <c r="IS11">
        <v>44169</v>
      </c>
      <c r="IT11">
        <v>27956</v>
      </c>
      <c r="IU11">
        <v>471</v>
      </c>
      <c r="IV11">
        <v>44170</v>
      </c>
      <c r="IW11">
        <v>28206</v>
      </c>
      <c r="IX11">
        <v>250</v>
      </c>
      <c r="IY11">
        <v>44171</v>
      </c>
      <c r="IZ11">
        <v>28490</v>
      </c>
      <c r="JA11">
        <v>282</v>
      </c>
      <c r="JB11">
        <v>44175</v>
      </c>
      <c r="JC11">
        <v>30433</v>
      </c>
      <c r="JD11">
        <v>408</v>
      </c>
      <c r="JE11">
        <v>44179</v>
      </c>
      <c r="JF11">
        <v>31866</v>
      </c>
      <c r="JG11">
        <v>463</v>
      </c>
      <c r="JH11">
        <v>44180</v>
      </c>
      <c r="JI11">
        <v>32263</v>
      </c>
      <c r="JJ11">
        <v>358</v>
      </c>
      <c r="JK11">
        <v>44181</v>
      </c>
      <c r="JL11">
        <v>32605</v>
      </c>
      <c r="JM11">
        <v>350</v>
      </c>
      <c r="JN11">
        <v>44182</v>
      </c>
      <c r="JO11">
        <v>32916</v>
      </c>
      <c r="JP11">
        <v>319</v>
      </c>
      <c r="JQ11">
        <v>44184</v>
      </c>
      <c r="JR11">
        <v>33506</v>
      </c>
      <c r="JS11">
        <v>190</v>
      </c>
      <c r="JT11">
        <v>44184</v>
      </c>
      <c r="JU11">
        <v>33507</v>
      </c>
      <c r="JV11">
        <v>190</v>
      </c>
      <c r="JW11">
        <v>44186</v>
      </c>
      <c r="JX11">
        <v>34120</v>
      </c>
      <c r="JY11">
        <v>374</v>
      </c>
      <c r="JZ11">
        <v>44198</v>
      </c>
      <c r="KA11">
        <v>36980</v>
      </c>
      <c r="KB11">
        <v>205</v>
      </c>
      <c r="KC11">
        <v>44198</v>
      </c>
      <c r="KD11">
        <v>36988</v>
      </c>
      <c r="KE11">
        <v>205</v>
      </c>
      <c r="KF11">
        <v>44199</v>
      </c>
      <c r="KG11">
        <v>37151</v>
      </c>
      <c r="KH11">
        <v>171</v>
      </c>
      <c r="KI11">
        <v>44201</v>
      </c>
      <c r="KJ11">
        <v>37805</v>
      </c>
      <c r="KK11">
        <v>260</v>
      </c>
      <c r="KL11">
        <v>44202</v>
      </c>
      <c r="KM11">
        <v>38018</v>
      </c>
      <c r="KN11">
        <v>209</v>
      </c>
      <c r="KO11">
        <v>44206</v>
      </c>
      <c r="KP11">
        <v>38981</v>
      </c>
      <c r="KQ11">
        <v>184</v>
      </c>
      <c r="KR11">
        <v>44207</v>
      </c>
      <c r="KS11">
        <v>39372</v>
      </c>
      <c r="KT11">
        <v>387</v>
      </c>
      <c r="KU11">
        <v>44208</v>
      </c>
      <c r="KV11">
        <v>39598</v>
      </c>
      <c r="KW11">
        <v>226</v>
      </c>
      <c r="KX11">
        <v>44210</v>
      </c>
      <c r="KY11">
        <v>40102</v>
      </c>
      <c r="KZ11">
        <v>249</v>
      </c>
      <c r="LA11">
        <v>44211</v>
      </c>
      <c r="LB11">
        <v>40378</v>
      </c>
      <c r="LC11">
        <v>266</v>
      </c>
      <c r="LD11">
        <v>44212</v>
      </c>
      <c r="LE11">
        <v>40546</v>
      </c>
      <c r="LF11">
        <v>168</v>
      </c>
      <c r="LG11">
        <v>44214</v>
      </c>
      <c r="LH11">
        <v>41155</v>
      </c>
      <c r="LI11">
        <v>447</v>
      </c>
      <c r="LJ11">
        <v>44214</v>
      </c>
      <c r="LK11">
        <v>41155</v>
      </c>
      <c r="LL11">
        <v>447</v>
      </c>
      <c r="LM11">
        <v>44216</v>
      </c>
      <c r="LN11">
        <v>41931</v>
      </c>
      <c r="LO11">
        <v>406</v>
      </c>
      <c r="LP11">
        <v>44217</v>
      </c>
      <c r="LQ11">
        <v>42303</v>
      </c>
      <c r="LR11">
        <v>375</v>
      </c>
      <c r="LS11">
        <v>44218</v>
      </c>
      <c r="LT11">
        <v>42663</v>
      </c>
      <c r="LU11">
        <v>359</v>
      </c>
    </row>
    <row r="12" spans="1:333">
      <c r="A12" t="str">
        <f t="shared" ca="1" si="0"/>
        <v>23.1</v>
      </c>
      <c r="B12" s="4">
        <f t="shared" ca="1" si="1"/>
        <v>44219</v>
      </c>
      <c r="C12" s="11">
        <f t="shared" ca="1" si="2"/>
        <v>42840</v>
      </c>
      <c r="D12">
        <f t="shared" ca="1" si="3"/>
        <v>168</v>
      </c>
      <c r="E12" s="11">
        <f t="shared" ca="1" si="4"/>
        <v>0</v>
      </c>
      <c r="F12" s="11">
        <f t="shared" ca="1" si="5"/>
        <v>168</v>
      </c>
      <c r="K12" s="3"/>
      <c r="M12" s="16">
        <v>44219</v>
      </c>
      <c r="N12">
        <v>42831</v>
      </c>
      <c r="O12">
        <v>168</v>
      </c>
      <c r="P12" s="16">
        <v>44219</v>
      </c>
      <c r="Q12">
        <v>42831</v>
      </c>
      <c r="R12">
        <v>168</v>
      </c>
      <c r="S12" s="16">
        <v>44090</v>
      </c>
      <c r="T12">
        <v>8944</v>
      </c>
      <c r="U12">
        <v>57</v>
      </c>
      <c r="V12" s="16">
        <v>44091</v>
      </c>
      <c r="W12">
        <v>9030</v>
      </c>
      <c r="X12">
        <v>85</v>
      </c>
      <c r="Y12" s="16">
        <v>44092</v>
      </c>
      <c r="Z12">
        <v>9107</v>
      </c>
      <c r="AA12">
        <v>76</v>
      </c>
      <c r="AB12" s="16">
        <v>44093</v>
      </c>
      <c r="AC12">
        <v>9167</v>
      </c>
      <c r="AD12">
        <v>61</v>
      </c>
      <c r="AE12" s="16">
        <v>44094</v>
      </c>
      <c r="AF12">
        <v>9240</v>
      </c>
      <c r="AG12">
        <v>73</v>
      </c>
      <c r="AH12" s="16">
        <v>44095</v>
      </c>
      <c r="AI12">
        <v>9360</v>
      </c>
      <c r="AJ12">
        <v>119</v>
      </c>
      <c r="AK12" s="16">
        <v>44096</v>
      </c>
      <c r="AL12">
        <v>9464</v>
      </c>
      <c r="AM12">
        <v>105</v>
      </c>
      <c r="AN12" s="16">
        <v>44097</v>
      </c>
      <c r="AO12">
        <v>9582</v>
      </c>
      <c r="AP12">
        <v>118</v>
      </c>
      <c r="AQ12" s="16">
        <v>44098</v>
      </c>
      <c r="AR12">
        <v>9679</v>
      </c>
      <c r="AS12">
        <v>97</v>
      </c>
      <c r="AT12" s="16">
        <v>44099</v>
      </c>
      <c r="AU12">
        <v>9806</v>
      </c>
      <c r="AV12">
        <v>127</v>
      </c>
      <c r="AW12" s="16">
        <v>44100</v>
      </c>
      <c r="AX12">
        <v>9879</v>
      </c>
      <c r="AY12">
        <v>73</v>
      </c>
      <c r="AZ12" s="16">
        <v>44101</v>
      </c>
      <c r="BA12">
        <v>9950</v>
      </c>
      <c r="BB12">
        <v>71</v>
      </c>
      <c r="BC12" s="16">
        <v>44102</v>
      </c>
      <c r="BD12">
        <v>10072</v>
      </c>
      <c r="BE12">
        <v>122</v>
      </c>
      <c r="BF12" s="16">
        <v>44103</v>
      </c>
      <c r="BG12">
        <v>10203</v>
      </c>
      <c r="BH12">
        <v>133</v>
      </c>
      <c r="BI12" s="16">
        <v>44104</v>
      </c>
      <c r="BJ12">
        <v>10370</v>
      </c>
      <c r="BK12">
        <v>165</v>
      </c>
      <c r="BL12" s="16">
        <v>44105</v>
      </c>
      <c r="BM12">
        <v>10559</v>
      </c>
      <c r="BN12">
        <v>188</v>
      </c>
      <c r="BO12" s="16">
        <v>44106</v>
      </c>
      <c r="BP12">
        <v>10746</v>
      </c>
      <c r="BQ12">
        <v>188</v>
      </c>
      <c r="BR12" s="16">
        <v>44107</v>
      </c>
      <c r="BS12">
        <v>10916</v>
      </c>
      <c r="BT12">
        <v>169</v>
      </c>
      <c r="BU12" s="16">
        <v>44109</v>
      </c>
      <c r="BV12">
        <v>11352</v>
      </c>
      <c r="BW12">
        <v>289</v>
      </c>
      <c r="BX12" s="16">
        <v>44110</v>
      </c>
      <c r="BY12">
        <v>11653</v>
      </c>
      <c r="BZ12">
        <v>299</v>
      </c>
      <c r="CA12" s="16">
        <v>44111</v>
      </c>
      <c r="CB12">
        <v>11962</v>
      </c>
      <c r="CC12">
        <v>306</v>
      </c>
      <c r="CD12" s="16">
        <v>44112</v>
      </c>
      <c r="CE12">
        <v>12229</v>
      </c>
      <c r="CF12">
        <v>260</v>
      </c>
      <c r="CG12" s="16">
        <v>44113</v>
      </c>
      <c r="CH12">
        <v>12456</v>
      </c>
      <c r="CI12">
        <v>226</v>
      </c>
      <c r="CJ12" s="16">
        <v>44114</v>
      </c>
      <c r="CK12">
        <v>12565</v>
      </c>
      <c r="CL12">
        <v>109</v>
      </c>
      <c r="CM12" s="16">
        <v>44115</v>
      </c>
      <c r="CN12">
        <v>12695</v>
      </c>
      <c r="CO12">
        <v>130</v>
      </c>
      <c r="CP12" s="16">
        <v>44116</v>
      </c>
      <c r="CQ12">
        <v>12949</v>
      </c>
      <c r="CR12">
        <v>254</v>
      </c>
      <c r="CS12" s="16">
        <v>44117</v>
      </c>
      <c r="CT12">
        <v>13148</v>
      </c>
      <c r="CU12">
        <v>197</v>
      </c>
      <c r="CV12" s="16">
        <v>44118</v>
      </c>
      <c r="CW12">
        <v>13349</v>
      </c>
      <c r="CX12">
        <v>200</v>
      </c>
      <c r="CY12" s="16">
        <v>44120</v>
      </c>
      <c r="CZ12">
        <v>13731</v>
      </c>
      <c r="DA12">
        <v>193</v>
      </c>
      <c r="DB12" s="16">
        <v>44121</v>
      </c>
      <c r="DC12">
        <v>13831</v>
      </c>
      <c r="DD12">
        <v>100</v>
      </c>
      <c r="DE12" s="16">
        <v>44122</v>
      </c>
      <c r="DF12">
        <v>13959</v>
      </c>
      <c r="DG12">
        <v>128</v>
      </c>
      <c r="DH12" s="16">
        <v>44123</v>
      </c>
      <c r="DI12">
        <v>14204</v>
      </c>
      <c r="DJ12">
        <v>244</v>
      </c>
      <c r="DK12" s="16">
        <v>44124</v>
      </c>
      <c r="DL12">
        <v>14370</v>
      </c>
      <c r="DM12">
        <v>163</v>
      </c>
      <c r="DN12" s="16">
        <v>44125</v>
      </c>
      <c r="DO12">
        <v>14559</v>
      </c>
      <c r="DP12">
        <v>190</v>
      </c>
      <c r="DQ12" s="16">
        <v>44126</v>
      </c>
      <c r="DR12">
        <v>14777</v>
      </c>
      <c r="DS12">
        <v>217</v>
      </c>
      <c r="DT12" s="16">
        <v>44127</v>
      </c>
      <c r="DU12">
        <v>14970</v>
      </c>
      <c r="DV12">
        <v>192</v>
      </c>
      <c r="DW12" s="16">
        <v>44128</v>
      </c>
      <c r="DX12">
        <v>15078</v>
      </c>
      <c r="DY12">
        <v>108</v>
      </c>
      <c r="DZ12" s="16">
        <v>44129</v>
      </c>
      <c r="EA12">
        <v>15201</v>
      </c>
      <c r="EB12">
        <v>123</v>
      </c>
      <c r="EC12" s="16">
        <v>44130</v>
      </c>
      <c r="ED12">
        <v>15449</v>
      </c>
      <c r="EE12">
        <v>256</v>
      </c>
      <c r="EF12" s="16">
        <v>44131</v>
      </c>
      <c r="EG12">
        <v>15679</v>
      </c>
      <c r="EH12">
        <v>230</v>
      </c>
      <c r="EI12" s="16">
        <v>44132</v>
      </c>
      <c r="EJ12">
        <v>15919</v>
      </c>
      <c r="EK12">
        <v>240</v>
      </c>
      <c r="EL12" s="16">
        <v>44133</v>
      </c>
      <c r="EM12">
        <v>16156</v>
      </c>
      <c r="EN12">
        <v>237</v>
      </c>
      <c r="EO12" s="16">
        <v>44134</v>
      </c>
      <c r="EP12">
        <v>16375</v>
      </c>
      <c r="EQ12">
        <v>219</v>
      </c>
      <c r="ER12" s="16">
        <v>44135</v>
      </c>
      <c r="ES12">
        <v>16497</v>
      </c>
      <c r="ET12">
        <v>121</v>
      </c>
      <c r="EU12" s="16">
        <v>44136</v>
      </c>
      <c r="EV12">
        <v>16647</v>
      </c>
      <c r="EW12">
        <v>150</v>
      </c>
      <c r="EX12" s="16">
        <v>44137</v>
      </c>
      <c r="EY12">
        <v>16928</v>
      </c>
      <c r="EZ12">
        <v>281</v>
      </c>
      <c r="FA12" s="16">
        <v>44138</v>
      </c>
      <c r="FB12">
        <v>17168</v>
      </c>
      <c r="FC12">
        <v>241</v>
      </c>
      <c r="FD12" s="16">
        <v>44139</v>
      </c>
      <c r="FE12">
        <v>17325</v>
      </c>
      <c r="FF12">
        <v>209</v>
      </c>
      <c r="FG12" s="16">
        <v>44140</v>
      </c>
      <c r="FH12">
        <v>17606</v>
      </c>
      <c r="FI12">
        <v>221</v>
      </c>
      <c r="FJ12" s="16">
        <v>44141</v>
      </c>
      <c r="FK12">
        <v>17812</v>
      </c>
      <c r="FL12">
        <v>195</v>
      </c>
      <c r="FM12" s="16">
        <v>44142</v>
      </c>
      <c r="FN12">
        <v>17940</v>
      </c>
      <c r="FO12">
        <v>128</v>
      </c>
      <c r="FP12" s="16">
        <v>44143</v>
      </c>
      <c r="FQ12">
        <v>18073</v>
      </c>
      <c r="FR12">
        <v>133</v>
      </c>
      <c r="FS12" s="16">
        <v>44144</v>
      </c>
      <c r="FT12">
        <v>18369</v>
      </c>
      <c r="FU12">
        <v>273</v>
      </c>
      <c r="FV12" s="16">
        <v>44145</v>
      </c>
      <c r="FW12">
        <v>18576</v>
      </c>
      <c r="FX12">
        <v>205</v>
      </c>
      <c r="FY12" s="16">
        <v>44146</v>
      </c>
      <c r="FZ12">
        <v>18872</v>
      </c>
      <c r="GA12">
        <v>292</v>
      </c>
      <c r="GB12" s="16">
        <v>44147</v>
      </c>
      <c r="GC12">
        <v>19154</v>
      </c>
      <c r="GD12">
        <v>282</v>
      </c>
      <c r="GE12" s="16">
        <v>44148</v>
      </c>
      <c r="GF12">
        <v>19419</v>
      </c>
      <c r="GG12">
        <v>265</v>
      </c>
      <c r="GH12" s="16">
        <v>44149</v>
      </c>
      <c r="GI12">
        <v>19564</v>
      </c>
      <c r="GJ12">
        <v>145</v>
      </c>
      <c r="GK12" s="16">
        <v>44150</v>
      </c>
      <c r="GL12">
        <v>19746</v>
      </c>
      <c r="GM12">
        <v>182</v>
      </c>
      <c r="GN12" s="16">
        <v>44151</v>
      </c>
      <c r="GO12">
        <v>20138</v>
      </c>
      <c r="GP12">
        <v>392</v>
      </c>
      <c r="GQ12" s="16">
        <v>44152</v>
      </c>
      <c r="GR12">
        <v>20531</v>
      </c>
      <c r="GS12">
        <v>392</v>
      </c>
      <c r="GT12" s="16">
        <v>44153</v>
      </c>
      <c r="GU12">
        <v>20900</v>
      </c>
      <c r="GV12">
        <v>371</v>
      </c>
      <c r="GW12" s="16">
        <v>44154</v>
      </c>
      <c r="GX12">
        <v>21383</v>
      </c>
      <c r="GY12">
        <v>478</v>
      </c>
      <c r="GZ12" s="16">
        <v>44155</v>
      </c>
      <c r="HA12">
        <v>21814</v>
      </c>
      <c r="HB12">
        <v>429</v>
      </c>
      <c r="HC12" s="16">
        <v>44156</v>
      </c>
      <c r="HD12">
        <v>22081</v>
      </c>
      <c r="HE12">
        <v>268</v>
      </c>
      <c r="HF12" s="16">
        <v>44157</v>
      </c>
      <c r="HG12">
        <v>22348</v>
      </c>
      <c r="HH12">
        <v>267</v>
      </c>
      <c r="HI12" s="16">
        <v>44158</v>
      </c>
      <c r="HJ12">
        <v>22853</v>
      </c>
      <c r="HK12">
        <v>504</v>
      </c>
      <c r="HL12" s="16">
        <v>44159</v>
      </c>
      <c r="HM12">
        <v>23319</v>
      </c>
      <c r="HN12">
        <v>468</v>
      </c>
      <c r="HO12" s="16">
        <v>44160</v>
      </c>
      <c r="HP12">
        <v>23935</v>
      </c>
      <c r="HQ12">
        <v>613</v>
      </c>
      <c r="HR12" s="16">
        <v>44161</v>
      </c>
      <c r="HS12">
        <v>24444</v>
      </c>
      <c r="HT12">
        <v>510</v>
      </c>
      <c r="HU12" s="16">
        <v>44162</v>
      </c>
      <c r="HV12">
        <v>24900</v>
      </c>
      <c r="HW12">
        <v>455</v>
      </c>
      <c r="HX12" s="16">
        <v>44163</v>
      </c>
      <c r="HY12">
        <v>25185</v>
      </c>
      <c r="HZ12">
        <v>285</v>
      </c>
      <c r="IA12" s="16">
        <v>44164</v>
      </c>
      <c r="IB12">
        <v>25476</v>
      </c>
      <c r="IC12">
        <v>292</v>
      </c>
      <c r="ID12" s="16">
        <v>44165</v>
      </c>
      <c r="IE12">
        <v>26074</v>
      </c>
      <c r="IF12">
        <v>596</v>
      </c>
      <c r="IG12" s="16">
        <v>44166</v>
      </c>
      <c r="IH12">
        <v>26513</v>
      </c>
      <c r="II12">
        <v>440</v>
      </c>
      <c r="IJ12" s="16">
        <v>44167</v>
      </c>
      <c r="IK12">
        <v>27008</v>
      </c>
      <c r="IL12">
        <v>494</v>
      </c>
      <c r="IM12" s="16">
        <v>44168</v>
      </c>
      <c r="IN12">
        <v>27485</v>
      </c>
      <c r="IO12">
        <v>477</v>
      </c>
      <c r="IP12">
        <v>44169</v>
      </c>
      <c r="IQ12">
        <v>27956</v>
      </c>
      <c r="IR12">
        <v>471</v>
      </c>
      <c r="IS12">
        <v>44170</v>
      </c>
      <c r="IT12">
        <v>28206</v>
      </c>
      <c r="IU12">
        <v>250</v>
      </c>
      <c r="IV12">
        <v>44171</v>
      </c>
      <c r="IW12">
        <v>28488</v>
      </c>
      <c r="IX12">
        <v>282</v>
      </c>
      <c r="IY12">
        <v>44172</v>
      </c>
      <c r="IZ12">
        <v>29078</v>
      </c>
      <c r="JA12">
        <v>588</v>
      </c>
      <c r="JB12">
        <v>44176</v>
      </c>
      <c r="JC12">
        <v>30877</v>
      </c>
      <c r="JD12">
        <v>444</v>
      </c>
      <c r="JE12">
        <v>44180</v>
      </c>
      <c r="JF12">
        <v>32224</v>
      </c>
      <c r="JG12">
        <v>358</v>
      </c>
      <c r="JH12">
        <v>44181</v>
      </c>
      <c r="JI12">
        <v>32613</v>
      </c>
      <c r="JJ12">
        <v>350</v>
      </c>
      <c r="JK12">
        <v>44182</v>
      </c>
      <c r="JL12">
        <v>32924</v>
      </c>
      <c r="JM12">
        <v>319</v>
      </c>
      <c r="JN12">
        <v>44183</v>
      </c>
      <c r="JO12">
        <v>33311</v>
      </c>
      <c r="JP12">
        <v>395</v>
      </c>
      <c r="JQ12">
        <v>44185</v>
      </c>
      <c r="JR12">
        <v>33750</v>
      </c>
      <c r="JS12">
        <v>244</v>
      </c>
      <c r="JT12">
        <v>44185</v>
      </c>
      <c r="JU12">
        <v>33751</v>
      </c>
      <c r="JV12">
        <v>244</v>
      </c>
      <c r="JW12">
        <v>44187</v>
      </c>
      <c r="JX12">
        <v>34451</v>
      </c>
      <c r="JY12">
        <v>331</v>
      </c>
      <c r="JZ12">
        <v>44199</v>
      </c>
      <c r="KA12">
        <v>37151</v>
      </c>
      <c r="KB12">
        <v>171</v>
      </c>
      <c r="KC12">
        <v>44199</v>
      </c>
      <c r="KD12">
        <v>37159</v>
      </c>
      <c r="KE12">
        <v>171</v>
      </c>
      <c r="KF12">
        <v>44200</v>
      </c>
      <c r="KG12">
        <v>37546</v>
      </c>
      <c r="KH12">
        <v>395</v>
      </c>
      <c r="KI12">
        <v>44202</v>
      </c>
      <c r="KJ12">
        <v>38014</v>
      </c>
      <c r="KK12">
        <v>209</v>
      </c>
      <c r="KL12">
        <v>44203</v>
      </c>
      <c r="KM12">
        <v>38351</v>
      </c>
      <c r="KN12">
        <v>333</v>
      </c>
      <c r="KO12">
        <v>44207</v>
      </c>
      <c r="KP12">
        <v>39368</v>
      </c>
      <c r="KQ12">
        <v>387</v>
      </c>
      <c r="KR12">
        <v>44208</v>
      </c>
      <c r="KS12">
        <v>39598</v>
      </c>
      <c r="KT12">
        <v>226</v>
      </c>
      <c r="KU12">
        <v>44209</v>
      </c>
      <c r="KV12">
        <v>39855</v>
      </c>
      <c r="KW12">
        <v>257</v>
      </c>
      <c r="KX12">
        <v>44211</v>
      </c>
      <c r="KY12">
        <v>40370</v>
      </c>
      <c r="KZ12">
        <v>268</v>
      </c>
      <c r="LA12">
        <v>44212</v>
      </c>
      <c r="LB12">
        <v>40546</v>
      </c>
      <c r="LC12">
        <v>168</v>
      </c>
      <c r="LD12">
        <v>44213</v>
      </c>
      <c r="LE12">
        <v>40741</v>
      </c>
      <c r="LF12">
        <v>195</v>
      </c>
      <c r="LG12">
        <v>44215</v>
      </c>
      <c r="LH12">
        <v>41499</v>
      </c>
      <c r="LI12">
        <v>344</v>
      </c>
      <c r="LJ12">
        <v>44215</v>
      </c>
      <c r="LK12">
        <v>41499</v>
      </c>
      <c r="LL12">
        <v>344</v>
      </c>
      <c r="LM12">
        <v>44217</v>
      </c>
      <c r="LN12">
        <v>42307</v>
      </c>
      <c r="LO12">
        <v>376</v>
      </c>
      <c r="LP12">
        <v>44218</v>
      </c>
      <c r="LQ12">
        <v>42662</v>
      </c>
      <c r="LR12">
        <v>359</v>
      </c>
      <c r="LS12">
        <v>44219</v>
      </c>
      <c r="LT12">
        <v>42831</v>
      </c>
      <c r="LU12">
        <v>168</v>
      </c>
    </row>
    <row r="13" spans="1:333">
      <c r="A13" t="str">
        <f t="shared" ca="1" si="0"/>
        <v>24.1</v>
      </c>
      <c r="B13" s="4">
        <f t="shared" ca="1" si="1"/>
        <v>44220</v>
      </c>
      <c r="C13" s="11">
        <f t="shared" ca="1" si="2"/>
        <v>43084</v>
      </c>
      <c r="D13">
        <f t="shared" ca="1" si="3"/>
        <v>244</v>
      </c>
      <c r="E13" s="11">
        <f t="shared" ca="1" si="4"/>
        <v>0</v>
      </c>
      <c r="F13" s="11">
        <f t="shared" ca="1" si="5"/>
        <v>244</v>
      </c>
      <c r="G13" s="10"/>
      <c r="K13" s="3"/>
      <c r="M13" s="16">
        <v>44220</v>
      </c>
      <c r="N13">
        <v>43075</v>
      </c>
      <c r="O13">
        <v>244</v>
      </c>
      <c r="P13" s="16">
        <v>44220</v>
      </c>
      <c r="Q13">
        <v>43075</v>
      </c>
      <c r="R13">
        <v>244</v>
      </c>
      <c r="S13" s="16">
        <v>44091</v>
      </c>
      <c r="T13">
        <v>9029</v>
      </c>
      <c r="U13">
        <v>85</v>
      </c>
      <c r="V13" s="16">
        <v>44092</v>
      </c>
      <c r="W13">
        <v>9106</v>
      </c>
      <c r="X13">
        <v>76</v>
      </c>
      <c r="Y13" s="16">
        <v>44093</v>
      </c>
      <c r="Z13">
        <v>9168</v>
      </c>
      <c r="AA13">
        <v>61</v>
      </c>
      <c r="AB13" s="16">
        <v>44094</v>
      </c>
      <c r="AC13">
        <v>9240</v>
      </c>
      <c r="AD13">
        <v>73</v>
      </c>
      <c r="AE13" s="16">
        <v>44095</v>
      </c>
      <c r="AF13">
        <v>9359</v>
      </c>
      <c r="AG13">
        <v>119</v>
      </c>
      <c r="AH13" s="16">
        <v>44096</v>
      </c>
      <c r="AI13">
        <v>9465</v>
      </c>
      <c r="AJ13">
        <v>105</v>
      </c>
      <c r="AK13" s="16">
        <v>44097</v>
      </c>
      <c r="AL13">
        <v>9582</v>
      </c>
      <c r="AM13">
        <v>118</v>
      </c>
      <c r="AN13" s="16">
        <v>44098</v>
      </c>
      <c r="AO13">
        <v>9679</v>
      </c>
      <c r="AP13">
        <v>97</v>
      </c>
      <c r="AQ13" s="16">
        <v>44099</v>
      </c>
      <c r="AR13">
        <v>9806</v>
      </c>
      <c r="AS13">
        <v>127</v>
      </c>
      <c r="AT13" s="16">
        <v>44100</v>
      </c>
      <c r="AU13">
        <v>9879</v>
      </c>
      <c r="AV13">
        <v>73</v>
      </c>
      <c r="AW13" s="16">
        <v>44101</v>
      </c>
      <c r="AX13">
        <v>9950</v>
      </c>
      <c r="AY13">
        <v>71</v>
      </c>
      <c r="AZ13" s="16">
        <v>44102</v>
      </c>
      <c r="BA13">
        <v>10072</v>
      </c>
      <c r="BB13">
        <v>122</v>
      </c>
      <c r="BC13" s="16">
        <v>44103</v>
      </c>
      <c r="BD13">
        <v>10205</v>
      </c>
      <c r="BE13">
        <v>133</v>
      </c>
      <c r="BF13" s="16">
        <v>44104</v>
      </c>
      <c r="BG13">
        <v>10368</v>
      </c>
      <c r="BH13">
        <v>165</v>
      </c>
      <c r="BI13" s="16">
        <v>44105</v>
      </c>
      <c r="BJ13">
        <v>10558</v>
      </c>
      <c r="BK13">
        <v>188</v>
      </c>
      <c r="BL13" s="16">
        <v>44106</v>
      </c>
      <c r="BM13">
        <v>10747</v>
      </c>
      <c r="BN13">
        <v>188</v>
      </c>
      <c r="BO13" s="16">
        <v>44107</v>
      </c>
      <c r="BP13">
        <v>10915</v>
      </c>
      <c r="BQ13">
        <v>169</v>
      </c>
      <c r="BR13" s="16">
        <v>44108</v>
      </c>
      <c r="BS13">
        <v>11063</v>
      </c>
      <c r="BT13">
        <v>147</v>
      </c>
      <c r="BU13" s="16">
        <v>44110</v>
      </c>
      <c r="BV13">
        <v>11651</v>
      </c>
      <c r="BW13">
        <v>299</v>
      </c>
      <c r="BX13" s="16">
        <v>44111</v>
      </c>
      <c r="BY13">
        <v>11959</v>
      </c>
      <c r="BZ13">
        <v>306</v>
      </c>
      <c r="CA13" s="16">
        <v>44112</v>
      </c>
      <c r="CB13">
        <v>12222</v>
      </c>
      <c r="CC13">
        <v>260</v>
      </c>
      <c r="CD13" s="16">
        <v>44113</v>
      </c>
      <c r="CE13">
        <v>12455</v>
      </c>
      <c r="CF13">
        <v>226</v>
      </c>
      <c r="CG13" s="16">
        <v>44114</v>
      </c>
      <c r="CH13">
        <v>12565</v>
      </c>
      <c r="CI13">
        <v>109</v>
      </c>
      <c r="CJ13" s="16">
        <v>44115</v>
      </c>
      <c r="CK13">
        <v>12695</v>
      </c>
      <c r="CL13">
        <v>130</v>
      </c>
      <c r="CM13" s="16">
        <v>44116</v>
      </c>
      <c r="CN13">
        <v>12949</v>
      </c>
      <c r="CO13">
        <v>254</v>
      </c>
      <c r="CP13" s="16">
        <v>44117</v>
      </c>
      <c r="CQ13">
        <v>13146</v>
      </c>
      <c r="CR13">
        <v>197</v>
      </c>
      <c r="CS13" s="16">
        <v>44118</v>
      </c>
      <c r="CT13">
        <v>13348</v>
      </c>
      <c r="CU13">
        <v>200</v>
      </c>
      <c r="CV13" s="16">
        <v>44119</v>
      </c>
      <c r="CW13">
        <v>13540</v>
      </c>
      <c r="CX13">
        <v>191</v>
      </c>
      <c r="CY13" s="16">
        <v>44121</v>
      </c>
      <c r="CZ13">
        <v>13831</v>
      </c>
      <c r="DA13">
        <v>100</v>
      </c>
      <c r="DB13" s="16">
        <v>44122</v>
      </c>
      <c r="DC13">
        <v>13959</v>
      </c>
      <c r="DD13">
        <v>128</v>
      </c>
      <c r="DE13" s="16">
        <v>44123</v>
      </c>
      <c r="DF13">
        <v>14203</v>
      </c>
      <c r="DG13">
        <v>244</v>
      </c>
      <c r="DH13" s="16">
        <v>44124</v>
      </c>
      <c r="DI13">
        <v>14366</v>
      </c>
      <c r="DJ13">
        <v>162</v>
      </c>
      <c r="DK13" s="16">
        <v>44125</v>
      </c>
      <c r="DL13">
        <v>14559</v>
      </c>
      <c r="DM13">
        <v>189</v>
      </c>
      <c r="DN13" s="16">
        <v>44126</v>
      </c>
      <c r="DO13">
        <v>14776</v>
      </c>
      <c r="DP13">
        <v>217</v>
      </c>
      <c r="DQ13" s="16">
        <v>44127</v>
      </c>
      <c r="DR13">
        <v>14969</v>
      </c>
      <c r="DS13">
        <v>192</v>
      </c>
      <c r="DT13" s="16">
        <v>44128</v>
      </c>
      <c r="DU13">
        <v>15078</v>
      </c>
      <c r="DV13">
        <v>108</v>
      </c>
      <c r="DW13" s="16">
        <v>44129</v>
      </c>
      <c r="DX13">
        <v>15201</v>
      </c>
      <c r="DY13">
        <v>123</v>
      </c>
      <c r="DZ13" s="16">
        <v>44130</v>
      </c>
      <c r="EA13">
        <v>15457</v>
      </c>
      <c r="EB13">
        <v>256</v>
      </c>
      <c r="EC13" s="16">
        <v>44131</v>
      </c>
      <c r="ED13">
        <v>15679</v>
      </c>
      <c r="EE13">
        <v>230</v>
      </c>
      <c r="EF13" s="16">
        <v>44132</v>
      </c>
      <c r="EG13">
        <v>15919</v>
      </c>
      <c r="EH13">
        <v>240</v>
      </c>
      <c r="EI13" s="16">
        <v>44133</v>
      </c>
      <c r="EJ13">
        <v>16156</v>
      </c>
      <c r="EK13">
        <v>237</v>
      </c>
      <c r="EL13" s="16">
        <v>44134</v>
      </c>
      <c r="EM13">
        <v>16375</v>
      </c>
      <c r="EN13">
        <v>219</v>
      </c>
      <c r="EO13" s="16">
        <v>44135</v>
      </c>
      <c r="EP13">
        <v>16496</v>
      </c>
      <c r="EQ13">
        <v>121</v>
      </c>
      <c r="ER13" s="16">
        <v>44136</v>
      </c>
      <c r="ES13">
        <v>16647</v>
      </c>
      <c r="ET13">
        <v>150</v>
      </c>
      <c r="EU13" s="16">
        <v>44137</v>
      </c>
      <c r="EV13">
        <v>16928</v>
      </c>
      <c r="EW13">
        <v>281</v>
      </c>
      <c r="EX13" s="16">
        <v>44138</v>
      </c>
      <c r="EY13">
        <v>17169</v>
      </c>
      <c r="EZ13">
        <v>241</v>
      </c>
      <c r="FA13" s="16">
        <v>44139</v>
      </c>
      <c r="FB13">
        <v>17378</v>
      </c>
      <c r="FC13">
        <v>210</v>
      </c>
      <c r="FD13" s="16">
        <v>44140</v>
      </c>
      <c r="FE13">
        <v>17546</v>
      </c>
      <c r="FF13">
        <v>221</v>
      </c>
      <c r="FG13" s="16">
        <v>44141</v>
      </c>
      <c r="FH13">
        <v>17801</v>
      </c>
      <c r="FI13">
        <v>195</v>
      </c>
      <c r="FJ13" s="16">
        <v>44142</v>
      </c>
      <c r="FK13">
        <v>17940</v>
      </c>
      <c r="FL13">
        <v>128</v>
      </c>
      <c r="FM13" s="16">
        <v>44143</v>
      </c>
      <c r="FN13">
        <v>18073</v>
      </c>
      <c r="FO13">
        <v>133</v>
      </c>
      <c r="FP13" s="16">
        <v>44144</v>
      </c>
      <c r="FQ13">
        <v>18349</v>
      </c>
      <c r="FR13">
        <v>276</v>
      </c>
      <c r="FS13" s="16">
        <v>44145</v>
      </c>
      <c r="FT13">
        <v>18574</v>
      </c>
      <c r="FU13">
        <v>205</v>
      </c>
      <c r="FV13" s="16">
        <v>44146</v>
      </c>
      <c r="FW13">
        <v>18868</v>
      </c>
      <c r="FX13">
        <v>292</v>
      </c>
      <c r="FY13" s="16">
        <v>44147</v>
      </c>
      <c r="FZ13">
        <v>19154</v>
      </c>
      <c r="GA13">
        <v>282</v>
      </c>
      <c r="GB13" s="16">
        <v>44148</v>
      </c>
      <c r="GC13">
        <v>19418</v>
      </c>
      <c r="GD13">
        <v>264</v>
      </c>
      <c r="GE13" s="16">
        <v>44149</v>
      </c>
      <c r="GF13">
        <v>19564</v>
      </c>
      <c r="GG13">
        <v>145</v>
      </c>
      <c r="GH13" s="16">
        <v>44150</v>
      </c>
      <c r="GI13">
        <v>19746</v>
      </c>
      <c r="GJ13">
        <v>182</v>
      </c>
      <c r="GK13" s="16">
        <v>44151</v>
      </c>
      <c r="GL13">
        <v>20138</v>
      </c>
      <c r="GM13">
        <v>392</v>
      </c>
      <c r="GN13" s="16">
        <v>44152</v>
      </c>
      <c r="GO13">
        <v>20530</v>
      </c>
      <c r="GP13">
        <v>392</v>
      </c>
      <c r="GQ13" s="16">
        <v>44153</v>
      </c>
      <c r="GR13">
        <v>20903</v>
      </c>
      <c r="GS13">
        <v>372</v>
      </c>
      <c r="GT13" s="16">
        <v>44154</v>
      </c>
      <c r="GU13">
        <v>21378</v>
      </c>
      <c r="GV13">
        <v>478</v>
      </c>
      <c r="GW13" s="16">
        <v>44155</v>
      </c>
      <c r="GX13">
        <v>21812</v>
      </c>
      <c r="GY13">
        <v>429</v>
      </c>
      <c r="GZ13" s="16">
        <v>44156</v>
      </c>
      <c r="HA13">
        <v>22082</v>
      </c>
      <c r="HB13">
        <v>268</v>
      </c>
      <c r="HC13" s="16">
        <v>44157</v>
      </c>
      <c r="HD13">
        <v>22348</v>
      </c>
      <c r="HE13">
        <v>267</v>
      </c>
      <c r="HF13" s="16">
        <v>44158</v>
      </c>
      <c r="HG13">
        <v>22852</v>
      </c>
      <c r="HH13">
        <v>504</v>
      </c>
      <c r="HI13" s="16">
        <v>44159</v>
      </c>
      <c r="HJ13">
        <v>23321</v>
      </c>
      <c r="HK13">
        <v>468</v>
      </c>
      <c r="HL13" s="16">
        <v>44160</v>
      </c>
      <c r="HM13">
        <v>23932</v>
      </c>
      <c r="HN13">
        <v>613</v>
      </c>
      <c r="HO13" s="16">
        <v>44161</v>
      </c>
      <c r="HP13">
        <v>24445</v>
      </c>
      <c r="HQ13">
        <v>510</v>
      </c>
      <c r="HR13" s="16">
        <v>44162</v>
      </c>
      <c r="HS13">
        <v>24899</v>
      </c>
      <c r="HT13">
        <v>455</v>
      </c>
      <c r="HU13" s="16">
        <v>44163</v>
      </c>
      <c r="HV13">
        <v>25185</v>
      </c>
      <c r="HW13">
        <v>285</v>
      </c>
      <c r="HX13" s="16">
        <v>44164</v>
      </c>
      <c r="HY13">
        <v>25477</v>
      </c>
      <c r="HZ13">
        <v>292</v>
      </c>
      <c r="IA13" s="16">
        <v>44165</v>
      </c>
      <c r="IB13">
        <v>26072</v>
      </c>
      <c r="IC13">
        <v>596</v>
      </c>
      <c r="ID13" s="16">
        <v>44166</v>
      </c>
      <c r="IE13">
        <v>26514</v>
      </c>
      <c r="IF13">
        <v>440</v>
      </c>
      <c r="IG13" s="16">
        <v>44167</v>
      </c>
      <c r="IH13">
        <v>27007</v>
      </c>
      <c r="II13">
        <v>494</v>
      </c>
      <c r="IJ13" s="16">
        <v>44168</v>
      </c>
      <c r="IK13">
        <v>27485</v>
      </c>
      <c r="IL13">
        <v>477</v>
      </c>
      <c r="IM13" s="16">
        <v>44169</v>
      </c>
      <c r="IN13">
        <v>27956</v>
      </c>
      <c r="IO13">
        <v>471</v>
      </c>
      <c r="IP13">
        <v>44170</v>
      </c>
      <c r="IQ13">
        <v>28206</v>
      </c>
      <c r="IR13">
        <v>250</v>
      </c>
      <c r="IS13">
        <v>44171</v>
      </c>
      <c r="IT13">
        <v>28488</v>
      </c>
      <c r="IU13">
        <v>282</v>
      </c>
      <c r="IV13">
        <v>44172</v>
      </c>
      <c r="IW13">
        <v>29075</v>
      </c>
      <c r="IX13">
        <v>587</v>
      </c>
      <c r="IY13">
        <v>44173</v>
      </c>
      <c r="IZ13">
        <v>29554</v>
      </c>
      <c r="JA13">
        <v>476</v>
      </c>
      <c r="JB13">
        <v>44177</v>
      </c>
      <c r="JC13">
        <v>31127</v>
      </c>
      <c r="JD13">
        <v>250</v>
      </c>
      <c r="JE13">
        <v>44181</v>
      </c>
      <c r="JF13">
        <v>32573</v>
      </c>
      <c r="JG13">
        <v>349</v>
      </c>
      <c r="JH13">
        <v>44182</v>
      </c>
      <c r="JI13">
        <v>32932</v>
      </c>
      <c r="JJ13">
        <v>319</v>
      </c>
      <c r="JK13">
        <v>44183</v>
      </c>
      <c r="JL13">
        <v>33319</v>
      </c>
      <c r="JM13">
        <v>395</v>
      </c>
      <c r="JN13">
        <v>44184</v>
      </c>
      <c r="JO13">
        <v>33501</v>
      </c>
      <c r="JP13">
        <v>190</v>
      </c>
      <c r="JQ13">
        <v>44186</v>
      </c>
      <c r="JR13">
        <v>34124</v>
      </c>
      <c r="JS13">
        <v>374</v>
      </c>
      <c r="JT13">
        <v>44186</v>
      </c>
      <c r="JU13">
        <v>34125</v>
      </c>
      <c r="JV13">
        <v>374</v>
      </c>
      <c r="JW13">
        <v>44188</v>
      </c>
      <c r="JX13">
        <v>34729</v>
      </c>
      <c r="JY13">
        <v>278</v>
      </c>
      <c r="JZ13">
        <v>44200</v>
      </c>
      <c r="KA13">
        <v>37546</v>
      </c>
      <c r="KB13">
        <v>395</v>
      </c>
      <c r="KC13">
        <v>44200</v>
      </c>
      <c r="KD13">
        <v>37554</v>
      </c>
      <c r="KE13">
        <v>395</v>
      </c>
      <c r="KF13">
        <v>44201</v>
      </c>
      <c r="KG13">
        <v>37806</v>
      </c>
      <c r="KH13">
        <v>260</v>
      </c>
      <c r="KI13">
        <v>44203</v>
      </c>
      <c r="KJ13">
        <v>38345</v>
      </c>
      <c r="KK13">
        <v>331</v>
      </c>
      <c r="KL13">
        <v>44204</v>
      </c>
      <c r="KM13">
        <v>38602</v>
      </c>
      <c r="KN13">
        <v>251</v>
      </c>
      <c r="KO13">
        <v>44208</v>
      </c>
      <c r="KP13">
        <v>39594</v>
      </c>
      <c r="KQ13">
        <v>226</v>
      </c>
      <c r="KR13">
        <v>44209</v>
      </c>
      <c r="KS13">
        <v>39855</v>
      </c>
      <c r="KT13">
        <v>257</v>
      </c>
      <c r="KU13">
        <v>44210</v>
      </c>
      <c r="KV13">
        <v>40104</v>
      </c>
      <c r="KW13">
        <v>249</v>
      </c>
      <c r="KX13">
        <v>44212</v>
      </c>
      <c r="KY13">
        <v>40539</v>
      </c>
      <c r="KZ13">
        <v>169</v>
      </c>
      <c r="LA13">
        <v>44213</v>
      </c>
      <c r="LB13">
        <v>40741</v>
      </c>
      <c r="LC13">
        <v>195</v>
      </c>
      <c r="LD13">
        <v>44214</v>
      </c>
      <c r="LE13">
        <v>41188</v>
      </c>
      <c r="LF13">
        <v>447</v>
      </c>
      <c r="LG13">
        <v>44216</v>
      </c>
      <c r="LH13">
        <v>41905</v>
      </c>
      <c r="LI13">
        <v>406</v>
      </c>
      <c r="LJ13">
        <v>44216</v>
      </c>
      <c r="LK13">
        <v>41905</v>
      </c>
      <c r="LL13">
        <v>406</v>
      </c>
      <c r="LM13">
        <v>44218</v>
      </c>
      <c r="LN13">
        <v>42666</v>
      </c>
      <c r="LO13">
        <v>359</v>
      </c>
      <c r="LP13">
        <v>44219</v>
      </c>
      <c r="LQ13">
        <v>42830</v>
      </c>
      <c r="LR13">
        <v>168</v>
      </c>
      <c r="LS13">
        <v>44220</v>
      </c>
      <c r="LT13">
        <v>43075</v>
      </c>
      <c r="LU13">
        <v>244</v>
      </c>
    </row>
    <row r="14" spans="1:333" s="10" customFormat="1">
      <c r="A14" t="str">
        <f t="shared" ca="1" si="0"/>
        <v>Ma 25</v>
      </c>
      <c r="B14" s="9">
        <f t="shared" ca="1" si="1"/>
        <v>44221</v>
      </c>
      <c r="C14" s="10">
        <f t="shared" ca="1" si="2"/>
        <v>43688</v>
      </c>
      <c r="D14" s="10">
        <f t="shared" ca="1" si="3"/>
        <v>604</v>
      </c>
      <c r="E14" s="10">
        <f t="shared" ca="1" si="4"/>
        <v>1</v>
      </c>
      <c r="F14" s="10">
        <f t="shared" ca="1" si="5"/>
        <v>603</v>
      </c>
      <c r="G14" s="10">
        <f ca="1">SUM(D14:D20)</f>
        <v>2700</v>
      </c>
      <c r="H14" s="10" t="str">
        <f ca="1">TEXT(G14/G7-1,"0 %")</f>
        <v>15 %</v>
      </c>
      <c r="K14" s="14"/>
      <c r="L14"/>
      <c r="M14" s="17">
        <v>44221</v>
      </c>
      <c r="N14" s="10">
        <v>43678</v>
      </c>
      <c r="O14" s="10">
        <v>603</v>
      </c>
      <c r="P14" s="17">
        <v>44221</v>
      </c>
      <c r="Q14" s="10">
        <v>43678</v>
      </c>
      <c r="R14" s="10">
        <v>603</v>
      </c>
      <c r="S14" s="17">
        <v>44092</v>
      </c>
      <c r="T14" s="10">
        <v>9105</v>
      </c>
      <c r="U14" s="10">
        <v>76</v>
      </c>
      <c r="V14" s="17">
        <v>44093</v>
      </c>
      <c r="W14" s="10">
        <v>9167</v>
      </c>
      <c r="X14" s="10">
        <v>61</v>
      </c>
      <c r="Y14" s="17">
        <v>44094</v>
      </c>
      <c r="Z14" s="10">
        <v>9241</v>
      </c>
      <c r="AA14" s="10">
        <v>73</v>
      </c>
      <c r="AB14" s="17">
        <v>44095</v>
      </c>
      <c r="AC14" s="10">
        <v>9359</v>
      </c>
      <c r="AD14" s="10">
        <v>119</v>
      </c>
      <c r="AE14" s="17">
        <v>44096</v>
      </c>
      <c r="AF14" s="10">
        <v>9464</v>
      </c>
      <c r="AG14" s="10">
        <v>105</v>
      </c>
      <c r="AH14" s="17">
        <v>44097</v>
      </c>
      <c r="AI14" s="10">
        <v>9583</v>
      </c>
      <c r="AJ14" s="10">
        <v>118</v>
      </c>
      <c r="AK14" s="17">
        <v>44098</v>
      </c>
      <c r="AL14" s="10">
        <v>9679</v>
      </c>
      <c r="AM14" s="10">
        <v>97</v>
      </c>
      <c r="AN14" s="17">
        <v>44099</v>
      </c>
      <c r="AO14" s="10">
        <v>9806</v>
      </c>
      <c r="AP14" s="10">
        <v>127</v>
      </c>
      <c r="AQ14" s="17">
        <v>44100</v>
      </c>
      <c r="AR14" s="10">
        <v>9879</v>
      </c>
      <c r="AS14" s="10">
        <v>73</v>
      </c>
      <c r="AT14" s="17">
        <v>44101</v>
      </c>
      <c r="AU14" s="10">
        <v>9950</v>
      </c>
      <c r="AV14" s="10">
        <v>71</v>
      </c>
      <c r="AW14" s="17">
        <v>44102</v>
      </c>
      <c r="AX14" s="10">
        <v>10072</v>
      </c>
      <c r="AY14" s="10">
        <v>122</v>
      </c>
      <c r="AZ14" s="17">
        <v>44103</v>
      </c>
      <c r="BA14" s="10">
        <v>10205</v>
      </c>
      <c r="BB14" s="10">
        <v>133</v>
      </c>
      <c r="BC14" s="17">
        <v>44104</v>
      </c>
      <c r="BD14" s="10">
        <v>10370</v>
      </c>
      <c r="BE14" s="10">
        <v>165</v>
      </c>
      <c r="BF14" s="17">
        <v>44105</v>
      </c>
      <c r="BG14" s="10">
        <v>10556</v>
      </c>
      <c r="BH14" s="10">
        <v>188</v>
      </c>
      <c r="BI14" s="17">
        <v>44106</v>
      </c>
      <c r="BJ14" s="10">
        <v>10746</v>
      </c>
      <c r="BK14" s="10">
        <v>188</v>
      </c>
      <c r="BL14" s="17">
        <v>44107</v>
      </c>
      <c r="BM14" s="10">
        <v>10916</v>
      </c>
      <c r="BN14" s="10">
        <v>169</v>
      </c>
      <c r="BO14" s="17">
        <v>44108</v>
      </c>
      <c r="BP14" s="10">
        <v>11062</v>
      </c>
      <c r="BQ14" s="10">
        <v>147</v>
      </c>
      <c r="BR14" s="17">
        <v>44109</v>
      </c>
      <c r="BS14" s="10">
        <v>11352</v>
      </c>
      <c r="BT14" s="10">
        <v>289</v>
      </c>
      <c r="BU14" s="17">
        <v>44111</v>
      </c>
      <c r="BV14" s="10">
        <v>11957</v>
      </c>
      <c r="BW14" s="10">
        <v>306</v>
      </c>
      <c r="BX14" s="17">
        <v>44112</v>
      </c>
      <c r="BY14" s="10">
        <v>12219</v>
      </c>
      <c r="BZ14" s="10">
        <v>260</v>
      </c>
      <c r="CA14" s="17">
        <v>44113</v>
      </c>
      <c r="CB14" s="10">
        <v>12448</v>
      </c>
      <c r="CC14" s="10">
        <v>226</v>
      </c>
      <c r="CD14" s="17">
        <v>44114</v>
      </c>
      <c r="CE14" s="10">
        <v>12564</v>
      </c>
      <c r="CF14" s="10">
        <v>109</v>
      </c>
      <c r="CG14" s="17">
        <v>44115</v>
      </c>
      <c r="CH14" s="10">
        <v>12695</v>
      </c>
      <c r="CI14" s="10">
        <v>130</v>
      </c>
      <c r="CJ14" s="17">
        <v>44116</v>
      </c>
      <c r="CK14" s="10">
        <v>12949</v>
      </c>
      <c r="CL14" s="10">
        <v>254</v>
      </c>
      <c r="CM14" s="17">
        <v>44117</v>
      </c>
      <c r="CN14" s="10">
        <v>13146</v>
      </c>
      <c r="CO14" s="10">
        <v>197</v>
      </c>
      <c r="CP14" s="17">
        <v>44118</v>
      </c>
      <c r="CQ14" s="10">
        <v>13346</v>
      </c>
      <c r="CR14" s="10">
        <v>200</v>
      </c>
      <c r="CS14" s="17">
        <v>44119</v>
      </c>
      <c r="CT14" s="10">
        <v>13539</v>
      </c>
      <c r="CU14" s="10">
        <v>191</v>
      </c>
      <c r="CV14" s="17">
        <v>44120</v>
      </c>
      <c r="CW14" s="10">
        <v>13733</v>
      </c>
      <c r="CX14" s="10">
        <v>193</v>
      </c>
      <c r="CY14" s="17">
        <v>44122</v>
      </c>
      <c r="CZ14" s="10">
        <v>13959</v>
      </c>
      <c r="DA14" s="10">
        <v>128</v>
      </c>
      <c r="DB14" s="17">
        <v>44123</v>
      </c>
      <c r="DC14" s="10">
        <v>14203</v>
      </c>
      <c r="DD14" s="10">
        <v>244</v>
      </c>
      <c r="DE14" s="17">
        <v>44124</v>
      </c>
      <c r="DF14" s="10">
        <v>14365</v>
      </c>
      <c r="DG14" s="10">
        <v>162</v>
      </c>
      <c r="DH14" s="17">
        <v>44125</v>
      </c>
      <c r="DI14" s="10">
        <v>14555</v>
      </c>
      <c r="DJ14" s="10">
        <v>189</v>
      </c>
      <c r="DK14" s="17">
        <v>44126</v>
      </c>
      <c r="DL14" s="10">
        <v>14775</v>
      </c>
      <c r="DM14" s="10">
        <v>216</v>
      </c>
      <c r="DN14" s="17">
        <v>44127</v>
      </c>
      <c r="DO14" s="10">
        <v>14968</v>
      </c>
      <c r="DP14" s="10">
        <v>192</v>
      </c>
      <c r="DQ14" s="17">
        <v>44128</v>
      </c>
      <c r="DR14" s="10">
        <v>15077</v>
      </c>
      <c r="DS14" s="10">
        <v>108</v>
      </c>
      <c r="DT14" s="17">
        <v>44129</v>
      </c>
      <c r="DU14" s="10">
        <v>15201</v>
      </c>
      <c r="DV14" s="10">
        <v>123</v>
      </c>
      <c r="DW14" s="17">
        <v>44130</v>
      </c>
      <c r="DX14" s="10">
        <v>15457</v>
      </c>
      <c r="DY14" s="10">
        <v>256</v>
      </c>
      <c r="DZ14" s="17">
        <v>44131</v>
      </c>
      <c r="EA14" s="10">
        <v>15687</v>
      </c>
      <c r="EB14" s="10">
        <v>230</v>
      </c>
      <c r="EC14" s="17">
        <v>44132</v>
      </c>
      <c r="ED14" s="10">
        <v>15919</v>
      </c>
      <c r="EE14" s="10">
        <v>240</v>
      </c>
      <c r="EF14" s="17">
        <v>44133</v>
      </c>
      <c r="EG14" s="10">
        <v>16156</v>
      </c>
      <c r="EH14" s="10">
        <v>237</v>
      </c>
      <c r="EI14" s="17">
        <v>44134</v>
      </c>
      <c r="EJ14" s="10">
        <v>16375</v>
      </c>
      <c r="EK14" s="10">
        <v>219</v>
      </c>
      <c r="EL14" s="17">
        <v>44135</v>
      </c>
      <c r="EM14" s="10">
        <v>16496</v>
      </c>
      <c r="EN14" s="10">
        <v>121</v>
      </c>
      <c r="EO14" s="17">
        <v>44136</v>
      </c>
      <c r="EP14" s="10">
        <v>16646</v>
      </c>
      <c r="EQ14" s="10">
        <v>150</v>
      </c>
      <c r="ER14" s="17">
        <v>44137</v>
      </c>
      <c r="ES14" s="10">
        <v>16928</v>
      </c>
      <c r="ET14" s="10">
        <v>281</v>
      </c>
      <c r="EU14" s="17">
        <v>44138</v>
      </c>
      <c r="EV14" s="10">
        <v>17169</v>
      </c>
      <c r="EW14" s="10">
        <v>241</v>
      </c>
      <c r="EX14" s="17">
        <v>44139</v>
      </c>
      <c r="EY14" s="10">
        <v>17379</v>
      </c>
      <c r="EZ14" s="10">
        <v>210</v>
      </c>
      <c r="FA14" s="17">
        <v>44140</v>
      </c>
      <c r="FB14" s="10">
        <v>17599</v>
      </c>
      <c r="FC14" s="10">
        <v>221</v>
      </c>
      <c r="FD14" s="17">
        <v>44141</v>
      </c>
      <c r="FE14" s="10">
        <v>17741</v>
      </c>
      <c r="FF14" s="10">
        <v>195</v>
      </c>
      <c r="FG14" s="17">
        <v>44142</v>
      </c>
      <c r="FH14" s="10">
        <v>17929</v>
      </c>
      <c r="FI14" s="10">
        <v>128</v>
      </c>
      <c r="FJ14" s="17">
        <v>44143</v>
      </c>
      <c r="FK14" s="10">
        <v>18073</v>
      </c>
      <c r="FL14" s="10">
        <v>133</v>
      </c>
      <c r="FM14" s="17">
        <v>44144</v>
      </c>
      <c r="FN14" s="10">
        <v>18349</v>
      </c>
      <c r="FO14" s="10">
        <v>276</v>
      </c>
      <c r="FP14" s="17">
        <v>44145</v>
      </c>
      <c r="FQ14" s="10">
        <v>18554</v>
      </c>
      <c r="FR14" s="10">
        <v>205</v>
      </c>
      <c r="FS14" s="17">
        <v>44146</v>
      </c>
      <c r="FT14" s="10">
        <v>18866</v>
      </c>
      <c r="FU14" s="10">
        <v>292</v>
      </c>
      <c r="FV14" s="17">
        <v>44147</v>
      </c>
      <c r="FW14" s="10">
        <v>19150</v>
      </c>
      <c r="FX14" s="10">
        <v>282</v>
      </c>
      <c r="FY14" s="17">
        <v>44148</v>
      </c>
      <c r="FZ14" s="10">
        <v>19418</v>
      </c>
      <c r="GA14" s="10">
        <v>264</v>
      </c>
      <c r="GB14" s="17">
        <v>44149</v>
      </c>
      <c r="GC14" s="10">
        <v>19563</v>
      </c>
      <c r="GD14" s="10">
        <v>145</v>
      </c>
      <c r="GE14" s="17">
        <v>44150</v>
      </c>
      <c r="GF14" s="10">
        <v>19746</v>
      </c>
      <c r="GG14" s="10">
        <v>182</v>
      </c>
      <c r="GH14" s="17">
        <v>44151</v>
      </c>
      <c r="GI14" s="10">
        <v>20138</v>
      </c>
      <c r="GJ14" s="10">
        <v>392</v>
      </c>
      <c r="GK14" s="17">
        <v>44152</v>
      </c>
      <c r="GL14" s="10">
        <v>20530</v>
      </c>
      <c r="GM14" s="10">
        <v>392</v>
      </c>
      <c r="GN14" s="17">
        <v>44153</v>
      </c>
      <c r="GO14" s="10">
        <v>20902</v>
      </c>
      <c r="GP14" s="10">
        <v>372</v>
      </c>
      <c r="GQ14" s="17">
        <v>44154</v>
      </c>
      <c r="GR14" s="10">
        <v>21383</v>
      </c>
      <c r="GS14" s="10">
        <v>480</v>
      </c>
      <c r="GT14" s="17">
        <v>44155</v>
      </c>
      <c r="GU14" s="10">
        <v>21807</v>
      </c>
      <c r="GV14" s="10">
        <v>429</v>
      </c>
      <c r="GW14" s="17">
        <v>44156</v>
      </c>
      <c r="GX14" s="10">
        <v>22080</v>
      </c>
      <c r="GY14" s="10">
        <v>268</v>
      </c>
      <c r="GZ14" s="17">
        <v>44157</v>
      </c>
      <c r="HA14" s="10">
        <v>22349</v>
      </c>
      <c r="HB14" s="10">
        <v>267</v>
      </c>
      <c r="HC14" s="17">
        <v>44158</v>
      </c>
      <c r="HD14" s="10">
        <v>22853</v>
      </c>
      <c r="HE14" s="10">
        <v>505</v>
      </c>
      <c r="HF14" s="17">
        <v>44159</v>
      </c>
      <c r="HG14" s="10">
        <v>23320</v>
      </c>
      <c r="HH14" s="10">
        <v>468</v>
      </c>
      <c r="HI14" s="17">
        <v>44160</v>
      </c>
      <c r="HJ14" s="10">
        <v>23934</v>
      </c>
      <c r="HK14" s="10">
        <v>613</v>
      </c>
      <c r="HL14" s="17">
        <v>44161</v>
      </c>
      <c r="HM14" s="10">
        <v>24442</v>
      </c>
      <c r="HN14" s="10">
        <v>510</v>
      </c>
      <c r="HO14" s="17">
        <v>44162</v>
      </c>
      <c r="HP14" s="10">
        <v>24900</v>
      </c>
      <c r="HQ14" s="10">
        <v>455</v>
      </c>
      <c r="HR14" s="17">
        <v>44163</v>
      </c>
      <c r="HS14" s="10">
        <v>25183</v>
      </c>
      <c r="HT14" s="10">
        <v>284</v>
      </c>
      <c r="HU14" s="17">
        <v>44164</v>
      </c>
      <c r="HV14" s="10">
        <v>25478</v>
      </c>
      <c r="HW14" s="10">
        <v>293</v>
      </c>
      <c r="HX14" s="17">
        <v>44165</v>
      </c>
      <c r="HY14" s="10">
        <v>26073</v>
      </c>
      <c r="HZ14" s="10">
        <v>596</v>
      </c>
      <c r="IA14" s="17">
        <v>44166</v>
      </c>
      <c r="IB14" s="10">
        <v>26512</v>
      </c>
      <c r="IC14" s="10">
        <v>440</v>
      </c>
      <c r="ID14" s="17">
        <v>44167</v>
      </c>
      <c r="IE14" s="10">
        <v>27008</v>
      </c>
      <c r="IF14" s="10">
        <v>494</v>
      </c>
      <c r="IG14" s="17">
        <v>44168</v>
      </c>
      <c r="IH14" s="10">
        <v>27484</v>
      </c>
      <c r="II14" s="10">
        <v>477</v>
      </c>
      <c r="IJ14" s="17">
        <v>44169</v>
      </c>
      <c r="IK14" s="10">
        <v>27956</v>
      </c>
      <c r="IL14" s="10">
        <v>471</v>
      </c>
      <c r="IM14" s="17">
        <v>44170</v>
      </c>
      <c r="IN14" s="10">
        <v>28206</v>
      </c>
      <c r="IO14" s="10">
        <v>250</v>
      </c>
      <c r="IP14" s="10">
        <v>44171</v>
      </c>
      <c r="IQ14" s="10">
        <v>28488</v>
      </c>
      <c r="IR14" s="10">
        <v>282</v>
      </c>
      <c r="IS14" s="10">
        <v>44172</v>
      </c>
      <c r="IT14" s="10">
        <v>29075</v>
      </c>
      <c r="IU14" s="10">
        <v>587</v>
      </c>
      <c r="IV14" s="10">
        <v>44173</v>
      </c>
      <c r="IW14" s="10">
        <v>29551</v>
      </c>
      <c r="IX14" s="10">
        <v>476</v>
      </c>
      <c r="IY14" s="10">
        <v>44174</v>
      </c>
      <c r="IZ14" s="10">
        <v>30016</v>
      </c>
      <c r="JA14" s="10">
        <v>462</v>
      </c>
      <c r="JB14" s="10">
        <v>44178</v>
      </c>
      <c r="JC14" s="10">
        <v>31403</v>
      </c>
      <c r="JD14" s="10">
        <v>276</v>
      </c>
      <c r="JE14" s="10">
        <v>44182</v>
      </c>
      <c r="JF14" s="10">
        <v>32890</v>
      </c>
      <c r="JG14" s="10">
        <v>317</v>
      </c>
      <c r="JH14" s="10">
        <v>44183</v>
      </c>
      <c r="JI14" s="10">
        <v>33327</v>
      </c>
      <c r="JJ14" s="10">
        <v>395</v>
      </c>
      <c r="JK14" s="10">
        <v>44184</v>
      </c>
      <c r="JL14" s="10">
        <v>33509</v>
      </c>
      <c r="JM14" s="10">
        <v>190</v>
      </c>
      <c r="JN14" s="10">
        <v>44185</v>
      </c>
      <c r="JO14" s="10">
        <v>33745</v>
      </c>
      <c r="JP14" s="10">
        <v>244</v>
      </c>
      <c r="JQ14" s="10">
        <v>44187</v>
      </c>
      <c r="JR14" s="10">
        <v>34455</v>
      </c>
      <c r="JS14" s="10">
        <v>331</v>
      </c>
      <c r="JT14" s="10">
        <v>44187</v>
      </c>
      <c r="JU14" s="10">
        <v>34456</v>
      </c>
      <c r="JV14" s="10">
        <v>331</v>
      </c>
      <c r="JW14" s="10">
        <v>44189</v>
      </c>
      <c r="JX14" s="10">
        <v>34867</v>
      </c>
      <c r="JY14" s="10">
        <v>138</v>
      </c>
      <c r="JZ14" s="10">
        <v>44201</v>
      </c>
      <c r="KA14" s="10">
        <v>37806</v>
      </c>
      <c r="KB14" s="10">
        <v>260</v>
      </c>
      <c r="KC14" s="10">
        <v>44201</v>
      </c>
      <c r="KD14" s="10">
        <v>37814</v>
      </c>
      <c r="KE14" s="10">
        <v>260</v>
      </c>
      <c r="KF14" s="10">
        <v>44202</v>
      </c>
      <c r="KG14" s="10">
        <v>38015</v>
      </c>
      <c r="KH14" s="10">
        <v>209</v>
      </c>
      <c r="KI14" s="10">
        <v>44204</v>
      </c>
      <c r="KJ14" s="10">
        <v>38596</v>
      </c>
      <c r="KK14" s="10">
        <v>251</v>
      </c>
      <c r="KL14" s="10">
        <v>44205</v>
      </c>
      <c r="KM14" s="10">
        <v>38795</v>
      </c>
      <c r="KN14" s="10">
        <v>193</v>
      </c>
      <c r="KO14" s="10">
        <v>44209</v>
      </c>
      <c r="KP14" s="10">
        <v>39851</v>
      </c>
      <c r="KQ14" s="10">
        <v>257</v>
      </c>
      <c r="KR14" s="10">
        <v>44210</v>
      </c>
      <c r="KS14" s="10">
        <v>40104</v>
      </c>
      <c r="KT14" s="10">
        <v>249</v>
      </c>
      <c r="KU14" s="10">
        <v>44211</v>
      </c>
      <c r="KV14" s="10">
        <v>40370</v>
      </c>
      <c r="KW14" s="10">
        <v>266</v>
      </c>
      <c r="KX14" s="10">
        <v>44213</v>
      </c>
      <c r="KY14" s="10">
        <v>40734</v>
      </c>
      <c r="KZ14" s="10">
        <v>195</v>
      </c>
      <c r="LA14" s="10">
        <v>44214</v>
      </c>
      <c r="LB14" s="10">
        <v>41188</v>
      </c>
      <c r="LC14" s="10">
        <v>447</v>
      </c>
      <c r="LD14" s="10">
        <v>44215</v>
      </c>
      <c r="LE14" s="10">
        <v>41532</v>
      </c>
      <c r="LF14" s="10">
        <v>344</v>
      </c>
      <c r="LG14" s="10">
        <v>44217</v>
      </c>
      <c r="LH14" s="10">
        <v>42280</v>
      </c>
      <c r="LI14" s="10">
        <v>375</v>
      </c>
      <c r="LJ14" s="10">
        <v>44217</v>
      </c>
      <c r="LK14" s="10">
        <v>42281</v>
      </c>
      <c r="LL14" s="10">
        <v>376</v>
      </c>
      <c r="LM14" s="10">
        <v>44219</v>
      </c>
      <c r="LN14" s="10">
        <v>42834</v>
      </c>
      <c r="LO14" s="10">
        <v>168</v>
      </c>
      <c r="LP14" s="10">
        <v>44220</v>
      </c>
      <c r="LQ14" s="10">
        <v>43074</v>
      </c>
      <c r="LR14" s="10">
        <v>244</v>
      </c>
      <c r="LS14" s="10">
        <v>44221</v>
      </c>
      <c r="LT14" s="10">
        <v>43678</v>
      </c>
      <c r="LU14" s="10">
        <v>603</v>
      </c>
    </row>
    <row r="15" spans="1:333">
      <c r="A15" t="str">
        <f t="shared" ca="1" si="0"/>
        <v>26.1</v>
      </c>
      <c r="B15" s="4">
        <f t="shared" ca="1" si="1"/>
        <v>44222</v>
      </c>
      <c r="C15" s="11">
        <f t="shared" ca="1" si="2"/>
        <v>44087</v>
      </c>
      <c r="D15">
        <f t="shared" ca="1" si="3"/>
        <v>399</v>
      </c>
      <c r="E15" s="11">
        <f t="shared" ca="1" si="4"/>
        <v>1</v>
      </c>
      <c r="F15" s="11">
        <f t="shared" ca="1" si="5"/>
        <v>398</v>
      </c>
      <c r="K15" s="3"/>
      <c r="M15" s="16">
        <v>44222</v>
      </c>
      <c r="N15">
        <v>44076</v>
      </c>
      <c r="O15">
        <v>398</v>
      </c>
      <c r="P15" s="16">
        <v>44222</v>
      </c>
      <c r="Q15">
        <v>44076</v>
      </c>
      <c r="R15">
        <v>398</v>
      </c>
      <c r="S15" s="16">
        <v>44093</v>
      </c>
      <c r="T15">
        <v>9166</v>
      </c>
      <c r="U15">
        <v>61</v>
      </c>
      <c r="V15" s="16">
        <v>44094</v>
      </c>
      <c r="W15">
        <v>9240</v>
      </c>
      <c r="X15">
        <v>73</v>
      </c>
      <c r="Y15" s="16">
        <v>44095</v>
      </c>
      <c r="Z15">
        <v>9360</v>
      </c>
      <c r="AA15">
        <v>119</v>
      </c>
      <c r="AB15" s="16">
        <v>44096</v>
      </c>
      <c r="AC15">
        <v>9464</v>
      </c>
      <c r="AD15">
        <v>105</v>
      </c>
      <c r="AE15" s="16">
        <v>44097</v>
      </c>
      <c r="AF15">
        <v>9582</v>
      </c>
      <c r="AG15">
        <v>118</v>
      </c>
      <c r="AH15" s="16">
        <v>44098</v>
      </c>
      <c r="AI15">
        <v>9680</v>
      </c>
      <c r="AJ15">
        <v>97</v>
      </c>
      <c r="AK15" s="16">
        <v>44099</v>
      </c>
      <c r="AL15">
        <v>9806</v>
      </c>
      <c r="AM15">
        <v>127</v>
      </c>
      <c r="AN15" s="16">
        <v>44100</v>
      </c>
      <c r="AO15">
        <v>9880</v>
      </c>
      <c r="AP15">
        <v>74</v>
      </c>
      <c r="AQ15" s="16">
        <v>44101</v>
      </c>
      <c r="AR15">
        <v>9950</v>
      </c>
      <c r="AS15">
        <v>71</v>
      </c>
      <c r="AT15" s="16">
        <v>44102</v>
      </c>
      <c r="AU15">
        <v>10072</v>
      </c>
      <c r="AV15">
        <v>122</v>
      </c>
      <c r="AW15" s="16">
        <v>44103</v>
      </c>
      <c r="AX15">
        <v>10205</v>
      </c>
      <c r="AY15">
        <v>133</v>
      </c>
      <c r="AZ15" s="16">
        <v>44104</v>
      </c>
      <c r="BA15">
        <v>10370</v>
      </c>
      <c r="BB15">
        <v>165</v>
      </c>
      <c r="BC15" s="16">
        <v>44105</v>
      </c>
      <c r="BD15">
        <v>10558</v>
      </c>
      <c r="BE15">
        <v>188</v>
      </c>
      <c r="BF15" s="16">
        <v>44106</v>
      </c>
      <c r="BG15">
        <v>10744</v>
      </c>
      <c r="BH15">
        <v>188</v>
      </c>
      <c r="BI15" s="16">
        <v>44107</v>
      </c>
      <c r="BJ15">
        <v>10915</v>
      </c>
      <c r="BK15">
        <v>169</v>
      </c>
      <c r="BL15" s="16">
        <v>44108</v>
      </c>
      <c r="BM15">
        <v>11063</v>
      </c>
      <c r="BN15">
        <v>147</v>
      </c>
      <c r="BO15" s="16">
        <v>44109</v>
      </c>
      <c r="BP15">
        <v>11351</v>
      </c>
      <c r="BQ15">
        <v>289</v>
      </c>
      <c r="BR15" s="16">
        <v>44110</v>
      </c>
      <c r="BS15">
        <v>11651</v>
      </c>
      <c r="BT15">
        <v>299</v>
      </c>
      <c r="BU15" s="16">
        <v>44112</v>
      </c>
      <c r="BV15">
        <v>12217</v>
      </c>
      <c r="BW15">
        <v>260</v>
      </c>
      <c r="BX15" s="16">
        <v>44113</v>
      </c>
      <c r="BY15">
        <v>12445</v>
      </c>
      <c r="BZ15">
        <v>226</v>
      </c>
      <c r="CA15" s="16">
        <v>44114</v>
      </c>
      <c r="CB15">
        <v>12557</v>
      </c>
      <c r="CC15">
        <v>109</v>
      </c>
      <c r="CD15" s="16">
        <v>44115</v>
      </c>
      <c r="CE15">
        <v>12694</v>
      </c>
      <c r="CF15">
        <v>130</v>
      </c>
      <c r="CG15" s="16">
        <v>44116</v>
      </c>
      <c r="CH15">
        <v>12949</v>
      </c>
      <c r="CI15">
        <v>254</v>
      </c>
      <c r="CJ15" s="16">
        <v>44117</v>
      </c>
      <c r="CK15">
        <v>13146</v>
      </c>
      <c r="CL15">
        <v>197</v>
      </c>
      <c r="CM15" s="16">
        <v>44118</v>
      </c>
      <c r="CN15">
        <v>13346</v>
      </c>
      <c r="CO15">
        <v>200</v>
      </c>
      <c r="CP15" s="16">
        <v>44119</v>
      </c>
      <c r="CQ15">
        <v>13536</v>
      </c>
      <c r="CR15">
        <v>190</v>
      </c>
      <c r="CS15" s="16">
        <v>44120</v>
      </c>
      <c r="CT15">
        <v>13732</v>
      </c>
      <c r="CU15">
        <v>193</v>
      </c>
      <c r="CV15" s="16">
        <v>44121</v>
      </c>
      <c r="CW15">
        <v>13833</v>
      </c>
      <c r="CX15">
        <v>100</v>
      </c>
      <c r="CY15" s="16">
        <v>44123</v>
      </c>
      <c r="CZ15">
        <v>14203</v>
      </c>
      <c r="DA15">
        <v>244</v>
      </c>
      <c r="DB15" s="16">
        <v>44124</v>
      </c>
      <c r="DC15">
        <v>14365</v>
      </c>
      <c r="DD15">
        <v>162</v>
      </c>
      <c r="DE15" s="16">
        <v>44125</v>
      </c>
      <c r="DF15">
        <v>14554</v>
      </c>
      <c r="DG15">
        <v>189</v>
      </c>
      <c r="DH15" s="16">
        <v>44126</v>
      </c>
      <c r="DI15">
        <v>14770</v>
      </c>
      <c r="DJ15">
        <v>215</v>
      </c>
      <c r="DK15" s="16">
        <v>44127</v>
      </c>
      <c r="DL15">
        <v>14967</v>
      </c>
      <c r="DM15">
        <v>192</v>
      </c>
      <c r="DN15" s="16">
        <v>44128</v>
      </c>
      <c r="DO15">
        <v>15076</v>
      </c>
      <c r="DP15">
        <v>108</v>
      </c>
      <c r="DQ15" s="16">
        <v>44129</v>
      </c>
      <c r="DR15">
        <v>15199</v>
      </c>
      <c r="DS15">
        <v>122</v>
      </c>
      <c r="DT15" s="16">
        <v>44130</v>
      </c>
      <c r="DU15">
        <v>15457</v>
      </c>
      <c r="DV15">
        <v>256</v>
      </c>
      <c r="DW15" s="16">
        <v>44131</v>
      </c>
      <c r="DX15">
        <v>15687</v>
      </c>
      <c r="DY15">
        <v>230</v>
      </c>
      <c r="DZ15" s="16">
        <v>44132</v>
      </c>
      <c r="EA15">
        <v>15927</v>
      </c>
      <c r="EB15">
        <v>240</v>
      </c>
      <c r="EC15" s="16">
        <v>44133</v>
      </c>
      <c r="ED15">
        <v>16156</v>
      </c>
      <c r="EE15">
        <v>237</v>
      </c>
      <c r="EF15" s="16">
        <v>44134</v>
      </c>
      <c r="EG15">
        <v>16375</v>
      </c>
      <c r="EH15">
        <v>219</v>
      </c>
      <c r="EI15" s="16">
        <v>44135</v>
      </c>
      <c r="EJ15">
        <v>16496</v>
      </c>
      <c r="EK15">
        <v>121</v>
      </c>
      <c r="EL15" s="16">
        <v>44136</v>
      </c>
      <c r="EM15">
        <v>16646</v>
      </c>
      <c r="EN15">
        <v>150</v>
      </c>
      <c r="EO15" s="16">
        <v>44137</v>
      </c>
      <c r="EP15">
        <v>16927</v>
      </c>
      <c r="EQ15">
        <v>281</v>
      </c>
      <c r="ER15" s="16">
        <v>44138</v>
      </c>
      <c r="ES15">
        <v>17169</v>
      </c>
      <c r="ET15">
        <v>241</v>
      </c>
      <c r="EU15" s="16">
        <v>44139</v>
      </c>
      <c r="EV15">
        <v>17379</v>
      </c>
      <c r="EW15">
        <v>210</v>
      </c>
      <c r="EX15" s="16">
        <v>44140</v>
      </c>
      <c r="EY15">
        <v>17600</v>
      </c>
      <c r="EZ15">
        <v>221</v>
      </c>
      <c r="FA15" s="16">
        <v>44141</v>
      </c>
      <c r="FB15">
        <v>17793</v>
      </c>
      <c r="FC15">
        <v>194</v>
      </c>
      <c r="FD15" s="16">
        <v>44142</v>
      </c>
      <c r="FE15">
        <v>17869</v>
      </c>
      <c r="FF15">
        <v>128</v>
      </c>
      <c r="FG15" s="16">
        <v>44143</v>
      </c>
      <c r="FH15">
        <v>18062</v>
      </c>
      <c r="FI15">
        <v>133</v>
      </c>
      <c r="FJ15" s="16">
        <v>44144</v>
      </c>
      <c r="FK15">
        <v>18349</v>
      </c>
      <c r="FL15">
        <v>276</v>
      </c>
      <c r="FM15" s="16">
        <v>44145</v>
      </c>
      <c r="FN15">
        <v>18554</v>
      </c>
      <c r="FO15">
        <v>205</v>
      </c>
      <c r="FP15" s="16">
        <v>44146</v>
      </c>
      <c r="FQ15">
        <v>18846</v>
      </c>
      <c r="FR15">
        <v>292</v>
      </c>
      <c r="FS15" s="16">
        <v>44147</v>
      </c>
      <c r="FT15">
        <v>19148</v>
      </c>
      <c r="FU15">
        <v>282</v>
      </c>
      <c r="FV15" s="16">
        <v>44148</v>
      </c>
      <c r="FW15">
        <v>19414</v>
      </c>
      <c r="FX15">
        <v>264</v>
      </c>
      <c r="FY15" s="16">
        <v>44149</v>
      </c>
      <c r="FZ15">
        <v>19563</v>
      </c>
      <c r="GA15">
        <v>145</v>
      </c>
      <c r="GB15" s="16">
        <v>44150</v>
      </c>
      <c r="GC15">
        <v>19745</v>
      </c>
      <c r="GD15">
        <v>182</v>
      </c>
      <c r="GE15" s="16">
        <v>44151</v>
      </c>
      <c r="GF15">
        <v>20138</v>
      </c>
      <c r="GG15">
        <v>392</v>
      </c>
      <c r="GH15" s="16">
        <v>44152</v>
      </c>
      <c r="GI15">
        <v>20530</v>
      </c>
      <c r="GJ15">
        <v>392</v>
      </c>
      <c r="GK15" s="16">
        <v>44153</v>
      </c>
      <c r="GL15">
        <v>20902</v>
      </c>
      <c r="GM15">
        <v>372</v>
      </c>
      <c r="GN15" s="16">
        <v>44154</v>
      </c>
      <c r="GO15">
        <v>21382</v>
      </c>
      <c r="GP15">
        <v>480</v>
      </c>
      <c r="GQ15" s="16">
        <v>44155</v>
      </c>
      <c r="GR15">
        <v>21815</v>
      </c>
      <c r="GS15">
        <v>432</v>
      </c>
      <c r="GT15" s="16">
        <v>44156</v>
      </c>
      <c r="GU15">
        <v>22075</v>
      </c>
      <c r="GV15">
        <v>268</v>
      </c>
      <c r="GW15" s="16">
        <v>44157</v>
      </c>
      <c r="GX15">
        <v>22347</v>
      </c>
      <c r="GY15">
        <v>267</v>
      </c>
      <c r="GZ15" s="16">
        <v>44158</v>
      </c>
      <c r="HA15">
        <v>22854</v>
      </c>
      <c r="HB15">
        <v>505</v>
      </c>
      <c r="HC15" s="16">
        <v>44159</v>
      </c>
      <c r="HD15">
        <v>23321</v>
      </c>
      <c r="HE15">
        <v>468</v>
      </c>
      <c r="HF15" s="16">
        <v>44160</v>
      </c>
      <c r="HG15">
        <v>23933</v>
      </c>
      <c r="HH15">
        <v>613</v>
      </c>
      <c r="HI15" s="16">
        <v>44161</v>
      </c>
      <c r="HJ15">
        <v>24444</v>
      </c>
      <c r="HK15">
        <v>510</v>
      </c>
      <c r="HL15" s="16">
        <v>44162</v>
      </c>
      <c r="HM15">
        <v>24896</v>
      </c>
      <c r="HN15">
        <v>454</v>
      </c>
      <c r="HO15" s="16">
        <v>44163</v>
      </c>
      <c r="HP15">
        <v>25184</v>
      </c>
      <c r="HQ15">
        <v>284</v>
      </c>
      <c r="HR15" s="16">
        <v>44164</v>
      </c>
      <c r="HS15">
        <v>25477</v>
      </c>
      <c r="HT15">
        <v>294</v>
      </c>
      <c r="HU15" s="16">
        <v>44165</v>
      </c>
      <c r="HV15">
        <v>26074</v>
      </c>
      <c r="HW15">
        <v>596</v>
      </c>
      <c r="HX15" s="16">
        <v>44166</v>
      </c>
      <c r="HY15">
        <v>26513</v>
      </c>
      <c r="HZ15">
        <v>440</v>
      </c>
      <c r="IA15" s="16">
        <v>44167</v>
      </c>
      <c r="IB15">
        <v>27006</v>
      </c>
      <c r="IC15">
        <v>494</v>
      </c>
      <c r="ID15" s="16">
        <v>44168</v>
      </c>
      <c r="IE15">
        <v>27485</v>
      </c>
      <c r="IF15">
        <v>477</v>
      </c>
      <c r="IG15" s="16">
        <v>44169</v>
      </c>
      <c r="IH15">
        <v>27956</v>
      </c>
      <c r="II15">
        <v>472</v>
      </c>
      <c r="IJ15" s="16">
        <v>44170</v>
      </c>
      <c r="IK15">
        <v>28206</v>
      </c>
      <c r="IL15">
        <v>250</v>
      </c>
      <c r="IM15" s="16">
        <v>44171</v>
      </c>
      <c r="IN15">
        <v>28488</v>
      </c>
      <c r="IO15">
        <v>282</v>
      </c>
      <c r="IP15">
        <v>44172</v>
      </c>
      <c r="IQ15">
        <v>29075</v>
      </c>
      <c r="IR15">
        <v>587</v>
      </c>
      <c r="IS15">
        <v>44173</v>
      </c>
      <c r="IT15">
        <v>29551</v>
      </c>
      <c r="IU15">
        <v>476</v>
      </c>
      <c r="IV15">
        <v>44174</v>
      </c>
      <c r="IW15">
        <v>30013</v>
      </c>
      <c r="IX15">
        <v>462</v>
      </c>
      <c r="IY15">
        <v>44175</v>
      </c>
      <c r="IZ15">
        <v>30424</v>
      </c>
      <c r="JA15">
        <v>408</v>
      </c>
      <c r="JB15">
        <v>44179</v>
      </c>
      <c r="JC15">
        <v>31866</v>
      </c>
      <c r="JD15">
        <v>463</v>
      </c>
      <c r="JE15">
        <v>44183</v>
      </c>
      <c r="JF15">
        <v>33285</v>
      </c>
      <c r="JG15">
        <v>395</v>
      </c>
      <c r="JH15">
        <v>44184</v>
      </c>
      <c r="JI15">
        <v>33517</v>
      </c>
      <c r="JJ15">
        <v>190</v>
      </c>
      <c r="JK15">
        <v>44185</v>
      </c>
      <c r="JL15">
        <v>33753</v>
      </c>
      <c r="JM15">
        <v>244</v>
      </c>
      <c r="JN15">
        <v>44186</v>
      </c>
      <c r="JO15">
        <v>34119</v>
      </c>
      <c r="JP15">
        <v>374</v>
      </c>
      <c r="JQ15">
        <v>44188</v>
      </c>
      <c r="JR15">
        <v>34733</v>
      </c>
      <c r="JS15">
        <v>278</v>
      </c>
      <c r="JT15">
        <v>44188</v>
      </c>
      <c r="JU15">
        <v>34734</v>
      </c>
      <c r="JV15">
        <v>278</v>
      </c>
      <c r="JW15">
        <v>44190</v>
      </c>
      <c r="JX15">
        <v>35024</v>
      </c>
      <c r="JY15">
        <v>157</v>
      </c>
      <c r="JZ15">
        <v>44202</v>
      </c>
      <c r="KA15">
        <v>38015</v>
      </c>
      <c r="KB15">
        <v>209</v>
      </c>
      <c r="KC15">
        <v>44202</v>
      </c>
      <c r="KD15">
        <v>38023</v>
      </c>
      <c r="KE15">
        <v>209</v>
      </c>
      <c r="KF15">
        <v>44203</v>
      </c>
      <c r="KG15">
        <v>38346</v>
      </c>
      <c r="KH15">
        <v>331</v>
      </c>
      <c r="KI15">
        <v>44205</v>
      </c>
      <c r="KJ15">
        <v>38789</v>
      </c>
      <c r="KK15">
        <v>193</v>
      </c>
      <c r="KL15">
        <v>44206</v>
      </c>
      <c r="KM15">
        <v>38980</v>
      </c>
      <c r="KN15">
        <v>185</v>
      </c>
      <c r="KO15">
        <v>44210</v>
      </c>
      <c r="KP15">
        <v>40100</v>
      </c>
      <c r="KQ15">
        <v>249</v>
      </c>
      <c r="KR15">
        <v>44211</v>
      </c>
      <c r="KS15">
        <v>40370</v>
      </c>
      <c r="KT15">
        <v>266</v>
      </c>
      <c r="KU15">
        <v>44212</v>
      </c>
      <c r="KV15">
        <v>40539</v>
      </c>
      <c r="KW15">
        <v>169</v>
      </c>
      <c r="KX15">
        <v>44214</v>
      </c>
      <c r="KY15">
        <v>41181</v>
      </c>
      <c r="KZ15">
        <v>447</v>
      </c>
      <c r="LA15">
        <v>44215</v>
      </c>
      <c r="LB15">
        <v>41532</v>
      </c>
      <c r="LC15">
        <v>344</v>
      </c>
      <c r="LD15">
        <v>44216</v>
      </c>
      <c r="LE15">
        <v>41938</v>
      </c>
      <c r="LF15">
        <v>406</v>
      </c>
      <c r="LG15">
        <v>44218</v>
      </c>
      <c r="LH15">
        <v>42640</v>
      </c>
      <c r="LI15">
        <v>360</v>
      </c>
      <c r="LJ15">
        <v>44218</v>
      </c>
      <c r="LK15">
        <v>42641</v>
      </c>
      <c r="LL15">
        <v>360</v>
      </c>
      <c r="LM15">
        <v>44220</v>
      </c>
      <c r="LN15">
        <v>43078</v>
      </c>
      <c r="LO15">
        <v>244</v>
      </c>
      <c r="LP15">
        <v>44221</v>
      </c>
      <c r="LQ15">
        <v>43677</v>
      </c>
      <c r="LR15">
        <v>603</v>
      </c>
      <c r="LS15">
        <v>44222</v>
      </c>
      <c r="LT15">
        <v>44076</v>
      </c>
      <c r="LU15">
        <v>398</v>
      </c>
    </row>
    <row r="16" spans="1:333">
      <c r="A16" t="str">
        <f t="shared" ca="1" si="0"/>
        <v>27.1</v>
      </c>
      <c r="B16" s="4">
        <f t="shared" ca="1" si="1"/>
        <v>44223</v>
      </c>
      <c r="C16" s="11">
        <f t="shared" ca="1" si="2"/>
        <v>44470</v>
      </c>
      <c r="D16">
        <f t="shared" ca="1" si="3"/>
        <v>383</v>
      </c>
      <c r="E16" s="11">
        <f t="shared" ca="1" si="4"/>
        <v>0</v>
      </c>
      <c r="F16" s="11">
        <f t="shared" ca="1" si="5"/>
        <v>383</v>
      </c>
      <c r="K16" s="3"/>
      <c r="M16" s="16">
        <v>44223</v>
      </c>
      <c r="N16">
        <v>44459</v>
      </c>
      <c r="O16">
        <v>383</v>
      </c>
      <c r="P16" s="16">
        <v>44223</v>
      </c>
      <c r="Q16">
        <v>44459</v>
      </c>
      <c r="R16">
        <v>383</v>
      </c>
      <c r="S16" s="16">
        <v>44094</v>
      </c>
      <c r="T16">
        <v>9239</v>
      </c>
      <c r="U16">
        <v>73</v>
      </c>
      <c r="V16" s="16">
        <v>44095</v>
      </c>
      <c r="W16">
        <v>9359</v>
      </c>
      <c r="X16">
        <v>119</v>
      </c>
      <c r="Y16" s="16">
        <v>44096</v>
      </c>
      <c r="Z16">
        <v>9465</v>
      </c>
      <c r="AA16">
        <v>105</v>
      </c>
      <c r="AB16" s="16">
        <v>44097</v>
      </c>
      <c r="AC16">
        <v>9582</v>
      </c>
      <c r="AD16">
        <v>118</v>
      </c>
      <c r="AE16" s="16">
        <v>44098</v>
      </c>
      <c r="AF16">
        <v>9680</v>
      </c>
      <c r="AG16">
        <v>98</v>
      </c>
      <c r="AH16" s="16">
        <v>44099</v>
      </c>
      <c r="AI16">
        <v>9807</v>
      </c>
      <c r="AJ16">
        <v>127</v>
      </c>
      <c r="AK16" s="16">
        <v>44100</v>
      </c>
      <c r="AL16">
        <v>9880</v>
      </c>
      <c r="AM16">
        <v>74</v>
      </c>
      <c r="AN16" s="16">
        <v>44101</v>
      </c>
      <c r="AO16">
        <v>9951</v>
      </c>
      <c r="AP16">
        <v>71</v>
      </c>
      <c r="AQ16" s="16">
        <v>44102</v>
      </c>
      <c r="AR16">
        <v>10072</v>
      </c>
      <c r="AS16">
        <v>122</v>
      </c>
      <c r="AT16" s="16">
        <v>44103</v>
      </c>
      <c r="AU16">
        <v>10206</v>
      </c>
      <c r="AV16">
        <v>134</v>
      </c>
      <c r="AW16" s="16">
        <v>44104</v>
      </c>
      <c r="AX16">
        <v>10370</v>
      </c>
      <c r="AY16">
        <v>165</v>
      </c>
      <c r="AZ16" s="16">
        <v>44105</v>
      </c>
      <c r="BA16">
        <v>10558</v>
      </c>
      <c r="BB16">
        <v>188</v>
      </c>
      <c r="BC16" s="16">
        <v>44106</v>
      </c>
      <c r="BD16">
        <v>10745</v>
      </c>
      <c r="BE16">
        <v>187</v>
      </c>
      <c r="BF16" s="16">
        <v>44107</v>
      </c>
      <c r="BG16">
        <v>10913</v>
      </c>
      <c r="BH16">
        <v>169</v>
      </c>
      <c r="BI16" s="16">
        <v>44108</v>
      </c>
      <c r="BJ16">
        <v>11062</v>
      </c>
      <c r="BK16">
        <v>147</v>
      </c>
      <c r="BL16" s="16">
        <v>44109</v>
      </c>
      <c r="BM16">
        <v>11352</v>
      </c>
      <c r="BN16">
        <v>289</v>
      </c>
      <c r="BO16" s="16">
        <v>44110</v>
      </c>
      <c r="BP16">
        <v>11650</v>
      </c>
      <c r="BQ16">
        <v>299</v>
      </c>
      <c r="BR16" s="16">
        <v>44111</v>
      </c>
      <c r="BS16">
        <v>11957</v>
      </c>
      <c r="BT16">
        <v>306</v>
      </c>
      <c r="BU16" s="16">
        <v>44113</v>
      </c>
      <c r="BV16">
        <v>12443</v>
      </c>
      <c r="BW16">
        <v>226</v>
      </c>
      <c r="BX16" s="16">
        <v>44114</v>
      </c>
      <c r="BY16">
        <v>12554</v>
      </c>
      <c r="BZ16">
        <v>109</v>
      </c>
      <c r="CA16" s="16">
        <v>44115</v>
      </c>
      <c r="CB16">
        <v>12687</v>
      </c>
      <c r="CC16">
        <v>130</v>
      </c>
      <c r="CD16" s="16">
        <v>44116</v>
      </c>
      <c r="CE16">
        <v>12948</v>
      </c>
      <c r="CF16">
        <v>254</v>
      </c>
      <c r="CG16" s="16">
        <v>44117</v>
      </c>
      <c r="CH16">
        <v>13146</v>
      </c>
      <c r="CI16">
        <v>197</v>
      </c>
      <c r="CJ16" s="16">
        <v>44118</v>
      </c>
      <c r="CK16">
        <v>13346</v>
      </c>
      <c r="CL16">
        <v>200</v>
      </c>
      <c r="CM16" s="16">
        <v>44119</v>
      </c>
      <c r="CN16">
        <v>13536</v>
      </c>
      <c r="CO16">
        <v>190</v>
      </c>
      <c r="CP16" s="16">
        <v>44120</v>
      </c>
      <c r="CQ16">
        <v>13728</v>
      </c>
      <c r="CR16">
        <v>192</v>
      </c>
      <c r="CS16" s="16">
        <v>44121</v>
      </c>
      <c r="CT16">
        <v>13832</v>
      </c>
      <c r="CU16">
        <v>100</v>
      </c>
      <c r="CV16" s="16">
        <v>44122</v>
      </c>
      <c r="CW16">
        <v>13961</v>
      </c>
      <c r="CX16">
        <v>128</v>
      </c>
      <c r="CY16" s="16">
        <v>44124</v>
      </c>
      <c r="CZ16">
        <v>14366</v>
      </c>
      <c r="DA16">
        <v>163</v>
      </c>
      <c r="DB16" s="16">
        <v>44125</v>
      </c>
      <c r="DC16">
        <v>14554</v>
      </c>
      <c r="DD16">
        <v>189</v>
      </c>
      <c r="DE16" s="16">
        <v>44126</v>
      </c>
      <c r="DF16">
        <v>14769</v>
      </c>
      <c r="DG16">
        <v>215</v>
      </c>
      <c r="DH16" s="16">
        <v>44127</v>
      </c>
      <c r="DI16">
        <v>14962</v>
      </c>
      <c r="DJ16">
        <v>192</v>
      </c>
      <c r="DK16" s="16">
        <v>44128</v>
      </c>
      <c r="DL16">
        <v>15075</v>
      </c>
      <c r="DM16">
        <v>108</v>
      </c>
      <c r="DN16" s="16">
        <v>44129</v>
      </c>
      <c r="DO16">
        <v>15198</v>
      </c>
      <c r="DP16">
        <v>122</v>
      </c>
      <c r="DQ16" s="16">
        <v>44130</v>
      </c>
      <c r="DR16">
        <v>15455</v>
      </c>
      <c r="DS16">
        <v>256</v>
      </c>
      <c r="DT16" s="16">
        <v>44131</v>
      </c>
      <c r="DU16">
        <v>15687</v>
      </c>
      <c r="DV16">
        <v>230</v>
      </c>
      <c r="DW16" s="16">
        <v>44132</v>
      </c>
      <c r="DX16">
        <v>15927</v>
      </c>
      <c r="DY16">
        <v>240</v>
      </c>
      <c r="DZ16" s="16">
        <v>44133</v>
      </c>
      <c r="EA16">
        <v>16164</v>
      </c>
      <c r="EB16">
        <v>237</v>
      </c>
      <c r="EC16" s="16">
        <v>44134</v>
      </c>
      <c r="ED16">
        <v>16375</v>
      </c>
      <c r="EE16">
        <v>219</v>
      </c>
      <c r="EF16" s="16">
        <v>44135</v>
      </c>
      <c r="EG16">
        <v>16496</v>
      </c>
      <c r="EH16">
        <v>121</v>
      </c>
      <c r="EI16" s="16">
        <v>44136</v>
      </c>
      <c r="EJ16">
        <v>16646</v>
      </c>
      <c r="EK16">
        <v>150</v>
      </c>
      <c r="EL16" s="16">
        <v>44137</v>
      </c>
      <c r="EM16">
        <v>16927</v>
      </c>
      <c r="EN16">
        <v>281</v>
      </c>
      <c r="EO16" s="16">
        <v>44138</v>
      </c>
      <c r="EP16">
        <v>17168</v>
      </c>
      <c r="EQ16">
        <v>241</v>
      </c>
      <c r="ER16" s="16">
        <v>44139</v>
      </c>
      <c r="ES16">
        <v>17379</v>
      </c>
      <c r="ET16">
        <v>210</v>
      </c>
      <c r="EU16" s="16">
        <v>44140</v>
      </c>
      <c r="EV16">
        <v>17600</v>
      </c>
      <c r="EW16">
        <v>221</v>
      </c>
      <c r="EX16" s="16">
        <v>44141</v>
      </c>
      <c r="EY16">
        <v>17794</v>
      </c>
      <c r="EZ16">
        <v>194</v>
      </c>
      <c r="FA16" s="16">
        <v>44142</v>
      </c>
      <c r="FB16">
        <v>17921</v>
      </c>
      <c r="FC16">
        <v>128</v>
      </c>
      <c r="FD16" s="16">
        <v>44143</v>
      </c>
      <c r="FE16">
        <v>18001</v>
      </c>
      <c r="FF16">
        <v>132</v>
      </c>
      <c r="FG16" s="16">
        <v>44144</v>
      </c>
      <c r="FH16">
        <v>18338</v>
      </c>
      <c r="FI16">
        <v>276</v>
      </c>
      <c r="FJ16" s="16">
        <v>44145</v>
      </c>
      <c r="FK16">
        <v>18554</v>
      </c>
      <c r="FL16">
        <v>205</v>
      </c>
      <c r="FM16" s="16">
        <v>44146</v>
      </c>
      <c r="FN16">
        <v>18846</v>
      </c>
      <c r="FO16">
        <v>292</v>
      </c>
      <c r="FP16" s="16">
        <v>44147</v>
      </c>
      <c r="FQ16">
        <v>19128</v>
      </c>
      <c r="FR16">
        <v>282</v>
      </c>
      <c r="FS16" s="16">
        <v>44148</v>
      </c>
      <c r="FT16">
        <v>19412</v>
      </c>
      <c r="FU16">
        <v>264</v>
      </c>
      <c r="FV16" s="16">
        <v>44149</v>
      </c>
      <c r="FW16">
        <v>19559</v>
      </c>
      <c r="FX16">
        <v>145</v>
      </c>
      <c r="FY16" s="16">
        <v>44150</v>
      </c>
      <c r="FZ16">
        <v>19745</v>
      </c>
      <c r="GA16">
        <v>182</v>
      </c>
      <c r="GB16" s="16">
        <v>44151</v>
      </c>
      <c r="GC16">
        <v>20137</v>
      </c>
      <c r="GD16">
        <v>392</v>
      </c>
      <c r="GE16" s="16">
        <v>44152</v>
      </c>
      <c r="GF16">
        <v>20530</v>
      </c>
      <c r="GG16">
        <v>392</v>
      </c>
      <c r="GH16" s="16">
        <v>44153</v>
      </c>
      <c r="GI16">
        <v>20902</v>
      </c>
      <c r="GJ16">
        <v>372</v>
      </c>
      <c r="GK16" s="16">
        <v>44154</v>
      </c>
      <c r="GL16">
        <v>21382</v>
      </c>
      <c r="GM16">
        <v>480</v>
      </c>
      <c r="GN16" s="16">
        <v>44155</v>
      </c>
      <c r="GO16">
        <v>21814</v>
      </c>
      <c r="GP16">
        <v>432</v>
      </c>
      <c r="GQ16" s="16">
        <v>44156</v>
      </c>
      <c r="GR16">
        <v>22085</v>
      </c>
      <c r="GS16">
        <v>270</v>
      </c>
      <c r="GT16" s="16">
        <v>44157</v>
      </c>
      <c r="GU16">
        <v>22342</v>
      </c>
      <c r="GV16">
        <v>267</v>
      </c>
      <c r="GW16" s="16">
        <v>44158</v>
      </c>
      <c r="GX16">
        <v>22852</v>
      </c>
      <c r="GY16">
        <v>505</v>
      </c>
      <c r="GZ16" s="16">
        <v>44159</v>
      </c>
      <c r="HA16">
        <v>23322</v>
      </c>
      <c r="HB16">
        <v>468</v>
      </c>
      <c r="HC16" s="16">
        <v>44160</v>
      </c>
      <c r="HD16">
        <v>23936</v>
      </c>
      <c r="HE16">
        <v>615</v>
      </c>
      <c r="HF16" s="16">
        <v>44161</v>
      </c>
      <c r="HG16">
        <v>24443</v>
      </c>
      <c r="HH16">
        <v>510</v>
      </c>
      <c r="HI16" s="16">
        <v>44162</v>
      </c>
      <c r="HJ16">
        <v>24898</v>
      </c>
      <c r="HK16">
        <v>454</v>
      </c>
      <c r="HL16" s="16">
        <v>44163</v>
      </c>
      <c r="HM16">
        <v>25179</v>
      </c>
      <c r="HN16">
        <v>283</v>
      </c>
      <c r="HO16" s="16">
        <v>44164</v>
      </c>
      <c r="HP16">
        <v>25479</v>
      </c>
      <c r="HQ16">
        <v>295</v>
      </c>
      <c r="HR16" s="16">
        <v>44165</v>
      </c>
      <c r="HS16">
        <v>26073</v>
      </c>
      <c r="HT16">
        <v>596</v>
      </c>
      <c r="HU16" s="16">
        <v>44166</v>
      </c>
      <c r="HV16">
        <v>26514</v>
      </c>
      <c r="HW16">
        <v>440</v>
      </c>
      <c r="HX16" s="16">
        <v>44167</v>
      </c>
      <c r="HY16">
        <v>27007</v>
      </c>
      <c r="HZ16">
        <v>494</v>
      </c>
      <c r="IA16" s="16">
        <v>44168</v>
      </c>
      <c r="IB16">
        <v>27483</v>
      </c>
      <c r="IC16">
        <v>477</v>
      </c>
      <c r="ID16" s="16">
        <v>44169</v>
      </c>
      <c r="IE16">
        <v>27957</v>
      </c>
      <c r="IF16">
        <v>472</v>
      </c>
      <c r="IG16" s="16">
        <v>44170</v>
      </c>
      <c r="IH16">
        <v>28205</v>
      </c>
      <c r="II16">
        <v>249</v>
      </c>
      <c r="IJ16" s="16">
        <v>44171</v>
      </c>
      <c r="IK16">
        <v>28488</v>
      </c>
      <c r="IL16">
        <v>282</v>
      </c>
      <c r="IM16" s="16">
        <v>44172</v>
      </c>
      <c r="IN16">
        <v>29075</v>
      </c>
      <c r="IO16">
        <v>587</v>
      </c>
      <c r="IP16">
        <v>44173</v>
      </c>
      <c r="IQ16">
        <v>29551</v>
      </c>
      <c r="IR16">
        <v>476</v>
      </c>
      <c r="IS16">
        <v>44174</v>
      </c>
      <c r="IT16">
        <v>30013</v>
      </c>
      <c r="IU16">
        <v>462</v>
      </c>
      <c r="IV16">
        <v>44175</v>
      </c>
      <c r="IW16">
        <v>30421</v>
      </c>
      <c r="IX16">
        <v>408</v>
      </c>
      <c r="IY16">
        <v>44176</v>
      </c>
      <c r="IZ16">
        <v>30868</v>
      </c>
      <c r="JA16">
        <v>444</v>
      </c>
      <c r="JB16">
        <v>44180</v>
      </c>
      <c r="JC16">
        <v>32224</v>
      </c>
      <c r="JD16">
        <v>358</v>
      </c>
      <c r="JE16">
        <v>44184</v>
      </c>
      <c r="JF16">
        <v>33475</v>
      </c>
      <c r="JG16">
        <v>190</v>
      </c>
      <c r="JH16">
        <v>44185</v>
      </c>
      <c r="JI16">
        <v>33761</v>
      </c>
      <c r="JJ16">
        <v>244</v>
      </c>
      <c r="JK16">
        <v>44186</v>
      </c>
      <c r="JL16">
        <v>34127</v>
      </c>
      <c r="JM16">
        <v>374</v>
      </c>
      <c r="JN16">
        <v>44187</v>
      </c>
      <c r="JO16">
        <v>34450</v>
      </c>
      <c r="JP16">
        <v>331</v>
      </c>
      <c r="JQ16">
        <v>44189</v>
      </c>
      <c r="JR16">
        <v>34871</v>
      </c>
      <c r="JS16">
        <v>138</v>
      </c>
      <c r="JT16">
        <v>44189</v>
      </c>
      <c r="JU16">
        <v>34872</v>
      </c>
      <c r="JV16">
        <v>138</v>
      </c>
      <c r="JW16">
        <v>44191</v>
      </c>
      <c r="JX16">
        <v>35207</v>
      </c>
      <c r="JY16">
        <v>183</v>
      </c>
      <c r="JZ16">
        <v>44203</v>
      </c>
      <c r="KA16">
        <v>38346</v>
      </c>
      <c r="KB16">
        <v>331</v>
      </c>
      <c r="KC16">
        <v>44203</v>
      </c>
      <c r="KD16">
        <v>38354</v>
      </c>
      <c r="KE16">
        <v>331</v>
      </c>
      <c r="KF16">
        <v>44204</v>
      </c>
      <c r="KG16">
        <v>38597</v>
      </c>
      <c r="KH16">
        <v>251</v>
      </c>
      <c r="KI16">
        <v>44206</v>
      </c>
      <c r="KJ16">
        <v>38974</v>
      </c>
      <c r="KK16">
        <v>185</v>
      </c>
      <c r="KL16">
        <v>44207</v>
      </c>
      <c r="KM16">
        <v>39367</v>
      </c>
      <c r="KN16">
        <v>387</v>
      </c>
      <c r="KO16">
        <v>44211</v>
      </c>
      <c r="KP16">
        <v>40366</v>
      </c>
      <c r="KQ16">
        <v>266</v>
      </c>
      <c r="KR16">
        <v>44212</v>
      </c>
      <c r="KS16">
        <v>40539</v>
      </c>
      <c r="KT16">
        <v>169</v>
      </c>
      <c r="KU16">
        <v>44213</v>
      </c>
      <c r="KV16">
        <v>40733</v>
      </c>
      <c r="KW16">
        <v>194</v>
      </c>
      <c r="KX16">
        <v>44215</v>
      </c>
      <c r="KY16">
        <v>41525</v>
      </c>
      <c r="KZ16">
        <v>344</v>
      </c>
      <c r="LA16">
        <v>44216</v>
      </c>
      <c r="LB16">
        <v>41938</v>
      </c>
      <c r="LC16">
        <v>406</v>
      </c>
      <c r="LD16">
        <v>44217</v>
      </c>
      <c r="LE16">
        <v>42313</v>
      </c>
      <c r="LF16">
        <v>375</v>
      </c>
      <c r="LG16">
        <v>44219</v>
      </c>
      <c r="LH16">
        <v>42808</v>
      </c>
      <c r="LI16">
        <v>168</v>
      </c>
      <c r="LJ16">
        <v>44219</v>
      </c>
      <c r="LK16">
        <v>42809</v>
      </c>
      <c r="LL16">
        <v>168</v>
      </c>
      <c r="LM16">
        <v>44221</v>
      </c>
      <c r="LN16">
        <v>43680</v>
      </c>
      <c r="LO16">
        <v>602</v>
      </c>
      <c r="LP16">
        <v>44222</v>
      </c>
      <c r="LQ16">
        <v>44075</v>
      </c>
      <c r="LR16">
        <v>398</v>
      </c>
      <c r="LS16">
        <v>44223</v>
      </c>
      <c r="LT16">
        <v>44459</v>
      </c>
      <c r="LU16">
        <v>383</v>
      </c>
    </row>
    <row r="17" spans="1:333">
      <c r="A17" t="str">
        <f t="shared" ca="1" si="0"/>
        <v>28.1</v>
      </c>
      <c r="B17" s="4">
        <f t="shared" ca="1" si="1"/>
        <v>44224</v>
      </c>
      <c r="C17" s="11">
        <f t="shared" ca="1" si="2"/>
        <v>44905</v>
      </c>
      <c r="D17">
        <f t="shared" ca="1" si="3"/>
        <v>435</v>
      </c>
      <c r="E17" s="11">
        <f t="shared" ca="1" si="4"/>
        <v>0</v>
      </c>
      <c r="F17" s="11">
        <f t="shared" ca="1" si="5"/>
        <v>435</v>
      </c>
      <c r="M17" s="16">
        <v>44224</v>
      </c>
      <c r="N17">
        <v>44894</v>
      </c>
      <c r="O17">
        <v>435</v>
      </c>
      <c r="P17" s="16">
        <v>44224</v>
      </c>
      <c r="Q17">
        <v>44894</v>
      </c>
      <c r="R17">
        <v>435</v>
      </c>
      <c r="S17" s="16">
        <v>44095</v>
      </c>
      <c r="T17">
        <v>9358</v>
      </c>
      <c r="U17">
        <v>119</v>
      </c>
      <c r="V17" s="16">
        <v>44096</v>
      </c>
      <c r="W17">
        <v>9464</v>
      </c>
      <c r="X17">
        <v>105</v>
      </c>
      <c r="Y17" s="16">
        <v>44097</v>
      </c>
      <c r="Z17">
        <v>9583</v>
      </c>
      <c r="AA17">
        <v>118</v>
      </c>
      <c r="AB17" s="16">
        <v>44098</v>
      </c>
      <c r="AC17">
        <v>9680</v>
      </c>
      <c r="AD17">
        <v>98</v>
      </c>
      <c r="AE17" s="16">
        <v>44099</v>
      </c>
      <c r="AF17">
        <v>9807</v>
      </c>
      <c r="AG17">
        <v>127</v>
      </c>
      <c r="AH17" s="16">
        <v>44100</v>
      </c>
      <c r="AI17">
        <v>9881</v>
      </c>
      <c r="AJ17">
        <v>74</v>
      </c>
      <c r="AK17" s="16">
        <v>44101</v>
      </c>
      <c r="AL17">
        <v>9951</v>
      </c>
      <c r="AM17">
        <v>71</v>
      </c>
      <c r="AN17" s="16">
        <v>44102</v>
      </c>
      <c r="AO17">
        <v>10073</v>
      </c>
      <c r="AP17">
        <v>122</v>
      </c>
      <c r="AQ17" s="16">
        <v>44103</v>
      </c>
      <c r="AR17">
        <v>10207</v>
      </c>
      <c r="AS17">
        <v>135</v>
      </c>
      <c r="AT17" s="16">
        <v>44104</v>
      </c>
      <c r="AU17">
        <v>10371</v>
      </c>
      <c r="AV17">
        <v>165</v>
      </c>
      <c r="AW17" s="16">
        <v>44105</v>
      </c>
      <c r="AX17">
        <v>10558</v>
      </c>
      <c r="AY17">
        <v>188</v>
      </c>
      <c r="AZ17" s="16">
        <v>44106</v>
      </c>
      <c r="BA17">
        <v>10745</v>
      </c>
      <c r="BB17">
        <v>187</v>
      </c>
      <c r="BC17" s="16">
        <v>44107</v>
      </c>
      <c r="BD17">
        <v>10914</v>
      </c>
      <c r="BE17">
        <v>169</v>
      </c>
      <c r="BF17" s="16">
        <v>44108</v>
      </c>
      <c r="BG17">
        <v>11060</v>
      </c>
      <c r="BH17">
        <v>147</v>
      </c>
      <c r="BI17" s="16">
        <v>44109</v>
      </c>
      <c r="BJ17">
        <v>11351</v>
      </c>
      <c r="BK17">
        <v>289</v>
      </c>
      <c r="BL17" s="16">
        <v>44110</v>
      </c>
      <c r="BM17">
        <v>11651</v>
      </c>
      <c r="BN17">
        <v>299</v>
      </c>
      <c r="BO17" s="16">
        <v>44111</v>
      </c>
      <c r="BP17">
        <v>11956</v>
      </c>
      <c r="BQ17">
        <v>306</v>
      </c>
      <c r="BR17" s="16">
        <v>44112</v>
      </c>
      <c r="BS17">
        <v>12217</v>
      </c>
      <c r="BT17">
        <v>260</v>
      </c>
      <c r="BU17" s="16">
        <v>44114</v>
      </c>
      <c r="BV17">
        <v>12552</v>
      </c>
      <c r="BW17">
        <v>109</v>
      </c>
      <c r="BX17" s="16">
        <v>44115</v>
      </c>
      <c r="BY17">
        <v>12684</v>
      </c>
      <c r="BZ17">
        <v>130</v>
      </c>
      <c r="CA17" s="16">
        <v>44116</v>
      </c>
      <c r="CB17">
        <v>12940</v>
      </c>
      <c r="CC17">
        <v>253</v>
      </c>
      <c r="CD17" s="16">
        <v>44117</v>
      </c>
      <c r="CE17">
        <v>13145</v>
      </c>
      <c r="CF17">
        <v>197</v>
      </c>
      <c r="CG17" s="16">
        <v>44118</v>
      </c>
      <c r="CH17">
        <v>13346</v>
      </c>
      <c r="CI17">
        <v>200</v>
      </c>
      <c r="CJ17" s="16">
        <v>44119</v>
      </c>
      <c r="CK17">
        <v>13536</v>
      </c>
      <c r="CL17">
        <v>190</v>
      </c>
      <c r="CM17" s="16">
        <v>44120</v>
      </c>
      <c r="CN17">
        <v>13728</v>
      </c>
      <c r="CO17">
        <v>192</v>
      </c>
      <c r="CP17" s="16">
        <v>44121</v>
      </c>
      <c r="CQ17">
        <v>13828</v>
      </c>
      <c r="CR17">
        <v>100</v>
      </c>
      <c r="CS17" s="16">
        <v>44122</v>
      </c>
      <c r="CT17">
        <v>13959</v>
      </c>
      <c r="CU17">
        <v>127</v>
      </c>
      <c r="CV17" s="16">
        <v>44123</v>
      </c>
      <c r="CW17">
        <v>14205</v>
      </c>
      <c r="CX17">
        <v>244</v>
      </c>
      <c r="CY17" s="16">
        <v>44125</v>
      </c>
      <c r="CZ17">
        <v>14555</v>
      </c>
      <c r="DA17">
        <v>189</v>
      </c>
      <c r="DB17" s="16">
        <v>44126</v>
      </c>
      <c r="DC17">
        <v>14767</v>
      </c>
      <c r="DD17">
        <v>213</v>
      </c>
      <c r="DE17" s="16">
        <v>44127</v>
      </c>
      <c r="DF17">
        <v>14961</v>
      </c>
      <c r="DG17">
        <v>192</v>
      </c>
      <c r="DH17" s="16">
        <v>44128</v>
      </c>
      <c r="DI17">
        <v>15070</v>
      </c>
      <c r="DJ17">
        <v>108</v>
      </c>
      <c r="DK17" s="16">
        <v>44129</v>
      </c>
      <c r="DL17">
        <v>15198</v>
      </c>
      <c r="DM17">
        <v>123</v>
      </c>
      <c r="DN17" s="16">
        <v>44130</v>
      </c>
      <c r="DO17">
        <v>15454</v>
      </c>
      <c r="DP17">
        <v>256</v>
      </c>
      <c r="DQ17" s="16">
        <v>44131</v>
      </c>
      <c r="DR17">
        <v>15685</v>
      </c>
      <c r="DS17">
        <v>230</v>
      </c>
      <c r="DT17" s="16">
        <v>44132</v>
      </c>
      <c r="DU17">
        <v>15927</v>
      </c>
      <c r="DV17">
        <v>240</v>
      </c>
      <c r="DW17" s="16">
        <v>44133</v>
      </c>
      <c r="DX17">
        <v>16164</v>
      </c>
      <c r="DY17">
        <v>237</v>
      </c>
      <c r="DZ17" s="16">
        <v>44134</v>
      </c>
      <c r="EA17">
        <v>16383</v>
      </c>
      <c r="EB17">
        <v>219</v>
      </c>
      <c r="EC17" s="16">
        <v>44135</v>
      </c>
      <c r="ED17">
        <v>16496</v>
      </c>
      <c r="EE17">
        <v>121</v>
      </c>
      <c r="EF17" s="16">
        <v>44136</v>
      </c>
      <c r="EG17">
        <v>16646</v>
      </c>
      <c r="EH17">
        <v>150</v>
      </c>
      <c r="EI17" s="16">
        <v>44137</v>
      </c>
      <c r="EJ17">
        <v>16927</v>
      </c>
      <c r="EK17">
        <v>281</v>
      </c>
      <c r="EL17" s="16">
        <v>44138</v>
      </c>
      <c r="EM17">
        <v>17168</v>
      </c>
      <c r="EN17">
        <v>241</v>
      </c>
      <c r="EO17" s="16">
        <v>44139</v>
      </c>
      <c r="EP17">
        <v>17378</v>
      </c>
      <c r="EQ17">
        <v>210</v>
      </c>
      <c r="ER17" s="16">
        <v>44140</v>
      </c>
      <c r="ES17">
        <v>17600</v>
      </c>
      <c r="ET17">
        <v>221</v>
      </c>
      <c r="EU17" s="16">
        <v>44141</v>
      </c>
      <c r="EV17">
        <v>17794</v>
      </c>
      <c r="EW17">
        <v>194</v>
      </c>
      <c r="EX17" s="16">
        <v>44142</v>
      </c>
      <c r="EY17">
        <v>17922</v>
      </c>
      <c r="EZ17">
        <v>128</v>
      </c>
      <c r="FA17" s="16">
        <v>44143</v>
      </c>
      <c r="FB17">
        <v>18054</v>
      </c>
      <c r="FC17">
        <v>133</v>
      </c>
      <c r="FD17" s="16">
        <v>44144</v>
      </c>
      <c r="FE17">
        <v>18277</v>
      </c>
      <c r="FF17">
        <v>276</v>
      </c>
      <c r="FG17" s="16">
        <v>44145</v>
      </c>
      <c r="FH17">
        <v>18543</v>
      </c>
      <c r="FI17">
        <v>205</v>
      </c>
      <c r="FJ17" s="16">
        <v>44146</v>
      </c>
      <c r="FK17">
        <v>18846</v>
      </c>
      <c r="FL17">
        <v>292</v>
      </c>
      <c r="FM17" s="16">
        <v>44147</v>
      </c>
      <c r="FN17">
        <v>19128</v>
      </c>
      <c r="FO17">
        <v>282</v>
      </c>
      <c r="FP17" s="16">
        <v>44148</v>
      </c>
      <c r="FQ17">
        <v>19392</v>
      </c>
      <c r="FR17">
        <v>264</v>
      </c>
      <c r="FS17" s="16">
        <v>44149</v>
      </c>
      <c r="FT17">
        <v>19557</v>
      </c>
      <c r="FU17">
        <v>145</v>
      </c>
      <c r="FV17" s="16">
        <v>44150</v>
      </c>
      <c r="FW17">
        <v>19740</v>
      </c>
      <c r="FX17">
        <v>181</v>
      </c>
      <c r="FY17" s="16">
        <v>44151</v>
      </c>
      <c r="FZ17">
        <v>20138</v>
      </c>
      <c r="GA17">
        <v>393</v>
      </c>
      <c r="GB17" s="16">
        <v>44152</v>
      </c>
      <c r="GC17">
        <v>20529</v>
      </c>
      <c r="GD17">
        <v>392</v>
      </c>
      <c r="GE17" s="16">
        <v>44153</v>
      </c>
      <c r="GF17">
        <v>20902</v>
      </c>
      <c r="GG17">
        <v>372</v>
      </c>
      <c r="GH17" s="16">
        <v>44154</v>
      </c>
      <c r="GI17">
        <v>21382</v>
      </c>
      <c r="GJ17">
        <v>480</v>
      </c>
      <c r="GK17" s="16">
        <v>44155</v>
      </c>
      <c r="GL17">
        <v>21814</v>
      </c>
      <c r="GM17">
        <v>432</v>
      </c>
      <c r="GN17" s="16">
        <v>44156</v>
      </c>
      <c r="GO17">
        <v>22083</v>
      </c>
      <c r="GP17">
        <v>269</v>
      </c>
      <c r="GQ17" s="16">
        <v>44157</v>
      </c>
      <c r="GR17">
        <v>22348</v>
      </c>
      <c r="GS17">
        <v>263</v>
      </c>
      <c r="GT17" s="16">
        <v>44158</v>
      </c>
      <c r="GU17">
        <v>22847</v>
      </c>
      <c r="GV17">
        <v>505</v>
      </c>
      <c r="GW17" s="16">
        <v>44159</v>
      </c>
      <c r="GX17">
        <v>23320</v>
      </c>
      <c r="GY17">
        <v>468</v>
      </c>
      <c r="GZ17" s="16">
        <v>44160</v>
      </c>
      <c r="HA17">
        <v>23937</v>
      </c>
      <c r="HB17">
        <v>615</v>
      </c>
      <c r="HC17" s="16">
        <v>44161</v>
      </c>
      <c r="HD17">
        <v>24447</v>
      </c>
      <c r="HE17">
        <v>511</v>
      </c>
      <c r="HF17" s="16">
        <v>44162</v>
      </c>
      <c r="HG17">
        <v>24899</v>
      </c>
      <c r="HH17">
        <v>456</v>
      </c>
      <c r="HI17" s="16">
        <v>44163</v>
      </c>
      <c r="HJ17">
        <v>25181</v>
      </c>
      <c r="HK17">
        <v>283</v>
      </c>
      <c r="HL17" s="16">
        <v>44164</v>
      </c>
      <c r="HM17">
        <v>25472</v>
      </c>
      <c r="HN17">
        <v>293</v>
      </c>
      <c r="HO17" s="16">
        <v>44165</v>
      </c>
      <c r="HP17">
        <v>26076</v>
      </c>
      <c r="HQ17">
        <v>597</v>
      </c>
      <c r="HR17" s="16">
        <v>44166</v>
      </c>
      <c r="HS17">
        <v>26513</v>
      </c>
      <c r="HT17">
        <v>440</v>
      </c>
      <c r="HU17" s="16">
        <v>44167</v>
      </c>
      <c r="HV17">
        <v>27008</v>
      </c>
      <c r="HW17">
        <v>494</v>
      </c>
      <c r="HX17" s="16">
        <v>44168</v>
      </c>
      <c r="HY17">
        <v>27484</v>
      </c>
      <c r="HZ17">
        <v>477</v>
      </c>
      <c r="IA17" s="16">
        <v>44169</v>
      </c>
      <c r="IB17">
        <v>27955</v>
      </c>
      <c r="IC17">
        <v>472</v>
      </c>
      <c r="ID17" s="16">
        <v>44170</v>
      </c>
      <c r="IE17">
        <v>28206</v>
      </c>
      <c r="IF17">
        <v>249</v>
      </c>
      <c r="IG17" s="16">
        <v>44171</v>
      </c>
      <c r="IH17">
        <v>28487</v>
      </c>
      <c r="II17">
        <v>282</v>
      </c>
      <c r="IJ17" s="16">
        <v>44172</v>
      </c>
      <c r="IK17">
        <v>29075</v>
      </c>
      <c r="IL17">
        <v>587</v>
      </c>
      <c r="IM17" s="16">
        <v>44173</v>
      </c>
      <c r="IN17">
        <v>29551</v>
      </c>
      <c r="IO17">
        <v>476</v>
      </c>
      <c r="IP17">
        <v>44174</v>
      </c>
      <c r="IQ17">
        <v>30013</v>
      </c>
      <c r="IR17">
        <v>462</v>
      </c>
      <c r="IS17">
        <v>44175</v>
      </c>
      <c r="IT17">
        <v>30421</v>
      </c>
      <c r="IU17">
        <v>408</v>
      </c>
      <c r="IV17">
        <v>44176</v>
      </c>
      <c r="IW17">
        <v>30864</v>
      </c>
      <c r="IX17">
        <v>443</v>
      </c>
      <c r="IY17">
        <v>44177</v>
      </c>
      <c r="IZ17">
        <v>31118</v>
      </c>
      <c r="JA17">
        <v>250</v>
      </c>
      <c r="JB17">
        <v>44181</v>
      </c>
      <c r="JC17">
        <v>32572</v>
      </c>
      <c r="JD17">
        <v>348</v>
      </c>
      <c r="JE17">
        <v>44185</v>
      </c>
      <c r="JF17">
        <v>33720</v>
      </c>
      <c r="JG17">
        <v>245</v>
      </c>
      <c r="JH17">
        <v>44186</v>
      </c>
      <c r="JI17">
        <v>34135</v>
      </c>
      <c r="JJ17">
        <v>374</v>
      </c>
      <c r="JK17">
        <v>44187</v>
      </c>
      <c r="JL17">
        <v>34458</v>
      </c>
      <c r="JM17">
        <v>331</v>
      </c>
      <c r="JN17">
        <v>44188</v>
      </c>
      <c r="JO17">
        <v>34728</v>
      </c>
      <c r="JP17">
        <v>278</v>
      </c>
      <c r="JQ17">
        <v>44190</v>
      </c>
      <c r="JR17">
        <v>35028</v>
      </c>
      <c r="JS17">
        <v>157</v>
      </c>
      <c r="JT17">
        <v>44190</v>
      </c>
      <c r="JU17">
        <v>35029</v>
      </c>
      <c r="JV17">
        <v>157</v>
      </c>
      <c r="JW17">
        <v>44192</v>
      </c>
      <c r="JX17">
        <v>35395</v>
      </c>
      <c r="JY17">
        <v>188</v>
      </c>
      <c r="JZ17">
        <v>44204</v>
      </c>
      <c r="KA17">
        <v>38597</v>
      </c>
      <c r="KB17">
        <v>251</v>
      </c>
      <c r="KC17">
        <v>44204</v>
      </c>
      <c r="KD17">
        <v>38605</v>
      </c>
      <c r="KE17">
        <v>251</v>
      </c>
      <c r="KF17">
        <v>44205</v>
      </c>
      <c r="KG17">
        <v>38790</v>
      </c>
      <c r="KH17">
        <v>193</v>
      </c>
      <c r="KI17">
        <v>44207</v>
      </c>
      <c r="KJ17">
        <v>39361</v>
      </c>
      <c r="KK17">
        <v>387</v>
      </c>
      <c r="KL17">
        <v>44208</v>
      </c>
      <c r="KM17">
        <v>39593</v>
      </c>
      <c r="KN17">
        <v>226</v>
      </c>
      <c r="KO17">
        <v>44212</v>
      </c>
      <c r="KP17">
        <v>40535</v>
      </c>
      <c r="KQ17">
        <v>169</v>
      </c>
      <c r="KR17">
        <v>44213</v>
      </c>
      <c r="KS17">
        <v>40733</v>
      </c>
      <c r="KT17">
        <v>194</v>
      </c>
      <c r="KU17">
        <v>44214</v>
      </c>
      <c r="KV17">
        <v>41180</v>
      </c>
      <c r="KW17">
        <v>447</v>
      </c>
      <c r="KX17">
        <v>44216</v>
      </c>
      <c r="KY17">
        <v>41923</v>
      </c>
      <c r="KZ17">
        <v>398</v>
      </c>
      <c r="LA17">
        <v>44217</v>
      </c>
      <c r="LB17">
        <v>42313</v>
      </c>
      <c r="LC17">
        <v>375</v>
      </c>
      <c r="LD17">
        <v>44218</v>
      </c>
      <c r="LE17">
        <v>42673</v>
      </c>
      <c r="LF17">
        <v>360</v>
      </c>
      <c r="LG17">
        <v>44220</v>
      </c>
      <c r="LH17">
        <v>43052</v>
      </c>
      <c r="LI17">
        <v>244</v>
      </c>
      <c r="LJ17">
        <v>44220</v>
      </c>
      <c r="LK17">
        <v>43053</v>
      </c>
      <c r="LL17">
        <v>244</v>
      </c>
      <c r="LM17">
        <v>44222</v>
      </c>
      <c r="LN17">
        <v>44078</v>
      </c>
      <c r="LO17">
        <v>398</v>
      </c>
      <c r="LP17">
        <v>44223</v>
      </c>
      <c r="LQ17">
        <v>44458</v>
      </c>
      <c r="LR17">
        <v>383</v>
      </c>
      <c r="LS17">
        <v>44224</v>
      </c>
      <c r="LT17">
        <v>44894</v>
      </c>
      <c r="LU17">
        <v>435</v>
      </c>
    </row>
    <row r="18" spans="1:333">
      <c r="A18" t="str">
        <f t="shared" ca="1" si="0"/>
        <v>29.1</v>
      </c>
      <c r="B18" s="4">
        <f t="shared" ca="1" si="1"/>
        <v>44225</v>
      </c>
      <c r="C18" s="11">
        <f t="shared" ca="1" si="2"/>
        <v>45280</v>
      </c>
      <c r="D18">
        <f t="shared" ca="1" si="3"/>
        <v>375</v>
      </c>
      <c r="E18" s="11">
        <f t="shared" ca="1" si="4"/>
        <v>1</v>
      </c>
      <c r="F18" s="11">
        <f t="shared" ca="1" si="5"/>
        <v>374</v>
      </c>
      <c r="J18" s="10">
        <f ca="1">SUM(D18:D24)</f>
        <v>2611</v>
      </c>
      <c r="K18" s="10" t="str">
        <f ca="1">TEXT(J18/J11-1,"0 %")</f>
        <v>1 %</v>
      </c>
      <c r="M18" s="16">
        <v>44225</v>
      </c>
      <c r="N18">
        <v>45268</v>
      </c>
      <c r="O18">
        <v>374</v>
      </c>
      <c r="P18" s="16">
        <v>44225</v>
      </c>
      <c r="Q18">
        <v>45268</v>
      </c>
      <c r="R18">
        <v>374</v>
      </c>
      <c r="S18" s="16">
        <v>44096</v>
      </c>
      <c r="T18">
        <v>9463</v>
      </c>
      <c r="U18">
        <v>105</v>
      </c>
      <c r="V18" s="16">
        <v>44097</v>
      </c>
      <c r="W18">
        <v>9582</v>
      </c>
      <c r="X18">
        <v>118</v>
      </c>
      <c r="Y18" s="16">
        <v>44098</v>
      </c>
      <c r="Z18">
        <v>9681</v>
      </c>
      <c r="AA18">
        <v>98</v>
      </c>
      <c r="AB18" s="16">
        <v>44099</v>
      </c>
      <c r="AC18">
        <v>9807</v>
      </c>
      <c r="AD18">
        <v>127</v>
      </c>
      <c r="AE18" s="16">
        <v>44100</v>
      </c>
      <c r="AF18">
        <v>9880</v>
      </c>
      <c r="AG18">
        <v>73</v>
      </c>
      <c r="AH18" s="16">
        <v>44101</v>
      </c>
      <c r="AI18">
        <v>9952</v>
      </c>
      <c r="AJ18">
        <v>71</v>
      </c>
      <c r="AK18" s="16">
        <v>44102</v>
      </c>
      <c r="AL18">
        <v>10073</v>
      </c>
      <c r="AM18">
        <v>122</v>
      </c>
      <c r="AN18" s="16">
        <v>44103</v>
      </c>
      <c r="AO18">
        <v>10208</v>
      </c>
      <c r="AP18">
        <v>135</v>
      </c>
      <c r="AQ18" s="16">
        <v>44104</v>
      </c>
      <c r="AR18">
        <v>10373</v>
      </c>
      <c r="AS18">
        <v>166</v>
      </c>
      <c r="AT18" s="16">
        <v>44105</v>
      </c>
      <c r="AU18">
        <v>10559</v>
      </c>
      <c r="AV18">
        <v>188</v>
      </c>
      <c r="AW18" s="16">
        <v>44106</v>
      </c>
      <c r="AX18">
        <v>10745</v>
      </c>
      <c r="AY18">
        <v>187</v>
      </c>
      <c r="AZ18" s="16">
        <v>44107</v>
      </c>
      <c r="BA18">
        <v>10914</v>
      </c>
      <c r="BB18">
        <v>169</v>
      </c>
      <c r="BC18" s="16">
        <v>44108</v>
      </c>
      <c r="BD18">
        <v>11061</v>
      </c>
      <c r="BE18">
        <v>147</v>
      </c>
      <c r="BF18" s="16">
        <v>44109</v>
      </c>
      <c r="BG18">
        <v>11349</v>
      </c>
      <c r="BH18">
        <v>289</v>
      </c>
      <c r="BI18" s="16">
        <v>44110</v>
      </c>
      <c r="BJ18">
        <v>11650</v>
      </c>
      <c r="BK18">
        <v>299</v>
      </c>
      <c r="BL18" s="16">
        <v>44111</v>
      </c>
      <c r="BM18">
        <v>11957</v>
      </c>
      <c r="BN18">
        <v>306</v>
      </c>
      <c r="BO18" s="16">
        <v>44112</v>
      </c>
      <c r="BP18">
        <v>12216</v>
      </c>
      <c r="BQ18">
        <v>260</v>
      </c>
      <c r="BR18" s="16">
        <v>44113</v>
      </c>
      <c r="BS18">
        <v>12443</v>
      </c>
      <c r="BT18">
        <v>226</v>
      </c>
      <c r="BU18" s="16">
        <v>44115</v>
      </c>
      <c r="BV18">
        <v>12682</v>
      </c>
      <c r="BW18">
        <v>130</v>
      </c>
      <c r="BX18" s="16">
        <v>44116</v>
      </c>
      <c r="BY18">
        <v>12936</v>
      </c>
      <c r="BZ18">
        <v>252</v>
      </c>
      <c r="CA18" s="16">
        <v>44117</v>
      </c>
      <c r="CB18">
        <v>13137</v>
      </c>
      <c r="CC18">
        <v>197</v>
      </c>
      <c r="CD18" s="16">
        <v>44118</v>
      </c>
      <c r="CE18">
        <v>13345</v>
      </c>
      <c r="CF18">
        <v>200</v>
      </c>
      <c r="CG18" s="16">
        <v>44119</v>
      </c>
      <c r="CH18">
        <v>13536</v>
      </c>
      <c r="CI18">
        <v>190</v>
      </c>
      <c r="CJ18" s="16">
        <v>44120</v>
      </c>
      <c r="CK18">
        <v>13728</v>
      </c>
      <c r="CL18">
        <v>192</v>
      </c>
      <c r="CM18" s="16">
        <v>44121</v>
      </c>
      <c r="CN18">
        <v>13828</v>
      </c>
      <c r="CO18">
        <v>100</v>
      </c>
      <c r="CP18" s="16">
        <v>44122</v>
      </c>
      <c r="CQ18">
        <v>13955</v>
      </c>
      <c r="CR18">
        <v>127</v>
      </c>
      <c r="CS18" s="16">
        <v>44123</v>
      </c>
      <c r="CT18">
        <v>14203</v>
      </c>
      <c r="CU18">
        <v>244</v>
      </c>
      <c r="CV18" s="16">
        <v>44124</v>
      </c>
      <c r="CW18">
        <v>14368</v>
      </c>
      <c r="CX18">
        <v>163</v>
      </c>
      <c r="CY18" s="16">
        <v>44126</v>
      </c>
      <c r="CZ18">
        <v>14768</v>
      </c>
      <c r="DA18">
        <v>213</v>
      </c>
      <c r="DB18" s="16">
        <v>44127</v>
      </c>
      <c r="DC18">
        <v>14959</v>
      </c>
      <c r="DD18">
        <v>192</v>
      </c>
      <c r="DE18" s="16">
        <v>44128</v>
      </c>
      <c r="DF18">
        <v>15069</v>
      </c>
      <c r="DG18">
        <v>108</v>
      </c>
      <c r="DH18" s="16">
        <v>44129</v>
      </c>
      <c r="DI18">
        <v>15193</v>
      </c>
      <c r="DJ18">
        <v>123</v>
      </c>
      <c r="DK18" s="16">
        <v>44130</v>
      </c>
      <c r="DL18">
        <v>15453</v>
      </c>
      <c r="DM18">
        <v>255</v>
      </c>
      <c r="DN18" s="16">
        <v>44131</v>
      </c>
      <c r="DO18">
        <v>15684</v>
      </c>
      <c r="DP18">
        <v>230</v>
      </c>
      <c r="DQ18" s="16">
        <v>44132</v>
      </c>
      <c r="DR18">
        <v>15925</v>
      </c>
      <c r="DS18">
        <v>240</v>
      </c>
      <c r="DT18" s="16">
        <v>44133</v>
      </c>
      <c r="DU18">
        <v>16164</v>
      </c>
      <c r="DV18">
        <v>237</v>
      </c>
      <c r="DW18" s="16">
        <v>44134</v>
      </c>
      <c r="DX18">
        <v>16383</v>
      </c>
      <c r="DY18">
        <v>219</v>
      </c>
      <c r="DZ18" s="16">
        <v>44135</v>
      </c>
      <c r="EA18">
        <v>16504</v>
      </c>
      <c r="EB18">
        <v>121</v>
      </c>
      <c r="EC18" s="16">
        <v>44136</v>
      </c>
      <c r="ED18">
        <v>16646</v>
      </c>
      <c r="EE18">
        <v>150</v>
      </c>
      <c r="EF18" s="16">
        <v>44137</v>
      </c>
      <c r="EG18">
        <v>16927</v>
      </c>
      <c r="EH18">
        <v>281</v>
      </c>
      <c r="EI18" s="16">
        <v>44138</v>
      </c>
      <c r="EJ18">
        <v>17168</v>
      </c>
      <c r="EK18">
        <v>241</v>
      </c>
      <c r="EL18" s="16">
        <v>44139</v>
      </c>
      <c r="EM18">
        <v>17378</v>
      </c>
      <c r="EN18">
        <v>210</v>
      </c>
      <c r="EO18" s="16">
        <v>44140</v>
      </c>
      <c r="EP18">
        <v>17598</v>
      </c>
      <c r="EQ18">
        <v>220</v>
      </c>
      <c r="ER18" s="16">
        <v>44141</v>
      </c>
      <c r="ES18">
        <v>17794</v>
      </c>
      <c r="ET18">
        <v>194</v>
      </c>
      <c r="EU18" s="16">
        <v>44142</v>
      </c>
      <c r="EV18">
        <v>17922</v>
      </c>
      <c r="EW18">
        <v>128</v>
      </c>
      <c r="EX18" s="16">
        <v>44143</v>
      </c>
      <c r="EY18">
        <v>18055</v>
      </c>
      <c r="EZ18">
        <v>133</v>
      </c>
      <c r="FA18" s="16">
        <v>44144</v>
      </c>
      <c r="FB18">
        <v>18329</v>
      </c>
      <c r="FC18">
        <v>275</v>
      </c>
      <c r="FD18" s="16">
        <v>44145</v>
      </c>
      <c r="FE18">
        <v>18482</v>
      </c>
      <c r="FF18">
        <v>205</v>
      </c>
      <c r="FG18" s="16">
        <v>44146</v>
      </c>
      <c r="FH18">
        <v>18835</v>
      </c>
      <c r="FI18">
        <v>292</v>
      </c>
      <c r="FJ18" s="16">
        <v>44147</v>
      </c>
      <c r="FK18">
        <v>19128</v>
      </c>
      <c r="FL18">
        <v>282</v>
      </c>
      <c r="FM18" s="16">
        <v>44148</v>
      </c>
      <c r="FN18">
        <v>19392</v>
      </c>
      <c r="FO18">
        <v>264</v>
      </c>
      <c r="FP18" s="16">
        <v>44149</v>
      </c>
      <c r="FQ18">
        <v>19537</v>
      </c>
      <c r="FR18">
        <v>145</v>
      </c>
      <c r="FS18" s="16">
        <v>44150</v>
      </c>
      <c r="FT18">
        <v>19738</v>
      </c>
      <c r="FU18">
        <v>181</v>
      </c>
      <c r="FV18" s="16">
        <v>44151</v>
      </c>
      <c r="FW18">
        <v>20133</v>
      </c>
      <c r="FX18">
        <v>393</v>
      </c>
      <c r="FY18" s="16">
        <v>44152</v>
      </c>
      <c r="FZ18">
        <v>20530</v>
      </c>
      <c r="GA18">
        <v>392</v>
      </c>
      <c r="GB18" s="16">
        <v>44153</v>
      </c>
      <c r="GC18">
        <v>20901</v>
      </c>
      <c r="GD18">
        <v>372</v>
      </c>
      <c r="GE18" s="16">
        <v>44154</v>
      </c>
      <c r="GF18">
        <v>21381</v>
      </c>
      <c r="GG18">
        <v>479</v>
      </c>
      <c r="GH18" s="16">
        <v>44155</v>
      </c>
      <c r="GI18">
        <v>21814</v>
      </c>
      <c r="GJ18">
        <v>432</v>
      </c>
      <c r="GK18" s="16">
        <v>44156</v>
      </c>
      <c r="GL18">
        <v>22083</v>
      </c>
      <c r="GM18">
        <v>269</v>
      </c>
      <c r="GN18" s="16">
        <v>44157</v>
      </c>
      <c r="GO18">
        <v>22346</v>
      </c>
      <c r="GP18">
        <v>263</v>
      </c>
      <c r="GQ18" s="16">
        <v>44158</v>
      </c>
      <c r="GR18">
        <v>22838</v>
      </c>
      <c r="GS18">
        <v>490</v>
      </c>
      <c r="GT18" s="16">
        <v>44159</v>
      </c>
      <c r="GU18">
        <v>23315</v>
      </c>
      <c r="GV18">
        <v>468</v>
      </c>
      <c r="GW18" s="16">
        <v>44160</v>
      </c>
      <c r="GX18">
        <v>23935</v>
      </c>
      <c r="GY18">
        <v>615</v>
      </c>
      <c r="GZ18" s="16">
        <v>44161</v>
      </c>
      <c r="HA18">
        <v>24448</v>
      </c>
      <c r="HB18">
        <v>511</v>
      </c>
      <c r="HC18" s="16">
        <v>44162</v>
      </c>
      <c r="HD18">
        <v>24907</v>
      </c>
      <c r="HE18">
        <v>460</v>
      </c>
      <c r="HF18" s="16">
        <v>44163</v>
      </c>
      <c r="HG18">
        <v>25182</v>
      </c>
      <c r="HH18">
        <v>283</v>
      </c>
      <c r="HI18" s="16">
        <v>44164</v>
      </c>
      <c r="HJ18">
        <v>25474</v>
      </c>
      <c r="HK18">
        <v>293</v>
      </c>
      <c r="HL18" s="16">
        <v>44165</v>
      </c>
      <c r="HM18">
        <v>26067</v>
      </c>
      <c r="HN18">
        <v>595</v>
      </c>
      <c r="HO18" s="16">
        <v>44166</v>
      </c>
      <c r="HP18">
        <v>26516</v>
      </c>
      <c r="HQ18">
        <v>440</v>
      </c>
      <c r="HR18" s="16">
        <v>44167</v>
      </c>
      <c r="HS18">
        <v>27006</v>
      </c>
      <c r="HT18">
        <v>493</v>
      </c>
      <c r="HU18" s="16">
        <v>44168</v>
      </c>
      <c r="HV18">
        <v>27485</v>
      </c>
      <c r="HW18">
        <v>477</v>
      </c>
      <c r="HX18" s="16">
        <v>44169</v>
      </c>
      <c r="HY18">
        <v>27956</v>
      </c>
      <c r="HZ18">
        <v>472</v>
      </c>
      <c r="IA18" s="16">
        <v>44170</v>
      </c>
      <c r="IB18">
        <v>28204</v>
      </c>
      <c r="IC18">
        <v>249</v>
      </c>
      <c r="ID18" s="16">
        <v>44171</v>
      </c>
      <c r="IE18">
        <v>28488</v>
      </c>
      <c r="IF18">
        <v>282</v>
      </c>
      <c r="IG18" s="16">
        <v>44172</v>
      </c>
      <c r="IH18">
        <v>29074</v>
      </c>
      <c r="II18">
        <v>587</v>
      </c>
      <c r="IJ18" s="16">
        <v>44173</v>
      </c>
      <c r="IK18">
        <v>29551</v>
      </c>
      <c r="IL18">
        <v>476</v>
      </c>
      <c r="IM18" s="16">
        <v>44174</v>
      </c>
      <c r="IN18">
        <v>30013</v>
      </c>
      <c r="IO18">
        <v>462</v>
      </c>
      <c r="IP18">
        <v>44175</v>
      </c>
      <c r="IQ18">
        <v>30421</v>
      </c>
      <c r="IR18">
        <v>408</v>
      </c>
      <c r="IS18">
        <v>44176</v>
      </c>
      <c r="IT18">
        <v>30864</v>
      </c>
      <c r="IU18">
        <v>443</v>
      </c>
      <c r="IV18">
        <v>44177</v>
      </c>
      <c r="IW18">
        <v>31114</v>
      </c>
      <c r="IX18">
        <v>250</v>
      </c>
      <c r="IY18">
        <v>44178</v>
      </c>
      <c r="IZ18">
        <v>31393</v>
      </c>
      <c r="JA18">
        <v>275</v>
      </c>
      <c r="JB18">
        <v>44182</v>
      </c>
      <c r="JC18">
        <v>32891</v>
      </c>
      <c r="JD18">
        <v>319</v>
      </c>
      <c r="JE18">
        <v>44186</v>
      </c>
      <c r="JF18">
        <v>34091</v>
      </c>
      <c r="JG18">
        <v>371</v>
      </c>
      <c r="JH18">
        <v>44187</v>
      </c>
      <c r="JI18">
        <v>34466</v>
      </c>
      <c r="JJ18">
        <v>331</v>
      </c>
      <c r="JK18">
        <v>44188</v>
      </c>
      <c r="JL18">
        <v>34736</v>
      </c>
      <c r="JM18">
        <v>278</v>
      </c>
      <c r="JN18">
        <v>44189</v>
      </c>
      <c r="JO18">
        <v>34866</v>
      </c>
      <c r="JP18">
        <v>138</v>
      </c>
      <c r="JQ18">
        <v>44191</v>
      </c>
      <c r="JR18">
        <v>35211</v>
      </c>
      <c r="JS18">
        <v>183</v>
      </c>
      <c r="JT18">
        <v>44191</v>
      </c>
      <c r="JU18">
        <v>35212</v>
      </c>
      <c r="JV18">
        <v>183</v>
      </c>
      <c r="JW18">
        <v>44193</v>
      </c>
      <c r="JX18">
        <v>35825</v>
      </c>
      <c r="JY18">
        <v>430</v>
      </c>
      <c r="JZ18">
        <v>44205</v>
      </c>
      <c r="KA18">
        <v>38788</v>
      </c>
      <c r="KB18">
        <v>191</v>
      </c>
      <c r="KC18">
        <v>44205</v>
      </c>
      <c r="KD18">
        <v>38798</v>
      </c>
      <c r="KE18">
        <v>193</v>
      </c>
      <c r="KF18">
        <v>44206</v>
      </c>
      <c r="KG18">
        <v>38975</v>
      </c>
      <c r="KH18">
        <v>185</v>
      </c>
      <c r="KI18">
        <v>44208</v>
      </c>
      <c r="KJ18">
        <v>39587</v>
      </c>
      <c r="KK18">
        <v>226</v>
      </c>
      <c r="KL18">
        <v>44209</v>
      </c>
      <c r="KM18">
        <v>39850</v>
      </c>
      <c r="KN18">
        <v>257</v>
      </c>
      <c r="KO18">
        <v>44213</v>
      </c>
      <c r="KP18">
        <v>40729</v>
      </c>
      <c r="KQ18">
        <v>194</v>
      </c>
      <c r="KR18">
        <v>44214</v>
      </c>
      <c r="KS18">
        <v>41180</v>
      </c>
      <c r="KT18">
        <v>447</v>
      </c>
      <c r="KU18">
        <v>44215</v>
      </c>
      <c r="KV18">
        <v>41524</v>
      </c>
      <c r="KW18">
        <v>344</v>
      </c>
      <c r="KX18">
        <v>44217</v>
      </c>
      <c r="KY18">
        <v>42300</v>
      </c>
      <c r="KZ18">
        <v>377</v>
      </c>
      <c r="LA18">
        <v>44218</v>
      </c>
      <c r="LB18">
        <v>42673</v>
      </c>
      <c r="LC18">
        <v>360</v>
      </c>
      <c r="LD18">
        <v>44219</v>
      </c>
      <c r="LE18">
        <v>42841</v>
      </c>
      <c r="LF18">
        <v>168</v>
      </c>
      <c r="LG18">
        <v>44221</v>
      </c>
      <c r="LH18">
        <v>43654</v>
      </c>
      <c r="LI18">
        <v>602</v>
      </c>
      <c r="LJ18">
        <v>44221</v>
      </c>
      <c r="LK18">
        <v>43655</v>
      </c>
      <c r="LL18">
        <v>602</v>
      </c>
      <c r="LM18">
        <v>44223</v>
      </c>
      <c r="LN18">
        <v>44461</v>
      </c>
      <c r="LO18">
        <v>383</v>
      </c>
      <c r="LP18">
        <v>44224</v>
      </c>
      <c r="LQ18">
        <v>44893</v>
      </c>
      <c r="LR18">
        <v>435</v>
      </c>
      <c r="LS18">
        <v>44225</v>
      </c>
      <c r="LT18">
        <v>45268</v>
      </c>
      <c r="LU18">
        <v>374</v>
      </c>
    </row>
    <row r="19" spans="1:333">
      <c r="A19" t="str">
        <f t="shared" ca="1" si="0"/>
        <v>30.1</v>
      </c>
      <c r="B19" s="4">
        <f t="shared" ca="1" si="1"/>
        <v>44226</v>
      </c>
      <c r="C19" s="11">
        <f t="shared" ca="1" si="2"/>
        <v>45512</v>
      </c>
      <c r="D19">
        <f t="shared" ca="1" si="3"/>
        <v>232</v>
      </c>
      <c r="E19" s="11">
        <f t="shared" ca="1" si="4"/>
        <v>1</v>
      </c>
      <c r="F19" s="11">
        <f t="shared" ca="1" si="5"/>
        <v>231</v>
      </c>
      <c r="K19" s="3"/>
      <c r="M19" s="16">
        <v>44226</v>
      </c>
      <c r="N19">
        <v>45499</v>
      </c>
      <c r="O19">
        <v>231</v>
      </c>
      <c r="P19" s="16">
        <v>44226</v>
      </c>
      <c r="Q19">
        <v>45499</v>
      </c>
      <c r="R19">
        <v>231</v>
      </c>
      <c r="S19" s="16">
        <v>44097</v>
      </c>
      <c r="T19">
        <v>9581</v>
      </c>
      <c r="U19">
        <v>118</v>
      </c>
      <c r="V19" s="16">
        <v>44098</v>
      </c>
      <c r="W19">
        <v>9680</v>
      </c>
      <c r="X19">
        <v>98</v>
      </c>
      <c r="Y19" s="16">
        <v>44099</v>
      </c>
      <c r="Z19">
        <v>9808</v>
      </c>
      <c r="AA19">
        <v>127</v>
      </c>
      <c r="AB19" s="16">
        <v>44100</v>
      </c>
      <c r="AC19">
        <v>9880</v>
      </c>
      <c r="AD19">
        <v>73</v>
      </c>
      <c r="AE19" s="16">
        <v>44101</v>
      </c>
      <c r="AF19">
        <v>9950</v>
      </c>
      <c r="AG19">
        <v>70</v>
      </c>
      <c r="AH19" s="16">
        <v>44102</v>
      </c>
      <c r="AI19">
        <v>10075</v>
      </c>
      <c r="AJ19">
        <v>123</v>
      </c>
      <c r="AK19" s="16">
        <v>44103</v>
      </c>
      <c r="AL19">
        <v>10208</v>
      </c>
      <c r="AM19">
        <v>135</v>
      </c>
      <c r="AN19" s="16">
        <v>44104</v>
      </c>
      <c r="AO19">
        <v>10374</v>
      </c>
      <c r="AP19">
        <v>166</v>
      </c>
      <c r="AQ19" s="16">
        <v>44105</v>
      </c>
      <c r="AR19">
        <v>10561</v>
      </c>
      <c r="AS19">
        <v>188</v>
      </c>
      <c r="AT19" s="16">
        <v>44106</v>
      </c>
      <c r="AU19">
        <v>10746</v>
      </c>
      <c r="AV19">
        <v>187</v>
      </c>
      <c r="AW19" s="16">
        <v>44107</v>
      </c>
      <c r="AX19">
        <v>10914</v>
      </c>
      <c r="AY19">
        <v>169</v>
      </c>
      <c r="AZ19" s="16">
        <v>44108</v>
      </c>
      <c r="BA19">
        <v>11061</v>
      </c>
      <c r="BB19">
        <v>147</v>
      </c>
      <c r="BC19" s="16">
        <v>44109</v>
      </c>
      <c r="BD19">
        <v>11350</v>
      </c>
      <c r="BE19">
        <v>289</v>
      </c>
      <c r="BF19" s="16">
        <v>44110</v>
      </c>
      <c r="BG19">
        <v>11648</v>
      </c>
      <c r="BH19">
        <v>299</v>
      </c>
      <c r="BI19" s="16">
        <v>44111</v>
      </c>
      <c r="BJ19">
        <v>11956</v>
      </c>
      <c r="BK19">
        <v>306</v>
      </c>
      <c r="BL19" s="16">
        <v>44112</v>
      </c>
      <c r="BM19">
        <v>12217</v>
      </c>
      <c r="BN19">
        <v>260</v>
      </c>
      <c r="BO19" s="16">
        <v>44113</v>
      </c>
      <c r="BP19">
        <v>12442</v>
      </c>
      <c r="BQ19">
        <v>226</v>
      </c>
      <c r="BR19" s="16">
        <v>44114</v>
      </c>
      <c r="BS19">
        <v>12552</v>
      </c>
      <c r="BT19">
        <v>109</v>
      </c>
      <c r="BU19" s="16">
        <v>44116</v>
      </c>
      <c r="BV19">
        <v>12934</v>
      </c>
      <c r="BW19">
        <v>252</v>
      </c>
      <c r="BX19" s="16">
        <v>44117</v>
      </c>
      <c r="BY19">
        <v>13133</v>
      </c>
      <c r="BZ19">
        <v>197</v>
      </c>
      <c r="CA19" s="16">
        <v>44118</v>
      </c>
      <c r="CB19">
        <v>13337</v>
      </c>
      <c r="CC19">
        <v>200</v>
      </c>
      <c r="CD19" s="16">
        <v>44119</v>
      </c>
      <c r="CE19">
        <v>13535</v>
      </c>
      <c r="CF19">
        <v>190</v>
      </c>
      <c r="CG19" s="16">
        <v>44120</v>
      </c>
      <c r="CH19">
        <v>13728</v>
      </c>
      <c r="CI19">
        <v>192</v>
      </c>
      <c r="CJ19" s="16">
        <v>44121</v>
      </c>
      <c r="CK19">
        <v>13828</v>
      </c>
      <c r="CL19">
        <v>100</v>
      </c>
      <c r="CM19" s="16">
        <v>44122</v>
      </c>
      <c r="CN19">
        <v>13955</v>
      </c>
      <c r="CO19">
        <v>127</v>
      </c>
      <c r="CP19" s="16">
        <v>44123</v>
      </c>
      <c r="CQ19">
        <v>14199</v>
      </c>
      <c r="CR19">
        <v>244</v>
      </c>
      <c r="CS19" s="16">
        <v>44124</v>
      </c>
      <c r="CT19">
        <v>14365</v>
      </c>
      <c r="CU19">
        <v>162</v>
      </c>
      <c r="CV19" s="16">
        <v>44125</v>
      </c>
      <c r="CW19">
        <v>14557</v>
      </c>
      <c r="CX19">
        <v>189</v>
      </c>
      <c r="CY19" s="16">
        <v>44127</v>
      </c>
      <c r="CZ19">
        <v>14960</v>
      </c>
      <c r="DA19">
        <v>192</v>
      </c>
      <c r="DB19" s="16">
        <v>44128</v>
      </c>
      <c r="DC19">
        <v>15067</v>
      </c>
      <c r="DD19">
        <v>108</v>
      </c>
      <c r="DE19" s="16">
        <v>44129</v>
      </c>
      <c r="DF19">
        <v>15192</v>
      </c>
      <c r="DG19">
        <v>123</v>
      </c>
      <c r="DH19" s="16">
        <v>44130</v>
      </c>
      <c r="DI19">
        <v>15448</v>
      </c>
      <c r="DJ19">
        <v>255</v>
      </c>
      <c r="DK19" s="16">
        <v>44131</v>
      </c>
      <c r="DL19">
        <v>15683</v>
      </c>
      <c r="DM19">
        <v>230</v>
      </c>
      <c r="DN19" s="16">
        <v>44132</v>
      </c>
      <c r="DO19">
        <v>15924</v>
      </c>
      <c r="DP19">
        <v>240</v>
      </c>
      <c r="DQ19" s="16">
        <v>44133</v>
      </c>
      <c r="DR19">
        <v>16162</v>
      </c>
      <c r="DS19">
        <v>237</v>
      </c>
      <c r="DT19" s="16">
        <v>44134</v>
      </c>
      <c r="DU19">
        <v>16383</v>
      </c>
      <c r="DV19">
        <v>219</v>
      </c>
      <c r="DW19" s="16">
        <v>44135</v>
      </c>
      <c r="DX19">
        <v>16504</v>
      </c>
      <c r="DY19">
        <v>121</v>
      </c>
      <c r="DZ19" s="16">
        <v>44136</v>
      </c>
      <c r="EA19">
        <v>16654</v>
      </c>
      <c r="EB19">
        <v>150</v>
      </c>
      <c r="EC19" s="16">
        <v>44137</v>
      </c>
      <c r="ED19">
        <v>16927</v>
      </c>
      <c r="EE19">
        <v>281</v>
      </c>
      <c r="EF19" s="16">
        <v>44138</v>
      </c>
      <c r="EG19">
        <v>17168</v>
      </c>
      <c r="EH19">
        <v>241</v>
      </c>
      <c r="EI19" s="16">
        <v>44139</v>
      </c>
      <c r="EJ19">
        <v>17378</v>
      </c>
      <c r="EK19">
        <v>210</v>
      </c>
      <c r="EL19" s="16">
        <v>44140</v>
      </c>
      <c r="EM19">
        <v>17598</v>
      </c>
      <c r="EN19">
        <v>220</v>
      </c>
      <c r="EO19" s="16">
        <v>44141</v>
      </c>
      <c r="EP19">
        <v>17792</v>
      </c>
      <c r="EQ19">
        <v>194</v>
      </c>
      <c r="ER19" s="16">
        <v>44142</v>
      </c>
      <c r="ES19">
        <v>17922</v>
      </c>
      <c r="ET19">
        <v>128</v>
      </c>
      <c r="EU19" s="16">
        <v>44143</v>
      </c>
      <c r="EV19">
        <v>18055</v>
      </c>
      <c r="EW19">
        <v>133</v>
      </c>
      <c r="EX19" s="16">
        <v>44144</v>
      </c>
      <c r="EY19">
        <v>18330</v>
      </c>
      <c r="EZ19">
        <v>275</v>
      </c>
      <c r="FA19" s="16">
        <v>44145</v>
      </c>
      <c r="FB19">
        <v>18534</v>
      </c>
      <c r="FC19">
        <v>205</v>
      </c>
      <c r="FD19" s="16">
        <v>44146</v>
      </c>
      <c r="FE19">
        <v>18774</v>
      </c>
      <c r="FF19">
        <v>292</v>
      </c>
      <c r="FG19" s="16">
        <v>44147</v>
      </c>
      <c r="FH19">
        <v>19112</v>
      </c>
      <c r="FI19">
        <v>277</v>
      </c>
      <c r="FJ19" s="16">
        <v>44148</v>
      </c>
      <c r="FK19">
        <v>19392</v>
      </c>
      <c r="FL19">
        <v>264</v>
      </c>
      <c r="FM19" s="16">
        <v>44149</v>
      </c>
      <c r="FN19">
        <v>19537</v>
      </c>
      <c r="FO19">
        <v>145</v>
      </c>
      <c r="FP19" s="16">
        <v>44150</v>
      </c>
      <c r="FQ19">
        <v>19718</v>
      </c>
      <c r="FR19">
        <v>181</v>
      </c>
      <c r="FS19" s="16">
        <v>44151</v>
      </c>
      <c r="FT19">
        <v>20131</v>
      </c>
      <c r="FU19">
        <v>393</v>
      </c>
      <c r="FV19" s="16">
        <v>44152</v>
      </c>
      <c r="FW19">
        <v>20524</v>
      </c>
      <c r="FX19">
        <v>391</v>
      </c>
      <c r="FY19" s="16">
        <v>44153</v>
      </c>
      <c r="FZ19">
        <v>20902</v>
      </c>
      <c r="GA19">
        <v>372</v>
      </c>
      <c r="GB19" s="16">
        <v>44154</v>
      </c>
      <c r="GC19">
        <v>21380</v>
      </c>
      <c r="GD19">
        <v>479</v>
      </c>
      <c r="GE19" s="16">
        <v>44155</v>
      </c>
      <c r="GF19">
        <v>21812</v>
      </c>
      <c r="GG19">
        <v>431</v>
      </c>
      <c r="GH19" s="16">
        <v>44156</v>
      </c>
      <c r="GI19">
        <v>22083</v>
      </c>
      <c r="GJ19">
        <v>269</v>
      </c>
      <c r="GK19" s="16">
        <v>44157</v>
      </c>
      <c r="GL19">
        <v>22346</v>
      </c>
      <c r="GM19">
        <v>263</v>
      </c>
      <c r="GN19" s="16">
        <v>44158</v>
      </c>
      <c r="GO19">
        <v>22836</v>
      </c>
      <c r="GP19">
        <v>490</v>
      </c>
      <c r="GQ19" s="16">
        <v>44159</v>
      </c>
      <c r="GR19">
        <v>23299</v>
      </c>
      <c r="GS19">
        <v>461</v>
      </c>
      <c r="GT19" s="16">
        <v>44160</v>
      </c>
      <c r="GU19">
        <v>23930</v>
      </c>
      <c r="GV19">
        <v>615</v>
      </c>
      <c r="GW19" s="16">
        <v>44161</v>
      </c>
      <c r="GX19">
        <v>24446</v>
      </c>
      <c r="GY19">
        <v>511</v>
      </c>
      <c r="GZ19" s="16">
        <v>44162</v>
      </c>
      <c r="HA19">
        <v>24908</v>
      </c>
      <c r="HB19">
        <v>460</v>
      </c>
      <c r="HC19" s="16">
        <v>44163</v>
      </c>
      <c r="HD19">
        <v>25189</v>
      </c>
      <c r="HE19">
        <v>282</v>
      </c>
      <c r="HF19" s="16">
        <v>44164</v>
      </c>
      <c r="HG19">
        <v>25475</v>
      </c>
      <c r="HH19">
        <v>293</v>
      </c>
      <c r="HI19" s="16">
        <v>44165</v>
      </c>
      <c r="HJ19">
        <v>26069</v>
      </c>
      <c r="HK19">
        <v>595</v>
      </c>
      <c r="HL19" s="16">
        <v>44166</v>
      </c>
      <c r="HM19">
        <v>26507</v>
      </c>
      <c r="HN19">
        <v>440</v>
      </c>
      <c r="HO19" s="16">
        <v>44167</v>
      </c>
      <c r="HP19">
        <v>27009</v>
      </c>
      <c r="HQ19">
        <v>493</v>
      </c>
      <c r="HR19" s="16">
        <v>44168</v>
      </c>
      <c r="HS19">
        <v>27482</v>
      </c>
      <c r="HT19">
        <v>476</v>
      </c>
      <c r="HU19" s="16">
        <v>44169</v>
      </c>
      <c r="HV19">
        <v>27957</v>
      </c>
      <c r="HW19">
        <v>472</v>
      </c>
      <c r="HX19" s="16">
        <v>44170</v>
      </c>
      <c r="HY19">
        <v>28205</v>
      </c>
      <c r="HZ19">
        <v>249</v>
      </c>
      <c r="IA19" s="16">
        <v>44171</v>
      </c>
      <c r="IB19">
        <v>28485</v>
      </c>
      <c r="IC19">
        <v>281</v>
      </c>
      <c r="ID19" s="16">
        <v>44172</v>
      </c>
      <c r="IE19">
        <v>29075</v>
      </c>
      <c r="IF19">
        <v>587</v>
      </c>
      <c r="IG19" s="16">
        <v>44173</v>
      </c>
      <c r="IH19">
        <v>29550</v>
      </c>
      <c r="II19">
        <v>476</v>
      </c>
      <c r="IJ19" s="16">
        <v>44174</v>
      </c>
      <c r="IK19">
        <v>30013</v>
      </c>
      <c r="IL19">
        <v>462</v>
      </c>
      <c r="IM19" s="16">
        <v>44175</v>
      </c>
      <c r="IN19">
        <v>30421</v>
      </c>
      <c r="IO19">
        <v>408</v>
      </c>
      <c r="IP19">
        <v>44176</v>
      </c>
      <c r="IQ19">
        <v>30864</v>
      </c>
      <c r="IR19">
        <v>443</v>
      </c>
      <c r="IS19">
        <v>44177</v>
      </c>
      <c r="IT19">
        <v>31114</v>
      </c>
      <c r="IU19">
        <v>250</v>
      </c>
      <c r="IV19">
        <v>44178</v>
      </c>
      <c r="IW19">
        <v>31389</v>
      </c>
      <c r="IX19">
        <v>275</v>
      </c>
      <c r="IY19">
        <v>44179</v>
      </c>
      <c r="IZ19">
        <v>31854</v>
      </c>
      <c r="JA19">
        <v>461</v>
      </c>
      <c r="JB19">
        <v>44183</v>
      </c>
      <c r="JC19">
        <v>33286</v>
      </c>
      <c r="JD19">
        <v>395</v>
      </c>
      <c r="JE19">
        <v>44187</v>
      </c>
      <c r="JF19">
        <v>34422</v>
      </c>
      <c r="JG19">
        <v>331</v>
      </c>
      <c r="JH19">
        <v>44188</v>
      </c>
      <c r="JI19">
        <v>34743</v>
      </c>
      <c r="JJ19">
        <v>277</v>
      </c>
      <c r="JK19">
        <v>44189</v>
      </c>
      <c r="JL19">
        <v>34875</v>
      </c>
      <c r="JM19">
        <v>139</v>
      </c>
      <c r="JN19">
        <v>44190</v>
      </c>
      <c r="JO19">
        <v>35023</v>
      </c>
      <c r="JP19">
        <v>157</v>
      </c>
      <c r="JQ19">
        <v>44192</v>
      </c>
      <c r="JR19">
        <v>35399</v>
      </c>
      <c r="JS19">
        <v>188</v>
      </c>
      <c r="JT19">
        <v>44192</v>
      </c>
      <c r="JU19">
        <v>35400</v>
      </c>
      <c r="JV19">
        <v>188</v>
      </c>
      <c r="JW19">
        <v>44194</v>
      </c>
      <c r="JX19">
        <v>36131</v>
      </c>
      <c r="JY19">
        <v>306</v>
      </c>
      <c r="JZ19">
        <v>44206</v>
      </c>
      <c r="KA19">
        <v>38971</v>
      </c>
      <c r="KB19">
        <v>183</v>
      </c>
      <c r="KC19">
        <v>44206</v>
      </c>
      <c r="KD19">
        <v>38983</v>
      </c>
      <c r="KE19">
        <v>185</v>
      </c>
      <c r="KF19">
        <v>44207</v>
      </c>
      <c r="KG19">
        <v>39362</v>
      </c>
      <c r="KH19">
        <v>387</v>
      </c>
      <c r="KI19">
        <v>44209</v>
      </c>
      <c r="KJ19">
        <v>39845</v>
      </c>
      <c r="KK19">
        <v>258</v>
      </c>
      <c r="KL19">
        <v>44210</v>
      </c>
      <c r="KM19">
        <v>40098</v>
      </c>
      <c r="KN19">
        <v>248</v>
      </c>
      <c r="KO19">
        <v>44214</v>
      </c>
      <c r="KP19">
        <v>41176</v>
      </c>
      <c r="KQ19">
        <v>447</v>
      </c>
      <c r="KR19">
        <v>44215</v>
      </c>
      <c r="KS19">
        <v>41523</v>
      </c>
      <c r="KT19">
        <v>343</v>
      </c>
      <c r="KU19">
        <v>44216</v>
      </c>
      <c r="KV19">
        <v>41922</v>
      </c>
      <c r="KW19">
        <v>398</v>
      </c>
      <c r="KX19">
        <v>44218</v>
      </c>
      <c r="KY19">
        <v>42657</v>
      </c>
      <c r="KZ19">
        <v>357</v>
      </c>
      <c r="LA19">
        <v>44219</v>
      </c>
      <c r="LB19">
        <v>42841</v>
      </c>
      <c r="LC19">
        <v>168</v>
      </c>
      <c r="LD19">
        <v>44220</v>
      </c>
      <c r="LE19">
        <v>43085</v>
      </c>
      <c r="LF19">
        <v>244</v>
      </c>
      <c r="LG19">
        <v>44222</v>
      </c>
      <c r="LH19">
        <v>44052</v>
      </c>
      <c r="LI19">
        <v>398</v>
      </c>
      <c r="LJ19">
        <v>44222</v>
      </c>
      <c r="LK19">
        <v>44053</v>
      </c>
      <c r="LL19">
        <v>398</v>
      </c>
      <c r="LM19">
        <v>44224</v>
      </c>
      <c r="LN19">
        <v>44897</v>
      </c>
      <c r="LO19">
        <v>436</v>
      </c>
      <c r="LP19">
        <v>44225</v>
      </c>
      <c r="LQ19">
        <v>45267</v>
      </c>
      <c r="LR19">
        <v>374</v>
      </c>
      <c r="LS19">
        <v>44226</v>
      </c>
      <c r="LT19">
        <v>45499</v>
      </c>
      <c r="LU19">
        <v>231</v>
      </c>
    </row>
    <row r="20" spans="1:333">
      <c r="A20" t="str">
        <f t="shared" ca="1" si="0"/>
        <v>31.1</v>
      </c>
      <c r="B20" s="4">
        <f t="shared" ca="1" si="1"/>
        <v>44227</v>
      </c>
      <c r="C20" s="11">
        <f t="shared" ca="1" si="2"/>
        <v>45784</v>
      </c>
      <c r="D20">
        <f t="shared" ca="1" si="3"/>
        <v>272</v>
      </c>
      <c r="E20" s="11">
        <f t="shared" ca="1" si="4"/>
        <v>-1</v>
      </c>
      <c r="F20" s="11">
        <f t="shared" ca="1" si="5"/>
        <v>273</v>
      </c>
      <c r="K20" s="3"/>
      <c r="M20" s="16">
        <v>44227</v>
      </c>
      <c r="N20">
        <v>45772</v>
      </c>
      <c r="O20">
        <v>273</v>
      </c>
      <c r="P20" s="16">
        <v>44227</v>
      </c>
      <c r="Q20">
        <v>45772</v>
      </c>
      <c r="R20">
        <v>273</v>
      </c>
      <c r="S20" s="16">
        <v>44098</v>
      </c>
      <c r="T20">
        <v>9679</v>
      </c>
      <c r="U20">
        <v>98</v>
      </c>
      <c r="V20" s="16">
        <v>44099</v>
      </c>
      <c r="W20">
        <v>9805</v>
      </c>
      <c r="X20">
        <v>125</v>
      </c>
      <c r="Y20" s="16">
        <v>44100</v>
      </c>
      <c r="Z20">
        <v>9881</v>
      </c>
      <c r="AA20">
        <v>73</v>
      </c>
      <c r="AB20" s="16">
        <v>44101</v>
      </c>
      <c r="AC20">
        <v>9950</v>
      </c>
      <c r="AD20">
        <v>70</v>
      </c>
      <c r="AE20" s="16">
        <v>44102</v>
      </c>
      <c r="AF20">
        <v>10074</v>
      </c>
      <c r="AG20">
        <v>124</v>
      </c>
      <c r="AH20" s="16">
        <v>44103</v>
      </c>
      <c r="AI20">
        <v>10210</v>
      </c>
      <c r="AJ20">
        <v>135</v>
      </c>
      <c r="AK20" s="16">
        <v>44104</v>
      </c>
      <c r="AL20">
        <v>10374</v>
      </c>
      <c r="AM20">
        <v>166</v>
      </c>
      <c r="AN20" s="16">
        <v>44105</v>
      </c>
      <c r="AO20">
        <v>10562</v>
      </c>
      <c r="AP20">
        <v>188</v>
      </c>
      <c r="AQ20" s="16">
        <v>44106</v>
      </c>
      <c r="AR20">
        <v>10748</v>
      </c>
      <c r="AS20">
        <v>187</v>
      </c>
      <c r="AT20" s="16">
        <v>44107</v>
      </c>
      <c r="AU20">
        <v>10915</v>
      </c>
      <c r="AV20">
        <v>169</v>
      </c>
      <c r="AW20" s="16">
        <v>44108</v>
      </c>
      <c r="AX20">
        <v>11061</v>
      </c>
      <c r="AY20">
        <v>147</v>
      </c>
      <c r="AZ20" s="16">
        <v>44109</v>
      </c>
      <c r="BA20">
        <v>11347</v>
      </c>
      <c r="BB20">
        <v>286</v>
      </c>
      <c r="BC20" s="16">
        <v>44110</v>
      </c>
      <c r="BD20">
        <v>11649</v>
      </c>
      <c r="BE20">
        <v>299</v>
      </c>
      <c r="BF20" s="16">
        <v>44111</v>
      </c>
      <c r="BG20">
        <v>11954</v>
      </c>
      <c r="BH20">
        <v>306</v>
      </c>
      <c r="BI20" s="16">
        <v>44112</v>
      </c>
      <c r="BJ20">
        <v>12216</v>
      </c>
      <c r="BK20">
        <v>260</v>
      </c>
      <c r="BL20" s="16">
        <v>44113</v>
      </c>
      <c r="BM20">
        <v>12443</v>
      </c>
      <c r="BN20">
        <v>226</v>
      </c>
      <c r="BO20" s="16">
        <v>44114</v>
      </c>
      <c r="BP20">
        <v>12551</v>
      </c>
      <c r="BQ20">
        <v>109</v>
      </c>
      <c r="BR20" s="16">
        <v>44115</v>
      </c>
      <c r="BS20">
        <v>12682</v>
      </c>
      <c r="BT20">
        <v>130</v>
      </c>
      <c r="BU20" s="16">
        <v>44117</v>
      </c>
      <c r="BV20">
        <v>13132</v>
      </c>
      <c r="BW20">
        <v>198</v>
      </c>
      <c r="BX20" s="16">
        <v>44118</v>
      </c>
      <c r="BY20">
        <v>13333</v>
      </c>
      <c r="BZ20">
        <v>200</v>
      </c>
      <c r="CA20" s="16">
        <v>44119</v>
      </c>
      <c r="CB20">
        <v>13527</v>
      </c>
      <c r="CC20">
        <v>190</v>
      </c>
      <c r="CD20" s="16">
        <v>44120</v>
      </c>
      <c r="CE20">
        <v>13727</v>
      </c>
      <c r="CF20">
        <v>192</v>
      </c>
      <c r="CG20" s="16">
        <v>44121</v>
      </c>
      <c r="CH20">
        <v>13828</v>
      </c>
      <c r="CI20">
        <v>100</v>
      </c>
      <c r="CJ20" s="16">
        <v>44122</v>
      </c>
      <c r="CK20">
        <v>13955</v>
      </c>
      <c r="CL20">
        <v>127</v>
      </c>
      <c r="CM20" s="16">
        <v>44123</v>
      </c>
      <c r="CN20">
        <v>14199</v>
      </c>
      <c r="CO20">
        <v>244</v>
      </c>
      <c r="CP20" s="16">
        <v>44124</v>
      </c>
      <c r="CQ20">
        <v>14361</v>
      </c>
      <c r="CR20">
        <v>162</v>
      </c>
      <c r="CS20" s="16">
        <v>44125</v>
      </c>
      <c r="CT20">
        <v>14554</v>
      </c>
      <c r="CU20">
        <v>189</v>
      </c>
      <c r="CV20" s="16">
        <v>44126</v>
      </c>
      <c r="CW20">
        <v>14770</v>
      </c>
      <c r="CX20">
        <v>213</v>
      </c>
      <c r="CY20" s="16">
        <v>44128</v>
      </c>
      <c r="CZ20">
        <v>15068</v>
      </c>
      <c r="DA20">
        <v>108</v>
      </c>
      <c r="DB20" s="16">
        <v>44129</v>
      </c>
      <c r="DC20">
        <v>15190</v>
      </c>
      <c r="DD20">
        <v>123</v>
      </c>
      <c r="DE20" s="16">
        <v>44130</v>
      </c>
      <c r="DF20">
        <v>15447</v>
      </c>
      <c r="DG20">
        <v>255</v>
      </c>
      <c r="DH20" s="16">
        <v>44131</v>
      </c>
      <c r="DI20">
        <v>15677</v>
      </c>
      <c r="DJ20">
        <v>229</v>
      </c>
      <c r="DK20" s="16">
        <v>44132</v>
      </c>
      <c r="DL20">
        <v>15923</v>
      </c>
      <c r="DM20">
        <v>240</v>
      </c>
      <c r="DN20" s="16">
        <v>44133</v>
      </c>
      <c r="DO20">
        <v>16161</v>
      </c>
      <c r="DP20">
        <v>237</v>
      </c>
      <c r="DQ20" s="16">
        <v>44134</v>
      </c>
      <c r="DR20">
        <v>16381</v>
      </c>
      <c r="DS20">
        <v>219</v>
      </c>
      <c r="DT20" s="16">
        <v>44135</v>
      </c>
      <c r="DU20">
        <v>16504</v>
      </c>
      <c r="DV20">
        <v>121</v>
      </c>
      <c r="DW20" s="16">
        <v>44136</v>
      </c>
      <c r="DX20">
        <v>16654</v>
      </c>
      <c r="DY20">
        <v>150</v>
      </c>
      <c r="DZ20" s="16">
        <v>44137</v>
      </c>
      <c r="EA20">
        <v>16935</v>
      </c>
      <c r="EB20">
        <v>281</v>
      </c>
      <c r="EC20" s="16">
        <v>44138</v>
      </c>
      <c r="ED20">
        <v>17168</v>
      </c>
      <c r="EE20">
        <v>241</v>
      </c>
      <c r="EF20" s="16">
        <v>44139</v>
      </c>
      <c r="EG20">
        <v>17378</v>
      </c>
      <c r="EH20">
        <v>210</v>
      </c>
      <c r="EI20" s="16">
        <v>44140</v>
      </c>
      <c r="EJ20">
        <v>17598</v>
      </c>
      <c r="EK20">
        <v>220</v>
      </c>
      <c r="EL20" s="16">
        <v>44141</v>
      </c>
      <c r="EM20">
        <v>17792</v>
      </c>
      <c r="EN20">
        <v>194</v>
      </c>
      <c r="EO20" s="16">
        <v>44142</v>
      </c>
      <c r="EP20">
        <v>17920</v>
      </c>
      <c r="EQ20">
        <v>128</v>
      </c>
      <c r="ER20" s="16">
        <v>44143</v>
      </c>
      <c r="ES20">
        <v>18055</v>
      </c>
      <c r="ET20">
        <v>133</v>
      </c>
      <c r="EU20" s="16">
        <v>44144</v>
      </c>
      <c r="EV20">
        <v>18330</v>
      </c>
      <c r="EW20">
        <v>275</v>
      </c>
      <c r="EX20" s="16">
        <v>44145</v>
      </c>
      <c r="EY20">
        <v>18535</v>
      </c>
      <c r="EZ20">
        <v>205</v>
      </c>
      <c r="FA20" s="16">
        <v>44146</v>
      </c>
      <c r="FB20">
        <v>18825</v>
      </c>
      <c r="FC20">
        <v>291</v>
      </c>
      <c r="FD20" s="16">
        <v>44147</v>
      </c>
      <c r="FE20">
        <v>19051</v>
      </c>
      <c r="FF20">
        <v>277</v>
      </c>
      <c r="FG20" s="16">
        <v>44148</v>
      </c>
      <c r="FH20">
        <v>19374</v>
      </c>
      <c r="FI20">
        <v>262</v>
      </c>
      <c r="FJ20" s="16">
        <v>44149</v>
      </c>
      <c r="FK20">
        <v>19537</v>
      </c>
      <c r="FL20">
        <v>145</v>
      </c>
      <c r="FM20" s="16">
        <v>44150</v>
      </c>
      <c r="FN20">
        <v>19718</v>
      </c>
      <c r="FO20">
        <v>181</v>
      </c>
      <c r="FP20" s="16">
        <v>44151</v>
      </c>
      <c r="FQ20">
        <v>20111</v>
      </c>
      <c r="FR20">
        <v>393</v>
      </c>
      <c r="FS20" s="16">
        <v>44152</v>
      </c>
      <c r="FT20">
        <v>20522</v>
      </c>
      <c r="FU20">
        <v>391</v>
      </c>
      <c r="FV20" s="16">
        <v>44153</v>
      </c>
      <c r="FW20">
        <v>20896</v>
      </c>
      <c r="FX20">
        <v>372</v>
      </c>
      <c r="FY20" s="16">
        <v>44154</v>
      </c>
      <c r="FZ20">
        <v>21381</v>
      </c>
      <c r="GA20">
        <v>479</v>
      </c>
      <c r="GB20" s="16">
        <v>44155</v>
      </c>
      <c r="GC20">
        <v>21811</v>
      </c>
      <c r="GD20">
        <v>431</v>
      </c>
      <c r="GE20" s="16">
        <v>44156</v>
      </c>
      <c r="GF20">
        <v>22081</v>
      </c>
      <c r="GG20">
        <v>269</v>
      </c>
      <c r="GH20" s="16">
        <v>44157</v>
      </c>
      <c r="GI20">
        <v>22346</v>
      </c>
      <c r="GJ20">
        <v>263</v>
      </c>
      <c r="GK20" s="16">
        <v>44158</v>
      </c>
      <c r="GL20">
        <v>22836</v>
      </c>
      <c r="GM20">
        <v>490</v>
      </c>
      <c r="GN20" s="16">
        <v>44159</v>
      </c>
      <c r="GO20">
        <v>23296</v>
      </c>
      <c r="GP20">
        <v>460</v>
      </c>
      <c r="GQ20" s="16">
        <v>44160</v>
      </c>
      <c r="GR20">
        <v>23900</v>
      </c>
      <c r="GS20">
        <v>601</v>
      </c>
      <c r="GT20" s="16">
        <v>44161</v>
      </c>
      <c r="GU20">
        <v>24441</v>
      </c>
      <c r="GV20">
        <v>511</v>
      </c>
      <c r="GW20" s="16">
        <v>44162</v>
      </c>
      <c r="GX20">
        <v>24906</v>
      </c>
      <c r="GY20">
        <v>460</v>
      </c>
      <c r="GZ20" s="16">
        <v>44163</v>
      </c>
      <c r="HA20">
        <v>25190</v>
      </c>
      <c r="HB20">
        <v>282</v>
      </c>
      <c r="HC20" s="16">
        <v>44164</v>
      </c>
      <c r="HD20">
        <v>25482</v>
      </c>
      <c r="HE20">
        <v>293</v>
      </c>
      <c r="HF20" s="16">
        <v>44165</v>
      </c>
      <c r="HG20">
        <v>26071</v>
      </c>
      <c r="HH20">
        <v>596</v>
      </c>
      <c r="HI20" s="16">
        <v>44166</v>
      </c>
      <c r="HJ20">
        <v>26510</v>
      </c>
      <c r="HK20">
        <v>441</v>
      </c>
      <c r="HL20" s="16">
        <v>44167</v>
      </c>
      <c r="HM20">
        <v>27000</v>
      </c>
      <c r="HN20">
        <v>493</v>
      </c>
      <c r="HO20" s="16">
        <v>44168</v>
      </c>
      <c r="HP20">
        <v>27485</v>
      </c>
      <c r="HQ20">
        <v>476</v>
      </c>
      <c r="HR20" s="16">
        <v>44169</v>
      </c>
      <c r="HS20">
        <v>27954</v>
      </c>
      <c r="HT20">
        <v>472</v>
      </c>
      <c r="HU20" s="16">
        <v>44170</v>
      </c>
      <c r="HV20">
        <v>28206</v>
      </c>
      <c r="HW20">
        <v>249</v>
      </c>
      <c r="HX20" s="16">
        <v>44171</v>
      </c>
      <c r="HY20">
        <v>28486</v>
      </c>
      <c r="HZ20">
        <v>281</v>
      </c>
      <c r="IA20" s="16">
        <v>44172</v>
      </c>
      <c r="IB20">
        <v>29072</v>
      </c>
      <c r="IC20">
        <v>587</v>
      </c>
      <c r="ID20" s="16">
        <v>44173</v>
      </c>
      <c r="IE20">
        <v>29551</v>
      </c>
      <c r="IF20">
        <v>476</v>
      </c>
      <c r="IG20" s="16">
        <v>44174</v>
      </c>
      <c r="IH20">
        <v>30012</v>
      </c>
      <c r="II20">
        <v>462</v>
      </c>
      <c r="IJ20" s="16">
        <v>44175</v>
      </c>
      <c r="IK20">
        <v>30421</v>
      </c>
      <c r="IL20">
        <v>408</v>
      </c>
      <c r="IM20" s="16">
        <v>44176</v>
      </c>
      <c r="IN20">
        <v>30864</v>
      </c>
      <c r="IO20">
        <v>443</v>
      </c>
      <c r="IP20">
        <v>44177</v>
      </c>
      <c r="IQ20">
        <v>31114</v>
      </c>
      <c r="IR20">
        <v>250</v>
      </c>
      <c r="IS20">
        <v>44178</v>
      </c>
      <c r="IT20">
        <v>31389</v>
      </c>
      <c r="IU20">
        <v>275</v>
      </c>
      <c r="IV20">
        <v>44179</v>
      </c>
      <c r="IW20">
        <v>31850</v>
      </c>
      <c r="IX20">
        <v>461</v>
      </c>
      <c r="IY20">
        <v>44180</v>
      </c>
      <c r="IZ20">
        <v>32212</v>
      </c>
      <c r="JA20">
        <v>358</v>
      </c>
      <c r="JB20">
        <v>44184</v>
      </c>
      <c r="JC20">
        <v>33476</v>
      </c>
      <c r="JD20">
        <v>190</v>
      </c>
      <c r="JE20">
        <v>44188</v>
      </c>
      <c r="JF20">
        <v>34699</v>
      </c>
      <c r="JG20">
        <v>277</v>
      </c>
      <c r="JH20">
        <v>44189</v>
      </c>
      <c r="JI20">
        <v>34881</v>
      </c>
      <c r="JJ20">
        <v>138</v>
      </c>
      <c r="JK20">
        <v>44190</v>
      </c>
      <c r="JL20">
        <v>35032</v>
      </c>
      <c r="JM20">
        <v>157</v>
      </c>
      <c r="JN20">
        <v>44191</v>
      </c>
      <c r="JO20">
        <v>35206</v>
      </c>
      <c r="JP20">
        <v>183</v>
      </c>
      <c r="JQ20">
        <v>44193</v>
      </c>
      <c r="JR20">
        <v>35829</v>
      </c>
      <c r="JS20">
        <v>430</v>
      </c>
      <c r="JT20">
        <v>44193</v>
      </c>
      <c r="JU20">
        <v>35830</v>
      </c>
      <c r="JV20">
        <v>430</v>
      </c>
      <c r="JW20">
        <v>44195</v>
      </c>
      <c r="JX20">
        <v>36386</v>
      </c>
      <c r="JY20">
        <v>255</v>
      </c>
      <c r="JZ20">
        <v>44207</v>
      </c>
      <c r="KA20">
        <v>39307</v>
      </c>
      <c r="KB20">
        <v>336</v>
      </c>
      <c r="KC20">
        <v>44207</v>
      </c>
      <c r="KD20">
        <v>39370</v>
      </c>
      <c r="KE20">
        <v>387</v>
      </c>
      <c r="KF20">
        <v>44208</v>
      </c>
      <c r="KG20">
        <v>39588</v>
      </c>
      <c r="KH20">
        <v>226</v>
      </c>
      <c r="KI20">
        <v>44210</v>
      </c>
      <c r="KJ20">
        <v>40093</v>
      </c>
      <c r="KK20">
        <v>248</v>
      </c>
      <c r="KL20">
        <v>44211</v>
      </c>
      <c r="KM20">
        <v>40363</v>
      </c>
      <c r="KN20">
        <v>265</v>
      </c>
      <c r="KO20">
        <v>44215</v>
      </c>
      <c r="KP20">
        <v>41519</v>
      </c>
      <c r="KQ20">
        <v>343</v>
      </c>
      <c r="KR20">
        <v>44216</v>
      </c>
      <c r="KS20">
        <v>41921</v>
      </c>
      <c r="KT20">
        <v>398</v>
      </c>
      <c r="KU20">
        <v>44217</v>
      </c>
      <c r="KV20">
        <v>42299</v>
      </c>
      <c r="KW20">
        <v>377</v>
      </c>
      <c r="KX20">
        <v>44219</v>
      </c>
      <c r="KY20">
        <v>42827</v>
      </c>
      <c r="KZ20">
        <v>170</v>
      </c>
      <c r="LA20">
        <v>44220</v>
      </c>
      <c r="LB20">
        <v>43085</v>
      </c>
      <c r="LC20">
        <v>244</v>
      </c>
      <c r="LD20">
        <v>44221</v>
      </c>
      <c r="LE20">
        <v>43688</v>
      </c>
      <c r="LF20">
        <v>603</v>
      </c>
      <c r="LG20">
        <v>44223</v>
      </c>
      <c r="LH20">
        <v>44435</v>
      </c>
      <c r="LI20">
        <v>383</v>
      </c>
      <c r="LJ20">
        <v>44223</v>
      </c>
      <c r="LK20">
        <v>44436</v>
      </c>
      <c r="LL20">
        <v>383</v>
      </c>
      <c r="LM20">
        <v>44225</v>
      </c>
      <c r="LN20">
        <v>45270</v>
      </c>
      <c r="LO20">
        <v>373</v>
      </c>
      <c r="LP20">
        <v>44226</v>
      </c>
      <c r="LQ20">
        <v>45498</v>
      </c>
      <c r="LR20">
        <v>231</v>
      </c>
      <c r="LS20">
        <v>44227</v>
      </c>
      <c r="LT20">
        <v>45772</v>
      </c>
      <c r="LU20">
        <v>273</v>
      </c>
    </row>
    <row r="21" spans="1:333" s="10" customFormat="1">
      <c r="A21" t="str">
        <f t="shared" ca="1" si="0"/>
        <v>Ma 1</v>
      </c>
      <c r="B21" s="9">
        <f t="shared" ca="1" si="1"/>
        <v>44228</v>
      </c>
      <c r="C21" s="10">
        <f t="shared" ca="1" si="2"/>
        <v>46315</v>
      </c>
      <c r="D21" s="10">
        <f t="shared" ca="1" si="3"/>
        <v>531</v>
      </c>
      <c r="E21" s="10">
        <f t="shared" ca="1" si="4"/>
        <v>6</v>
      </c>
      <c r="F21" s="10">
        <f t="shared" ca="1" si="5"/>
        <v>525</v>
      </c>
      <c r="G21" s="10">
        <f ca="1">SUM(D21:D27)</f>
        <v>2599</v>
      </c>
      <c r="H21" s="10" t="str">
        <f ca="1">TEXT(G21/G14-1,"0 %")</f>
        <v>-4 %</v>
      </c>
      <c r="I21" s="10">
        <f ca="1">SUM(D21:D34)</f>
        <v>4878</v>
      </c>
      <c r="K21" s="14"/>
      <c r="L21"/>
      <c r="M21" s="17">
        <v>44228</v>
      </c>
      <c r="N21" s="10">
        <v>46297</v>
      </c>
      <c r="O21" s="10">
        <v>525</v>
      </c>
      <c r="P21" s="17">
        <v>44228</v>
      </c>
      <c r="Q21" s="10">
        <v>46297</v>
      </c>
      <c r="R21" s="10">
        <v>525</v>
      </c>
      <c r="S21" s="17">
        <v>44099</v>
      </c>
      <c r="T21" s="10">
        <v>9804</v>
      </c>
      <c r="U21" s="10">
        <v>125</v>
      </c>
      <c r="V21" s="17">
        <v>44100</v>
      </c>
      <c r="W21" s="10">
        <v>9878</v>
      </c>
      <c r="X21" s="10">
        <v>73</v>
      </c>
      <c r="Y21" s="17">
        <v>44101</v>
      </c>
      <c r="Z21" s="10">
        <v>9951</v>
      </c>
      <c r="AA21" s="10">
        <v>70</v>
      </c>
      <c r="AB21" s="17">
        <v>44102</v>
      </c>
      <c r="AC21" s="10">
        <v>10074</v>
      </c>
      <c r="AD21" s="10">
        <v>124</v>
      </c>
      <c r="AE21" s="17">
        <v>44103</v>
      </c>
      <c r="AF21" s="10">
        <v>10209</v>
      </c>
      <c r="AG21" s="10">
        <v>135</v>
      </c>
      <c r="AH21" s="17">
        <v>44104</v>
      </c>
      <c r="AI21" s="10">
        <v>10379</v>
      </c>
      <c r="AJ21" s="10">
        <v>169</v>
      </c>
      <c r="AK21" s="17">
        <v>44105</v>
      </c>
      <c r="AL21" s="10">
        <v>10562</v>
      </c>
      <c r="AM21" s="10">
        <v>188</v>
      </c>
      <c r="AN21" s="17">
        <v>44106</v>
      </c>
      <c r="AO21" s="10">
        <v>10749</v>
      </c>
      <c r="AP21" s="10">
        <v>187</v>
      </c>
      <c r="AQ21" s="17">
        <v>44107</v>
      </c>
      <c r="AR21" s="10">
        <v>10917</v>
      </c>
      <c r="AS21" s="10">
        <v>169</v>
      </c>
      <c r="AT21" s="17">
        <v>44108</v>
      </c>
      <c r="AU21" s="10">
        <v>11062</v>
      </c>
      <c r="AV21" s="10">
        <v>147</v>
      </c>
      <c r="AW21" s="17">
        <v>44109</v>
      </c>
      <c r="AX21" s="10">
        <v>11347</v>
      </c>
      <c r="AY21" s="10">
        <v>286</v>
      </c>
      <c r="AZ21" s="17">
        <v>44110</v>
      </c>
      <c r="BA21" s="10">
        <v>11646</v>
      </c>
      <c r="BB21" s="10">
        <v>299</v>
      </c>
      <c r="BC21" s="17">
        <v>44111</v>
      </c>
      <c r="BD21" s="10">
        <v>11958</v>
      </c>
      <c r="BE21" s="10">
        <v>309</v>
      </c>
      <c r="BF21" s="17">
        <v>44112</v>
      </c>
      <c r="BG21" s="10">
        <v>12214</v>
      </c>
      <c r="BH21" s="10">
        <v>260</v>
      </c>
      <c r="BI21" s="17">
        <v>44113</v>
      </c>
      <c r="BJ21" s="10">
        <v>12442</v>
      </c>
      <c r="BK21" s="10">
        <v>226</v>
      </c>
      <c r="BL21" s="17">
        <v>44114</v>
      </c>
      <c r="BM21" s="10">
        <v>12552</v>
      </c>
      <c r="BN21" s="10">
        <v>109</v>
      </c>
      <c r="BO21" s="17">
        <v>44115</v>
      </c>
      <c r="BP21" s="10">
        <v>12681</v>
      </c>
      <c r="BQ21" s="10">
        <v>130</v>
      </c>
      <c r="BR21" s="17">
        <v>44116</v>
      </c>
      <c r="BS21" s="10">
        <v>12934</v>
      </c>
      <c r="BT21" s="10">
        <v>252</v>
      </c>
      <c r="BU21" s="17">
        <v>44118</v>
      </c>
      <c r="BV21" s="10">
        <v>13334</v>
      </c>
      <c r="BW21" s="10">
        <v>202</v>
      </c>
      <c r="BX21" s="17">
        <v>44119</v>
      </c>
      <c r="BY21" s="10">
        <v>13522</v>
      </c>
      <c r="BZ21" s="10">
        <v>189</v>
      </c>
      <c r="CA21" s="17">
        <v>44120</v>
      </c>
      <c r="CB21" s="10">
        <v>13719</v>
      </c>
      <c r="CC21" s="10">
        <v>192</v>
      </c>
      <c r="CD21" s="17">
        <v>44121</v>
      </c>
      <c r="CE21" s="10">
        <v>13827</v>
      </c>
      <c r="CF21" s="10">
        <v>100</v>
      </c>
      <c r="CG21" s="17">
        <v>44122</v>
      </c>
      <c r="CH21" s="10">
        <v>13955</v>
      </c>
      <c r="CI21" s="10">
        <v>127</v>
      </c>
      <c r="CJ21" s="17">
        <v>44123</v>
      </c>
      <c r="CK21" s="10">
        <v>14199</v>
      </c>
      <c r="CL21" s="10">
        <v>244</v>
      </c>
      <c r="CM21" s="17">
        <v>44124</v>
      </c>
      <c r="CN21" s="10">
        <v>14361</v>
      </c>
      <c r="CO21" s="10">
        <v>162</v>
      </c>
      <c r="CP21" s="17">
        <v>44125</v>
      </c>
      <c r="CQ21" s="10">
        <v>14550</v>
      </c>
      <c r="CR21" s="10">
        <v>189</v>
      </c>
      <c r="CS21" s="17">
        <v>44126</v>
      </c>
      <c r="CT21" s="10">
        <v>14766</v>
      </c>
      <c r="CU21" s="10">
        <v>212</v>
      </c>
      <c r="CV21" s="17">
        <v>44127</v>
      </c>
      <c r="CW21" s="10">
        <v>14962</v>
      </c>
      <c r="CX21" s="10">
        <v>192</v>
      </c>
      <c r="CY21" s="17">
        <v>44129</v>
      </c>
      <c r="CZ21" s="10">
        <v>15191</v>
      </c>
      <c r="DA21" s="10">
        <v>123</v>
      </c>
      <c r="DB21" s="17">
        <v>44130</v>
      </c>
      <c r="DC21" s="10">
        <v>15445</v>
      </c>
      <c r="DD21" s="10">
        <v>255</v>
      </c>
      <c r="DE21" s="17">
        <v>44131</v>
      </c>
      <c r="DF21" s="10">
        <v>15677</v>
      </c>
      <c r="DG21" s="10">
        <v>230</v>
      </c>
      <c r="DH21" s="17">
        <v>44132</v>
      </c>
      <c r="DI21" s="10">
        <v>15917</v>
      </c>
      <c r="DJ21" s="10">
        <v>240</v>
      </c>
      <c r="DK21" s="17">
        <v>44133</v>
      </c>
      <c r="DL21" s="10">
        <v>16160</v>
      </c>
      <c r="DM21" s="10">
        <v>237</v>
      </c>
      <c r="DN21" s="17">
        <v>44134</v>
      </c>
      <c r="DO21" s="10">
        <v>16380</v>
      </c>
      <c r="DP21" s="10">
        <v>219</v>
      </c>
      <c r="DQ21" s="17">
        <v>44135</v>
      </c>
      <c r="DR21" s="10">
        <v>16502</v>
      </c>
      <c r="DS21" s="10">
        <v>121</v>
      </c>
      <c r="DT21" s="17">
        <v>44136</v>
      </c>
      <c r="DU21" s="10">
        <v>16654</v>
      </c>
      <c r="DV21" s="10">
        <v>150</v>
      </c>
      <c r="DW21" s="17">
        <v>44137</v>
      </c>
      <c r="DX21" s="10">
        <v>16935</v>
      </c>
      <c r="DY21" s="10">
        <v>281</v>
      </c>
      <c r="DZ21" s="17">
        <v>44138</v>
      </c>
      <c r="EA21" s="10">
        <v>17176</v>
      </c>
      <c r="EB21" s="10">
        <v>241</v>
      </c>
      <c r="EC21" s="17">
        <v>44139</v>
      </c>
      <c r="ED21" s="10">
        <v>17378</v>
      </c>
      <c r="EE21" s="10">
        <v>210</v>
      </c>
      <c r="EF21" s="17">
        <v>44140</v>
      </c>
      <c r="EG21" s="10">
        <v>17598</v>
      </c>
      <c r="EH21" s="10">
        <v>220</v>
      </c>
      <c r="EI21" s="17">
        <v>44141</v>
      </c>
      <c r="EJ21" s="10">
        <v>17794</v>
      </c>
      <c r="EK21" s="10">
        <v>196</v>
      </c>
      <c r="EL21" s="17">
        <v>44142</v>
      </c>
      <c r="EM21" s="10">
        <v>17922</v>
      </c>
      <c r="EN21" s="10">
        <v>130</v>
      </c>
      <c r="EO21" s="17">
        <v>44143</v>
      </c>
      <c r="EP21" s="10">
        <v>18053</v>
      </c>
      <c r="EQ21" s="10">
        <v>133</v>
      </c>
      <c r="ER21" s="17">
        <v>44144</v>
      </c>
      <c r="ES21" s="10">
        <v>18330</v>
      </c>
      <c r="ET21" s="10">
        <v>275</v>
      </c>
      <c r="EU21" s="17">
        <v>44145</v>
      </c>
      <c r="EV21" s="10">
        <v>18535</v>
      </c>
      <c r="EW21" s="10">
        <v>205</v>
      </c>
      <c r="EX21" s="17">
        <v>44146</v>
      </c>
      <c r="EY21" s="10">
        <v>18826</v>
      </c>
      <c r="EZ21" s="10">
        <v>291</v>
      </c>
      <c r="FA21" s="17">
        <v>44147</v>
      </c>
      <c r="FB21" s="10">
        <v>19102</v>
      </c>
      <c r="FC21" s="10">
        <v>277</v>
      </c>
      <c r="FD21" s="17">
        <v>44148</v>
      </c>
      <c r="FE21" s="10">
        <v>19312</v>
      </c>
      <c r="FF21" s="10">
        <v>261</v>
      </c>
      <c r="FG21" s="17">
        <v>44149</v>
      </c>
      <c r="FH21" s="10">
        <v>19519</v>
      </c>
      <c r="FI21" s="10">
        <v>145</v>
      </c>
      <c r="FJ21" s="17">
        <v>44150</v>
      </c>
      <c r="FK21" s="10">
        <v>19718</v>
      </c>
      <c r="FL21" s="10">
        <v>181</v>
      </c>
      <c r="FM21" s="17">
        <v>44151</v>
      </c>
      <c r="FN21" s="10">
        <v>20111</v>
      </c>
      <c r="FO21" s="10">
        <v>393</v>
      </c>
      <c r="FP21" s="17">
        <v>44152</v>
      </c>
      <c r="FQ21" s="10">
        <v>20505</v>
      </c>
      <c r="FR21" s="10">
        <v>394</v>
      </c>
      <c r="FS21" s="17">
        <v>44153</v>
      </c>
      <c r="FT21" s="10">
        <v>20894</v>
      </c>
      <c r="FU21" s="10">
        <v>372</v>
      </c>
      <c r="FV21" s="17">
        <v>44154</v>
      </c>
      <c r="FW21" s="10">
        <v>21375</v>
      </c>
      <c r="FX21" s="10">
        <v>479</v>
      </c>
      <c r="FY21" s="17">
        <v>44155</v>
      </c>
      <c r="FZ21" s="10">
        <v>21812</v>
      </c>
      <c r="GA21" s="10">
        <v>431</v>
      </c>
      <c r="GB21" s="17">
        <v>44156</v>
      </c>
      <c r="GC21" s="10">
        <v>22080</v>
      </c>
      <c r="GD21" s="10">
        <v>269</v>
      </c>
      <c r="GE21" s="17">
        <v>44157</v>
      </c>
      <c r="GF21" s="10">
        <v>22344</v>
      </c>
      <c r="GG21" s="10">
        <v>263</v>
      </c>
      <c r="GH21" s="17">
        <v>44158</v>
      </c>
      <c r="GI21" s="10">
        <v>22836</v>
      </c>
      <c r="GJ21" s="10">
        <v>490</v>
      </c>
      <c r="GK21" s="17">
        <v>44159</v>
      </c>
      <c r="GL21" s="10">
        <v>23296</v>
      </c>
      <c r="GM21" s="10">
        <v>460</v>
      </c>
      <c r="GN21" s="17">
        <v>44160</v>
      </c>
      <c r="GO21" s="10">
        <v>23895</v>
      </c>
      <c r="GP21" s="10">
        <v>599</v>
      </c>
      <c r="GQ21" s="17">
        <v>44161</v>
      </c>
      <c r="GR21" s="10">
        <v>24409</v>
      </c>
      <c r="GS21" s="10">
        <v>509</v>
      </c>
      <c r="GT21" s="17">
        <v>44162</v>
      </c>
      <c r="GU21" s="10">
        <v>24901</v>
      </c>
      <c r="GV21" s="10">
        <v>460</v>
      </c>
      <c r="GW21" s="17">
        <v>44163</v>
      </c>
      <c r="GX21" s="10">
        <v>25188</v>
      </c>
      <c r="GY21" s="10">
        <v>282</v>
      </c>
      <c r="GZ21" s="17">
        <v>44164</v>
      </c>
      <c r="HA21" s="10">
        <v>25483</v>
      </c>
      <c r="HB21" s="10">
        <v>293</v>
      </c>
      <c r="HC21" s="17">
        <v>44165</v>
      </c>
      <c r="HD21" s="10">
        <v>26080</v>
      </c>
      <c r="HE21" s="10">
        <v>598</v>
      </c>
      <c r="HF21" s="17">
        <v>44166</v>
      </c>
      <c r="HG21" s="10">
        <v>26514</v>
      </c>
      <c r="HH21" s="10">
        <v>443</v>
      </c>
      <c r="HI21" s="17">
        <v>44167</v>
      </c>
      <c r="HJ21" s="10">
        <v>27003</v>
      </c>
      <c r="HK21" s="10">
        <v>493</v>
      </c>
      <c r="HL21" s="17">
        <v>44168</v>
      </c>
      <c r="HM21" s="10">
        <v>27475</v>
      </c>
      <c r="HN21" s="10">
        <v>475</v>
      </c>
      <c r="HO21" s="17">
        <v>44169</v>
      </c>
      <c r="HP21" s="10">
        <v>27957</v>
      </c>
      <c r="HQ21" s="10">
        <v>472</v>
      </c>
      <c r="HR21" s="17">
        <v>44170</v>
      </c>
      <c r="HS21" s="10">
        <v>28203</v>
      </c>
      <c r="HT21" s="10">
        <v>249</v>
      </c>
      <c r="HU21" s="17">
        <v>44171</v>
      </c>
      <c r="HV21" s="10">
        <v>28487</v>
      </c>
      <c r="HW21" s="10">
        <v>281</v>
      </c>
      <c r="HX21" s="17">
        <v>44172</v>
      </c>
      <c r="HY21" s="10">
        <v>29073</v>
      </c>
      <c r="HZ21" s="10">
        <v>587</v>
      </c>
      <c r="IA21" s="17">
        <v>44173</v>
      </c>
      <c r="IB21" s="10">
        <v>29548</v>
      </c>
      <c r="IC21" s="10">
        <v>476</v>
      </c>
      <c r="ID21" s="17">
        <v>44174</v>
      </c>
      <c r="IE21" s="10">
        <v>30014</v>
      </c>
      <c r="IF21" s="10">
        <v>463</v>
      </c>
      <c r="IG21" s="17">
        <v>44175</v>
      </c>
      <c r="IH21" s="10">
        <v>30420</v>
      </c>
      <c r="II21" s="10">
        <v>408</v>
      </c>
      <c r="IJ21" s="17">
        <v>44176</v>
      </c>
      <c r="IK21" s="10">
        <v>30864</v>
      </c>
      <c r="IL21" s="10">
        <v>443</v>
      </c>
      <c r="IM21" s="17">
        <v>44177</v>
      </c>
      <c r="IN21" s="10">
        <v>31115</v>
      </c>
      <c r="IO21" s="10">
        <v>251</v>
      </c>
      <c r="IP21" s="10">
        <v>44178</v>
      </c>
      <c r="IQ21" s="10">
        <v>31389</v>
      </c>
      <c r="IR21" s="10">
        <v>275</v>
      </c>
      <c r="IS21" s="10">
        <v>44179</v>
      </c>
      <c r="IT21" s="10">
        <v>31850</v>
      </c>
      <c r="IU21" s="10">
        <v>461</v>
      </c>
      <c r="IV21" s="10">
        <v>44180</v>
      </c>
      <c r="IW21" s="10">
        <v>32208</v>
      </c>
      <c r="IX21" s="10">
        <v>358</v>
      </c>
      <c r="IY21" s="10">
        <v>44181</v>
      </c>
      <c r="IZ21" s="10">
        <v>32560</v>
      </c>
      <c r="JA21" s="10">
        <v>348</v>
      </c>
      <c r="JB21" s="10">
        <v>44185</v>
      </c>
      <c r="JC21" s="10">
        <v>33720</v>
      </c>
      <c r="JD21" s="10">
        <v>244</v>
      </c>
      <c r="JE21" s="10">
        <v>44189</v>
      </c>
      <c r="JF21" s="10">
        <v>34837</v>
      </c>
      <c r="JG21" s="10">
        <v>138</v>
      </c>
      <c r="JH21" s="10">
        <v>44190</v>
      </c>
      <c r="JI21" s="10">
        <v>35038</v>
      </c>
      <c r="JJ21" s="10">
        <v>157</v>
      </c>
      <c r="JK21" s="10">
        <v>44191</v>
      </c>
      <c r="JL21" s="10">
        <v>35215</v>
      </c>
      <c r="JM21" s="10">
        <v>183</v>
      </c>
      <c r="JN21" s="10">
        <v>44192</v>
      </c>
      <c r="JO21" s="10">
        <v>35394</v>
      </c>
      <c r="JP21" s="10">
        <v>188</v>
      </c>
      <c r="JQ21" s="10">
        <v>44194</v>
      </c>
      <c r="JR21" s="10">
        <v>36135</v>
      </c>
      <c r="JS21" s="10">
        <v>306</v>
      </c>
      <c r="JT21" s="10">
        <v>44194</v>
      </c>
      <c r="JU21" s="10">
        <v>36136</v>
      </c>
      <c r="JV21" s="10">
        <v>306</v>
      </c>
      <c r="JW21" s="10">
        <v>44196</v>
      </c>
      <c r="JX21" s="10">
        <v>36639</v>
      </c>
      <c r="JY21" s="10">
        <v>253</v>
      </c>
      <c r="JZ21" s="10">
        <v>44208</v>
      </c>
      <c r="KA21" s="10">
        <v>39485</v>
      </c>
      <c r="KB21" s="10">
        <v>178</v>
      </c>
      <c r="KC21" s="10">
        <v>44208</v>
      </c>
      <c r="KD21" s="10">
        <v>39596</v>
      </c>
      <c r="KE21" s="10">
        <v>226</v>
      </c>
      <c r="KF21" s="10">
        <v>44209</v>
      </c>
      <c r="KG21" s="10">
        <v>39846</v>
      </c>
      <c r="KH21" s="10">
        <v>258</v>
      </c>
      <c r="KI21" s="10">
        <v>44211</v>
      </c>
      <c r="KJ21" s="10">
        <v>40358</v>
      </c>
      <c r="KK21" s="10">
        <v>265</v>
      </c>
      <c r="KL21" s="10">
        <v>44212</v>
      </c>
      <c r="KM21" s="10">
        <v>40532</v>
      </c>
      <c r="KN21" s="10">
        <v>169</v>
      </c>
      <c r="KO21" s="10">
        <v>44216</v>
      </c>
      <c r="KP21" s="10">
        <v>41917</v>
      </c>
      <c r="KQ21" s="10">
        <v>398</v>
      </c>
      <c r="KR21" s="10">
        <v>44217</v>
      </c>
      <c r="KS21" s="10">
        <v>42298</v>
      </c>
      <c r="KT21" s="10">
        <v>377</v>
      </c>
      <c r="KU21" s="10">
        <v>44218</v>
      </c>
      <c r="KV21" s="10">
        <v>42656</v>
      </c>
      <c r="KW21" s="10">
        <v>357</v>
      </c>
      <c r="KX21" s="10">
        <v>44220</v>
      </c>
      <c r="KY21" s="10">
        <v>43071</v>
      </c>
      <c r="KZ21" s="10">
        <v>244</v>
      </c>
      <c r="LA21" s="10">
        <v>44221</v>
      </c>
      <c r="LB21" s="10">
        <v>43689</v>
      </c>
      <c r="LC21" s="10">
        <v>604</v>
      </c>
      <c r="LD21" s="10">
        <v>44222</v>
      </c>
      <c r="LE21" s="10">
        <v>44087</v>
      </c>
      <c r="LF21" s="10">
        <v>399</v>
      </c>
      <c r="LG21" s="10">
        <v>44224</v>
      </c>
      <c r="LH21" s="10">
        <v>44871</v>
      </c>
      <c r="LI21" s="10">
        <v>436</v>
      </c>
      <c r="LJ21" s="10">
        <v>44224</v>
      </c>
      <c r="LK21" s="10">
        <v>44872</v>
      </c>
      <c r="LL21" s="10">
        <v>436</v>
      </c>
      <c r="LM21" s="10">
        <v>44226</v>
      </c>
      <c r="LN21" s="10">
        <v>45501</v>
      </c>
      <c r="LO21" s="10">
        <v>231</v>
      </c>
      <c r="LP21" s="10">
        <v>44227</v>
      </c>
      <c r="LQ21" s="10">
        <v>45771</v>
      </c>
      <c r="LR21" s="10">
        <v>273</v>
      </c>
      <c r="LS21" s="10">
        <v>44228</v>
      </c>
      <c r="LT21" s="10">
        <v>46297</v>
      </c>
      <c r="LU21" s="10">
        <v>525</v>
      </c>
    </row>
    <row r="22" spans="1:333">
      <c r="A22" t="str">
        <f t="shared" ca="1" si="0"/>
        <v>2.2</v>
      </c>
      <c r="B22" s="4">
        <f t="shared" ca="1" si="1"/>
        <v>44229</v>
      </c>
      <c r="C22" s="11">
        <f t="shared" ca="1" si="2"/>
        <v>46710</v>
      </c>
      <c r="D22">
        <f t="shared" ca="1" si="3"/>
        <v>395</v>
      </c>
      <c r="E22" s="11">
        <f t="shared" ca="1" si="4"/>
        <v>-5</v>
      </c>
      <c r="F22" s="11">
        <f t="shared" ca="1" si="5"/>
        <v>400</v>
      </c>
      <c r="G22" s="10"/>
      <c r="K22" s="3"/>
      <c r="M22" s="16">
        <v>44229</v>
      </c>
      <c r="N22">
        <v>46697</v>
      </c>
      <c r="O22">
        <v>400</v>
      </c>
      <c r="P22" s="16">
        <v>44229</v>
      </c>
      <c r="Q22">
        <v>46697</v>
      </c>
      <c r="R22">
        <v>400</v>
      </c>
      <c r="S22" s="16">
        <v>44100</v>
      </c>
      <c r="T22">
        <v>9877</v>
      </c>
      <c r="U22">
        <v>73</v>
      </c>
      <c r="V22" s="16">
        <v>44101</v>
      </c>
      <c r="W22">
        <v>9947</v>
      </c>
      <c r="X22">
        <v>69</v>
      </c>
      <c r="Y22" s="16">
        <v>44102</v>
      </c>
      <c r="Z22">
        <v>10075</v>
      </c>
      <c r="AA22">
        <v>124</v>
      </c>
      <c r="AB22" s="16">
        <v>44103</v>
      </c>
      <c r="AC22">
        <v>10209</v>
      </c>
      <c r="AD22">
        <v>135</v>
      </c>
      <c r="AE22" s="16">
        <v>44104</v>
      </c>
      <c r="AF22">
        <v>10376</v>
      </c>
      <c r="AG22">
        <v>167</v>
      </c>
      <c r="AH22" s="16">
        <v>44105</v>
      </c>
      <c r="AI22">
        <v>10571</v>
      </c>
      <c r="AJ22">
        <v>192</v>
      </c>
      <c r="AK22" s="16">
        <v>44106</v>
      </c>
      <c r="AL22">
        <v>10749</v>
      </c>
      <c r="AM22">
        <v>187</v>
      </c>
      <c r="AN22" s="16">
        <v>44107</v>
      </c>
      <c r="AO22">
        <v>10918</v>
      </c>
      <c r="AP22">
        <v>169</v>
      </c>
      <c r="AQ22" s="16">
        <v>44108</v>
      </c>
      <c r="AR22">
        <v>11064</v>
      </c>
      <c r="AS22">
        <v>147</v>
      </c>
      <c r="AT22" s="16">
        <v>44109</v>
      </c>
      <c r="AU22">
        <v>11349</v>
      </c>
      <c r="AV22">
        <v>287</v>
      </c>
      <c r="AW22" s="16">
        <v>44110</v>
      </c>
      <c r="AX22">
        <v>11646</v>
      </c>
      <c r="AY22">
        <v>299</v>
      </c>
      <c r="AZ22" s="16">
        <v>44111</v>
      </c>
      <c r="BA22">
        <v>11954</v>
      </c>
      <c r="BB22">
        <v>308</v>
      </c>
      <c r="BC22" s="16">
        <v>44112</v>
      </c>
      <c r="BD22">
        <v>12219</v>
      </c>
      <c r="BE22">
        <v>261</v>
      </c>
      <c r="BF22" s="16">
        <v>44113</v>
      </c>
      <c r="BG22">
        <v>12440</v>
      </c>
      <c r="BH22">
        <v>226</v>
      </c>
      <c r="BI22" s="16">
        <v>44114</v>
      </c>
      <c r="BJ22">
        <v>12551</v>
      </c>
      <c r="BK22">
        <v>109</v>
      </c>
      <c r="BL22" s="16">
        <v>44115</v>
      </c>
      <c r="BM22">
        <v>12682</v>
      </c>
      <c r="BN22">
        <v>130</v>
      </c>
      <c r="BO22" s="16">
        <v>44116</v>
      </c>
      <c r="BP22">
        <v>12933</v>
      </c>
      <c r="BQ22">
        <v>252</v>
      </c>
      <c r="BR22" s="16">
        <v>44117</v>
      </c>
      <c r="BS22">
        <v>13131</v>
      </c>
      <c r="BT22">
        <v>197</v>
      </c>
      <c r="BU22" s="16">
        <v>44119</v>
      </c>
      <c r="BV22">
        <v>13524</v>
      </c>
      <c r="BW22">
        <v>190</v>
      </c>
      <c r="BX22" s="16">
        <v>44120</v>
      </c>
      <c r="BY22">
        <v>13714</v>
      </c>
      <c r="BZ22">
        <v>192</v>
      </c>
      <c r="CA22" s="16">
        <v>44121</v>
      </c>
      <c r="CB22">
        <v>13819</v>
      </c>
      <c r="CC22">
        <v>100</v>
      </c>
      <c r="CD22" s="16">
        <v>44122</v>
      </c>
      <c r="CE22">
        <v>13954</v>
      </c>
      <c r="CF22">
        <v>127</v>
      </c>
      <c r="CG22" s="16">
        <v>44123</v>
      </c>
      <c r="CH22">
        <v>14199</v>
      </c>
      <c r="CI22">
        <v>244</v>
      </c>
      <c r="CJ22" s="16">
        <v>44124</v>
      </c>
      <c r="CK22">
        <v>14361</v>
      </c>
      <c r="CL22">
        <v>162</v>
      </c>
      <c r="CM22" s="16">
        <v>44125</v>
      </c>
      <c r="CN22">
        <v>14550</v>
      </c>
      <c r="CO22">
        <v>189</v>
      </c>
      <c r="CP22" s="16">
        <v>44126</v>
      </c>
      <c r="CQ22">
        <v>14762</v>
      </c>
      <c r="CR22">
        <v>212</v>
      </c>
      <c r="CS22" s="16">
        <v>44127</v>
      </c>
      <c r="CT22">
        <v>14958</v>
      </c>
      <c r="CU22">
        <v>192</v>
      </c>
      <c r="CV22" s="16">
        <v>44128</v>
      </c>
      <c r="CW22">
        <v>15070</v>
      </c>
      <c r="CX22">
        <v>108</v>
      </c>
      <c r="CY22" s="16">
        <v>44130</v>
      </c>
      <c r="CZ22">
        <v>15446</v>
      </c>
      <c r="DA22">
        <v>255</v>
      </c>
      <c r="DB22" s="16">
        <v>44131</v>
      </c>
      <c r="DC22">
        <v>15675</v>
      </c>
      <c r="DD22">
        <v>230</v>
      </c>
      <c r="DE22" s="16">
        <v>44132</v>
      </c>
      <c r="DF22">
        <v>15918</v>
      </c>
      <c r="DG22">
        <v>241</v>
      </c>
      <c r="DH22" s="16">
        <v>44133</v>
      </c>
      <c r="DI22">
        <v>16154</v>
      </c>
      <c r="DJ22">
        <v>237</v>
      </c>
      <c r="DK22" s="16">
        <v>44134</v>
      </c>
      <c r="DL22">
        <v>16379</v>
      </c>
      <c r="DM22">
        <v>219</v>
      </c>
      <c r="DN22" s="16">
        <v>44135</v>
      </c>
      <c r="DO22">
        <v>16501</v>
      </c>
      <c r="DP22">
        <v>121</v>
      </c>
      <c r="DQ22" s="16">
        <v>44136</v>
      </c>
      <c r="DR22">
        <v>16651</v>
      </c>
      <c r="DS22">
        <v>149</v>
      </c>
      <c r="DT22" s="16">
        <v>44137</v>
      </c>
      <c r="DU22">
        <v>16935</v>
      </c>
      <c r="DV22">
        <v>281</v>
      </c>
      <c r="DW22" s="16">
        <v>44138</v>
      </c>
      <c r="DX22">
        <v>17176</v>
      </c>
      <c r="DY22">
        <v>241</v>
      </c>
      <c r="DZ22" s="16">
        <v>44139</v>
      </c>
      <c r="EA22">
        <v>17385</v>
      </c>
      <c r="EB22">
        <v>209</v>
      </c>
      <c r="EC22" s="16">
        <v>44140</v>
      </c>
      <c r="ED22">
        <v>17598</v>
      </c>
      <c r="EE22">
        <v>220</v>
      </c>
      <c r="EF22" s="16">
        <v>44141</v>
      </c>
      <c r="EG22">
        <v>17794</v>
      </c>
      <c r="EH22">
        <v>196</v>
      </c>
      <c r="EI22" s="16">
        <v>44142</v>
      </c>
      <c r="EJ22">
        <v>17924</v>
      </c>
      <c r="EK22">
        <v>130</v>
      </c>
      <c r="EL22" s="16">
        <v>44143</v>
      </c>
      <c r="EM22">
        <v>18055</v>
      </c>
      <c r="EN22">
        <v>133</v>
      </c>
      <c r="EO22" s="16">
        <v>44144</v>
      </c>
      <c r="EP22">
        <v>18328</v>
      </c>
      <c r="EQ22">
        <v>275</v>
      </c>
      <c r="ER22" s="16">
        <v>44145</v>
      </c>
      <c r="ES22">
        <v>18536</v>
      </c>
      <c r="ET22">
        <v>206</v>
      </c>
      <c r="EU22" s="16">
        <v>44146</v>
      </c>
      <c r="EV22">
        <v>18826</v>
      </c>
      <c r="EW22">
        <v>291</v>
      </c>
      <c r="EX22" s="16">
        <v>44147</v>
      </c>
      <c r="EY22">
        <v>19103</v>
      </c>
      <c r="EZ22">
        <v>277</v>
      </c>
      <c r="FA22" s="16">
        <v>44148</v>
      </c>
      <c r="FB22">
        <v>19364</v>
      </c>
      <c r="FC22">
        <v>262</v>
      </c>
      <c r="FD22" s="16">
        <v>44149</v>
      </c>
      <c r="FE22">
        <v>19456</v>
      </c>
      <c r="FF22">
        <v>144</v>
      </c>
      <c r="FG22" s="16">
        <v>44150</v>
      </c>
      <c r="FH22">
        <v>19700</v>
      </c>
      <c r="FI22">
        <v>181</v>
      </c>
      <c r="FJ22" s="16">
        <v>44151</v>
      </c>
      <c r="FK22">
        <v>20111</v>
      </c>
      <c r="FL22">
        <v>393</v>
      </c>
      <c r="FM22" s="16">
        <v>44152</v>
      </c>
      <c r="FN22">
        <v>20505</v>
      </c>
      <c r="FO22">
        <v>394</v>
      </c>
      <c r="FP22" s="16">
        <v>44153</v>
      </c>
      <c r="FQ22">
        <v>20877</v>
      </c>
      <c r="FR22">
        <v>372</v>
      </c>
      <c r="FS22" s="16">
        <v>44154</v>
      </c>
      <c r="FT22">
        <v>21373</v>
      </c>
      <c r="FU22">
        <v>479</v>
      </c>
      <c r="FV22" s="16">
        <v>44155</v>
      </c>
      <c r="FW22">
        <v>21806</v>
      </c>
      <c r="FX22">
        <v>431</v>
      </c>
      <c r="FY22" s="16">
        <v>44156</v>
      </c>
      <c r="FZ22">
        <v>22081</v>
      </c>
      <c r="GA22">
        <v>269</v>
      </c>
      <c r="GB22" s="16">
        <v>44157</v>
      </c>
      <c r="GC22">
        <v>22342</v>
      </c>
      <c r="GD22">
        <v>262</v>
      </c>
      <c r="GE22" s="16">
        <v>44158</v>
      </c>
      <c r="GF22">
        <v>22834</v>
      </c>
      <c r="GG22">
        <v>490</v>
      </c>
      <c r="GH22" s="16">
        <v>44159</v>
      </c>
      <c r="GI22">
        <v>23296</v>
      </c>
      <c r="GJ22">
        <v>460</v>
      </c>
      <c r="GK22" s="16">
        <v>44160</v>
      </c>
      <c r="GL22">
        <v>23895</v>
      </c>
      <c r="GM22">
        <v>599</v>
      </c>
      <c r="GN22" s="16">
        <v>44161</v>
      </c>
      <c r="GO22">
        <v>24404</v>
      </c>
      <c r="GP22">
        <v>509</v>
      </c>
      <c r="GQ22" s="16">
        <v>44162</v>
      </c>
      <c r="GR22">
        <v>24874</v>
      </c>
      <c r="GS22">
        <v>465</v>
      </c>
      <c r="GT22" s="16">
        <v>44163</v>
      </c>
      <c r="GU22">
        <v>25183</v>
      </c>
      <c r="GV22">
        <v>282</v>
      </c>
      <c r="GW22" s="16">
        <v>44164</v>
      </c>
      <c r="GX22">
        <v>25481</v>
      </c>
      <c r="GY22">
        <v>293</v>
      </c>
      <c r="GZ22" s="16">
        <v>44165</v>
      </c>
      <c r="HA22">
        <v>26080</v>
      </c>
      <c r="HB22">
        <v>597</v>
      </c>
      <c r="HC22" s="16">
        <v>44166</v>
      </c>
      <c r="HD22">
        <v>26523</v>
      </c>
      <c r="HE22">
        <v>443</v>
      </c>
      <c r="HF22" s="16">
        <v>44167</v>
      </c>
      <c r="HG22">
        <v>27007</v>
      </c>
      <c r="HH22">
        <v>493</v>
      </c>
      <c r="HI22" s="16">
        <v>44168</v>
      </c>
      <c r="HJ22">
        <v>27478</v>
      </c>
      <c r="HK22">
        <v>475</v>
      </c>
      <c r="HL22" s="16">
        <v>44169</v>
      </c>
      <c r="HM22">
        <v>27947</v>
      </c>
      <c r="HN22">
        <v>472</v>
      </c>
      <c r="HO22" s="16">
        <v>44170</v>
      </c>
      <c r="HP22">
        <v>28206</v>
      </c>
      <c r="HQ22">
        <v>249</v>
      </c>
      <c r="HR22" s="16">
        <v>44171</v>
      </c>
      <c r="HS22">
        <v>28484</v>
      </c>
      <c r="HT22">
        <v>281</v>
      </c>
      <c r="HU22" s="16">
        <v>44172</v>
      </c>
      <c r="HV22">
        <v>29075</v>
      </c>
      <c r="HW22">
        <v>588</v>
      </c>
      <c r="HX22" s="16">
        <v>44173</v>
      </c>
      <c r="HY22">
        <v>29550</v>
      </c>
      <c r="HZ22">
        <v>477</v>
      </c>
      <c r="IA22" s="16">
        <v>44174</v>
      </c>
      <c r="IB22">
        <v>30010</v>
      </c>
      <c r="IC22">
        <v>462</v>
      </c>
      <c r="ID22" s="16">
        <v>44175</v>
      </c>
      <c r="IE22">
        <v>30422</v>
      </c>
      <c r="IF22">
        <v>408</v>
      </c>
      <c r="IG22" s="16">
        <v>44176</v>
      </c>
      <c r="IH22">
        <v>30864</v>
      </c>
      <c r="II22">
        <v>444</v>
      </c>
      <c r="IJ22" s="16">
        <v>44177</v>
      </c>
      <c r="IK22">
        <v>31116</v>
      </c>
      <c r="IL22">
        <v>252</v>
      </c>
      <c r="IM22" s="16">
        <v>44178</v>
      </c>
      <c r="IN22">
        <v>31390</v>
      </c>
      <c r="IO22">
        <v>275</v>
      </c>
      <c r="IP22">
        <v>44179</v>
      </c>
      <c r="IQ22">
        <v>31850</v>
      </c>
      <c r="IR22">
        <v>461</v>
      </c>
      <c r="IS22">
        <v>44180</v>
      </c>
      <c r="IT22">
        <v>32208</v>
      </c>
      <c r="IU22">
        <v>358</v>
      </c>
      <c r="IV22">
        <v>44181</v>
      </c>
      <c r="IW22">
        <v>32556</v>
      </c>
      <c r="IX22">
        <v>348</v>
      </c>
      <c r="IY22">
        <v>44182</v>
      </c>
      <c r="IZ22">
        <v>32879</v>
      </c>
      <c r="JA22">
        <v>319</v>
      </c>
      <c r="JB22">
        <v>44186</v>
      </c>
      <c r="JC22">
        <v>34090</v>
      </c>
      <c r="JD22">
        <v>370</v>
      </c>
      <c r="JE22">
        <v>44190</v>
      </c>
      <c r="JF22">
        <v>34993</v>
      </c>
      <c r="JG22">
        <v>156</v>
      </c>
      <c r="JH22">
        <v>44191</v>
      </c>
      <c r="JI22">
        <v>35221</v>
      </c>
      <c r="JJ22">
        <v>183</v>
      </c>
      <c r="JK22">
        <v>44192</v>
      </c>
      <c r="JL22">
        <v>35403</v>
      </c>
      <c r="JM22">
        <v>188</v>
      </c>
      <c r="JN22">
        <v>44193</v>
      </c>
      <c r="JO22">
        <v>35824</v>
      </c>
      <c r="JP22">
        <v>430</v>
      </c>
      <c r="JQ22">
        <v>44195</v>
      </c>
      <c r="JR22">
        <v>36390</v>
      </c>
      <c r="JS22">
        <v>255</v>
      </c>
      <c r="JT22">
        <v>44195</v>
      </c>
      <c r="JU22">
        <v>36391</v>
      </c>
      <c r="JV22">
        <v>255</v>
      </c>
      <c r="JW22">
        <v>44197</v>
      </c>
      <c r="JX22">
        <v>36768</v>
      </c>
      <c r="JY22">
        <v>129</v>
      </c>
      <c r="JZ22">
        <v>44209</v>
      </c>
      <c r="KA22">
        <v>39593</v>
      </c>
      <c r="KB22">
        <v>108</v>
      </c>
      <c r="KC22">
        <v>44209</v>
      </c>
      <c r="KD22">
        <v>39855</v>
      </c>
      <c r="KE22">
        <v>259</v>
      </c>
      <c r="KF22">
        <v>44210</v>
      </c>
      <c r="KG22">
        <v>40094</v>
      </c>
      <c r="KH22">
        <v>248</v>
      </c>
      <c r="KI22">
        <v>44212</v>
      </c>
      <c r="KJ22">
        <v>40527</v>
      </c>
      <c r="KK22">
        <v>169</v>
      </c>
      <c r="KL22">
        <v>44213</v>
      </c>
      <c r="KM22">
        <v>40726</v>
      </c>
      <c r="KN22">
        <v>194</v>
      </c>
      <c r="KO22">
        <v>44217</v>
      </c>
      <c r="KP22">
        <v>42294</v>
      </c>
      <c r="KQ22">
        <v>377</v>
      </c>
      <c r="KR22">
        <v>44218</v>
      </c>
      <c r="KS22">
        <v>42654</v>
      </c>
      <c r="KT22">
        <v>356</v>
      </c>
      <c r="KU22">
        <v>44219</v>
      </c>
      <c r="KV22">
        <v>42826</v>
      </c>
      <c r="KW22">
        <v>170</v>
      </c>
      <c r="KX22">
        <v>44221</v>
      </c>
      <c r="KY22">
        <v>43675</v>
      </c>
      <c r="KZ22">
        <v>604</v>
      </c>
      <c r="LA22">
        <v>44222</v>
      </c>
      <c r="LB22">
        <v>44088</v>
      </c>
      <c r="LC22">
        <v>399</v>
      </c>
      <c r="LD22">
        <v>44223</v>
      </c>
      <c r="LE22">
        <v>44470</v>
      </c>
      <c r="LF22">
        <v>383</v>
      </c>
      <c r="LG22">
        <v>44225</v>
      </c>
      <c r="LH22">
        <v>45244</v>
      </c>
      <c r="LI22">
        <v>373</v>
      </c>
      <c r="LJ22">
        <v>44225</v>
      </c>
      <c r="LK22">
        <v>45245</v>
      </c>
      <c r="LL22">
        <v>373</v>
      </c>
      <c r="LM22">
        <v>44227</v>
      </c>
      <c r="LN22">
        <v>45776</v>
      </c>
      <c r="LO22">
        <v>275</v>
      </c>
      <c r="LP22">
        <v>44228</v>
      </c>
      <c r="LQ22">
        <v>46295</v>
      </c>
      <c r="LR22">
        <v>524</v>
      </c>
      <c r="LS22">
        <v>44229</v>
      </c>
      <c r="LT22">
        <v>46697</v>
      </c>
      <c r="LU22">
        <v>400</v>
      </c>
    </row>
    <row r="23" spans="1:333">
      <c r="A23" t="str">
        <f t="shared" ca="1" si="0"/>
        <v>3.2</v>
      </c>
      <c r="B23" s="4">
        <f t="shared" ca="1" si="1"/>
        <v>44230</v>
      </c>
      <c r="C23" s="11">
        <f t="shared" ca="1" si="2"/>
        <v>47147</v>
      </c>
      <c r="D23">
        <f t="shared" ca="1" si="3"/>
        <v>437</v>
      </c>
      <c r="E23" s="11">
        <f t="shared" ca="1" si="4"/>
        <v>0</v>
      </c>
      <c r="F23" s="11">
        <f t="shared" ca="1" si="5"/>
        <v>437</v>
      </c>
      <c r="J23" s="13"/>
      <c r="K23" s="3"/>
      <c r="M23" s="16">
        <v>44230</v>
      </c>
      <c r="N23">
        <v>47134</v>
      </c>
      <c r="O23">
        <v>437</v>
      </c>
      <c r="P23" s="16">
        <v>44230</v>
      </c>
      <c r="Q23">
        <v>47134</v>
      </c>
      <c r="R23">
        <v>437</v>
      </c>
      <c r="S23" s="16">
        <v>44101</v>
      </c>
      <c r="T23">
        <v>9946</v>
      </c>
      <c r="U23">
        <v>69</v>
      </c>
      <c r="V23" s="16">
        <v>44102</v>
      </c>
      <c r="W23">
        <v>10070</v>
      </c>
      <c r="X23">
        <v>123</v>
      </c>
      <c r="Y23" s="16">
        <v>44103</v>
      </c>
      <c r="Z23">
        <v>10210</v>
      </c>
      <c r="AA23">
        <v>135</v>
      </c>
      <c r="AB23" s="16">
        <v>44104</v>
      </c>
      <c r="AC23">
        <v>10376</v>
      </c>
      <c r="AD23">
        <v>167</v>
      </c>
      <c r="AE23" s="16">
        <v>44105</v>
      </c>
      <c r="AF23">
        <v>10568</v>
      </c>
      <c r="AG23">
        <v>192</v>
      </c>
      <c r="AH23" s="16">
        <v>44106</v>
      </c>
      <c r="AI23">
        <v>10760</v>
      </c>
      <c r="AJ23">
        <v>189</v>
      </c>
      <c r="AK23" s="16">
        <v>44107</v>
      </c>
      <c r="AL23">
        <v>10918</v>
      </c>
      <c r="AM23">
        <v>169</v>
      </c>
      <c r="AN23" s="16">
        <v>44108</v>
      </c>
      <c r="AO23">
        <v>11065</v>
      </c>
      <c r="AP23">
        <v>147</v>
      </c>
      <c r="AQ23" s="16">
        <v>44109</v>
      </c>
      <c r="AR23">
        <v>11351</v>
      </c>
      <c r="AS23">
        <v>287</v>
      </c>
      <c r="AT23" s="16">
        <v>44110</v>
      </c>
      <c r="AU23">
        <v>11648</v>
      </c>
      <c r="AV23">
        <v>299</v>
      </c>
      <c r="AW23" s="16">
        <v>44111</v>
      </c>
      <c r="AX23">
        <v>11954</v>
      </c>
      <c r="AY23">
        <v>308</v>
      </c>
      <c r="AZ23" s="16">
        <v>44112</v>
      </c>
      <c r="BA23">
        <v>12215</v>
      </c>
      <c r="BB23">
        <v>261</v>
      </c>
      <c r="BC23" s="16">
        <v>44113</v>
      </c>
      <c r="BD23">
        <v>12446</v>
      </c>
      <c r="BE23">
        <v>227</v>
      </c>
      <c r="BF23" s="16">
        <v>44114</v>
      </c>
      <c r="BG23">
        <v>12549</v>
      </c>
      <c r="BH23">
        <v>109</v>
      </c>
      <c r="BI23" s="16">
        <v>44115</v>
      </c>
      <c r="BJ23">
        <v>12681</v>
      </c>
      <c r="BK23">
        <v>130</v>
      </c>
      <c r="BL23" s="16">
        <v>44116</v>
      </c>
      <c r="BM23">
        <v>12934</v>
      </c>
      <c r="BN23">
        <v>252</v>
      </c>
      <c r="BO23" s="16">
        <v>44117</v>
      </c>
      <c r="BP23">
        <v>13133</v>
      </c>
      <c r="BQ23">
        <v>200</v>
      </c>
      <c r="BR23" s="16">
        <v>44118</v>
      </c>
      <c r="BS23">
        <v>13333</v>
      </c>
      <c r="BT23">
        <v>202</v>
      </c>
      <c r="BU23" s="16">
        <v>44120</v>
      </c>
      <c r="BV23">
        <v>13717</v>
      </c>
      <c r="BW23">
        <v>193</v>
      </c>
      <c r="BX23" s="16">
        <v>44121</v>
      </c>
      <c r="BY23">
        <v>13814</v>
      </c>
      <c r="BZ23">
        <v>100</v>
      </c>
      <c r="CA23" s="16">
        <v>44122</v>
      </c>
      <c r="CB23">
        <v>13946</v>
      </c>
      <c r="CC23">
        <v>127</v>
      </c>
      <c r="CD23" s="16">
        <v>44123</v>
      </c>
      <c r="CE23">
        <v>14198</v>
      </c>
      <c r="CF23">
        <v>244</v>
      </c>
      <c r="CG23" s="16">
        <v>44124</v>
      </c>
      <c r="CH23">
        <v>14361</v>
      </c>
      <c r="CI23">
        <v>162</v>
      </c>
      <c r="CJ23" s="16">
        <v>44125</v>
      </c>
      <c r="CK23">
        <v>14550</v>
      </c>
      <c r="CL23">
        <v>189</v>
      </c>
      <c r="CM23" s="16">
        <v>44126</v>
      </c>
      <c r="CN23">
        <v>14762</v>
      </c>
      <c r="CO23">
        <v>212</v>
      </c>
      <c r="CP23" s="16">
        <v>44127</v>
      </c>
      <c r="CQ23">
        <v>14954</v>
      </c>
      <c r="CR23">
        <v>192</v>
      </c>
      <c r="CS23" s="16">
        <v>44128</v>
      </c>
      <c r="CT23">
        <v>15066</v>
      </c>
      <c r="CU23">
        <v>108</v>
      </c>
      <c r="CV23" s="16">
        <v>44129</v>
      </c>
      <c r="CW23">
        <v>15193</v>
      </c>
      <c r="CX23">
        <v>123</v>
      </c>
      <c r="CY23" s="16">
        <v>44131</v>
      </c>
      <c r="CZ23">
        <v>15676</v>
      </c>
      <c r="DA23">
        <v>230</v>
      </c>
      <c r="DB23" s="16">
        <v>44132</v>
      </c>
      <c r="DC23">
        <v>15916</v>
      </c>
      <c r="DD23">
        <v>241</v>
      </c>
      <c r="DE23" s="16">
        <v>44133</v>
      </c>
      <c r="DF23">
        <v>16155</v>
      </c>
      <c r="DG23">
        <v>237</v>
      </c>
      <c r="DH23" s="16">
        <v>44134</v>
      </c>
      <c r="DI23">
        <v>16373</v>
      </c>
      <c r="DJ23">
        <v>219</v>
      </c>
      <c r="DK23" s="16">
        <v>44135</v>
      </c>
      <c r="DL23">
        <v>16500</v>
      </c>
      <c r="DM23">
        <v>121</v>
      </c>
      <c r="DN23" s="16">
        <v>44136</v>
      </c>
      <c r="DO23">
        <v>16651</v>
      </c>
      <c r="DP23">
        <v>150</v>
      </c>
      <c r="DQ23" s="16">
        <v>44137</v>
      </c>
      <c r="DR23">
        <v>16932</v>
      </c>
      <c r="DS23">
        <v>281</v>
      </c>
      <c r="DT23" s="16">
        <v>44138</v>
      </c>
      <c r="DU23">
        <v>17176</v>
      </c>
      <c r="DV23">
        <v>241</v>
      </c>
      <c r="DW23" s="16">
        <v>44139</v>
      </c>
      <c r="DX23">
        <v>17384</v>
      </c>
      <c r="DY23">
        <v>208</v>
      </c>
      <c r="DZ23" s="16">
        <v>44140</v>
      </c>
      <c r="EA23">
        <v>17604</v>
      </c>
      <c r="EB23">
        <v>219</v>
      </c>
      <c r="EC23" s="16">
        <v>44141</v>
      </c>
      <c r="ED23">
        <v>17792</v>
      </c>
      <c r="EE23">
        <v>194</v>
      </c>
      <c r="EF23" s="16">
        <v>44142</v>
      </c>
      <c r="EG23">
        <v>17924</v>
      </c>
      <c r="EH23">
        <v>130</v>
      </c>
      <c r="EI23" s="16">
        <v>44143</v>
      </c>
      <c r="EJ23">
        <v>18058</v>
      </c>
      <c r="EK23">
        <v>134</v>
      </c>
      <c r="EL23" s="16">
        <v>44144</v>
      </c>
      <c r="EM23">
        <v>18331</v>
      </c>
      <c r="EN23">
        <v>276</v>
      </c>
      <c r="EO23" s="16">
        <v>44145</v>
      </c>
      <c r="EP23">
        <v>18533</v>
      </c>
      <c r="EQ23">
        <v>205</v>
      </c>
      <c r="ER23" s="16">
        <v>44146</v>
      </c>
      <c r="ES23">
        <v>18827</v>
      </c>
      <c r="ET23">
        <v>291</v>
      </c>
      <c r="EU23" s="16">
        <v>44147</v>
      </c>
      <c r="EV23">
        <v>19103</v>
      </c>
      <c r="EW23">
        <v>277</v>
      </c>
      <c r="EX23" s="16">
        <v>44148</v>
      </c>
      <c r="EY23">
        <v>19365</v>
      </c>
      <c r="EZ23">
        <v>262</v>
      </c>
      <c r="FA23" s="16">
        <v>44149</v>
      </c>
      <c r="FB23">
        <v>19508</v>
      </c>
      <c r="FC23">
        <v>144</v>
      </c>
      <c r="FD23" s="16">
        <v>44150</v>
      </c>
      <c r="FE23">
        <v>19634</v>
      </c>
      <c r="FF23">
        <v>178</v>
      </c>
      <c r="FG23" s="16">
        <v>44151</v>
      </c>
      <c r="FH23">
        <v>20093</v>
      </c>
      <c r="FI23">
        <v>393</v>
      </c>
      <c r="FJ23" s="16">
        <v>44152</v>
      </c>
      <c r="FK23">
        <v>20505</v>
      </c>
      <c r="FL23">
        <v>394</v>
      </c>
      <c r="FM23" s="16">
        <v>44153</v>
      </c>
      <c r="FN23">
        <v>20877</v>
      </c>
      <c r="FO23">
        <v>372</v>
      </c>
      <c r="FP23" s="16">
        <v>44154</v>
      </c>
      <c r="FQ23">
        <v>21356</v>
      </c>
      <c r="FR23">
        <v>479</v>
      </c>
      <c r="FS23" s="16">
        <v>44155</v>
      </c>
      <c r="FT23">
        <v>21803</v>
      </c>
      <c r="FU23">
        <v>430</v>
      </c>
      <c r="FV23" s="16">
        <v>44156</v>
      </c>
      <c r="FW23">
        <v>22075</v>
      </c>
      <c r="FX23">
        <v>269</v>
      </c>
      <c r="FY23" s="16">
        <v>44157</v>
      </c>
      <c r="FZ23">
        <v>22343</v>
      </c>
      <c r="GA23">
        <v>262</v>
      </c>
      <c r="GB23" s="16">
        <v>44158</v>
      </c>
      <c r="GC23">
        <v>22832</v>
      </c>
      <c r="GD23">
        <v>490</v>
      </c>
      <c r="GE23" s="16">
        <v>44159</v>
      </c>
      <c r="GF23">
        <v>23294</v>
      </c>
      <c r="GG23">
        <v>460</v>
      </c>
      <c r="GH23" s="16">
        <v>44160</v>
      </c>
      <c r="GI23">
        <v>23895</v>
      </c>
      <c r="GJ23">
        <v>599</v>
      </c>
      <c r="GK23" s="16">
        <v>44161</v>
      </c>
      <c r="GL23">
        <v>24403</v>
      </c>
      <c r="GM23">
        <v>508</v>
      </c>
      <c r="GN23" s="16">
        <v>44162</v>
      </c>
      <c r="GO23">
        <v>24869</v>
      </c>
      <c r="GP23">
        <v>465</v>
      </c>
      <c r="GQ23" s="16">
        <v>44163</v>
      </c>
      <c r="GR23">
        <v>25166</v>
      </c>
      <c r="GS23">
        <v>292</v>
      </c>
      <c r="GT23" s="16">
        <v>44164</v>
      </c>
      <c r="GU23">
        <v>25476</v>
      </c>
      <c r="GV23">
        <v>293</v>
      </c>
      <c r="GW23" s="16">
        <v>44165</v>
      </c>
      <c r="GX23">
        <v>26077</v>
      </c>
      <c r="GY23">
        <v>596</v>
      </c>
      <c r="GZ23" s="16">
        <v>44166</v>
      </c>
      <c r="HA23">
        <v>26523</v>
      </c>
      <c r="HB23">
        <v>443</v>
      </c>
      <c r="HC23" s="16">
        <v>44167</v>
      </c>
      <c r="HD23">
        <v>27018</v>
      </c>
      <c r="HE23">
        <v>495</v>
      </c>
      <c r="HF23" s="16">
        <v>44168</v>
      </c>
      <c r="HG23">
        <v>27481</v>
      </c>
      <c r="HH23">
        <v>474</v>
      </c>
      <c r="HI23" s="16">
        <v>44169</v>
      </c>
      <c r="HJ23">
        <v>27951</v>
      </c>
      <c r="HK23">
        <v>473</v>
      </c>
      <c r="HL23" s="16">
        <v>44170</v>
      </c>
      <c r="HM23">
        <v>28198</v>
      </c>
      <c r="HN23">
        <v>251</v>
      </c>
      <c r="HO23" s="16">
        <v>44171</v>
      </c>
      <c r="HP23">
        <v>28487</v>
      </c>
      <c r="HQ23">
        <v>281</v>
      </c>
      <c r="HR23" s="16">
        <v>44172</v>
      </c>
      <c r="HS23">
        <v>29073</v>
      </c>
      <c r="HT23">
        <v>589</v>
      </c>
      <c r="HU23" s="16">
        <v>44173</v>
      </c>
      <c r="HV23">
        <v>29552</v>
      </c>
      <c r="HW23">
        <v>477</v>
      </c>
      <c r="HX23" s="16">
        <v>44174</v>
      </c>
      <c r="HY23">
        <v>30012</v>
      </c>
      <c r="HZ23">
        <v>462</v>
      </c>
      <c r="IA23" s="16">
        <v>44175</v>
      </c>
      <c r="IB23">
        <v>30418</v>
      </c>
      <c r="IC23">
        <v>408</v>
      </c>
      <c r="ID23" s="16">
        <v>44176</v>
      </c>
      <c r="IE23">
        <v>30866</v>
      </c>
      <c r="IF23">
        <v>444</v>
      </c>
      <c r="IG23" s="16">
        <v>44177</v>
      </c>
      <c r="IH23">
        <v>31114</v>
      </c>
      <c r="II23">
        <v>250</v>
      </c>
      <c r="IJ23" s="16">
        <v>44178</v>
      </c>
      <c r="IK23">
        <v>31391</v>
      </c>
      <c r="IL23">
        <v>275</v>
      </c>
      <c r="IM23" s="16">
        <v>44179</v>
      </c>
      <c r="IN23">
        <v>31851</v>
      </c>
      <c r="IO23">
        <v>461</v>
      </c>
      <c r="IP23">
        <v>44180</v>
      </c>
      <c r="IQ23">
        <v>32208</v>
      </c>
      <c r="IR23">
        <v>358</v>
      </c>
      <c r="IS23">
        <v>44181</v>
      </c>
      <c r="IT23">
        <v>32556</v>
      </c>
      <c r="IU23">
        <v>348</v>
      </c>
      <c r="IV23">
        <v>44182</v>
      </c>
      <c r="IW23">
        <v>32875</v>
      </c>
      <c r="IX23">
        <v>319</v>
      </c>
      <c r="IY23">
        <v>44183</v>
      </c>
      <c r="IZ23">
        <v>33274</v>
      </c>
      <c r="JA23">
        <v>395</v>
      </c>
      <c r="JB23">
        <v>44187</v>
      </c>
      <c r="JC23">
        <v>34421</v>
      </c>
      <c r="JD23">
        <v>331</v>
      </c>
      <c r="JE23">
        <v>44191</v>
      </c>
      <c r="JF23">
        <v>35176</v>
      </c>
      <c r="JG23">
        <v>183</v>
      </c>
      <c r="JH23">
        <v>44192</v>
      </c>
      <c r="JI23">
        <v>35409</v>
      </c>
      <c r="JJ23">
        <v>188</v>
      </c>
      <c r="JK23">
        <v>44193</v>
      </c>
      <c r="JL23">
        <v>35835</v>
      </c>
      <c r="JM23">
        <v>432</v>
      </c>
      <c r="JN23">
        <v>44194</v>
      </c>
      <c r="JO23">
        <v>36130</v>
      </c>
      <c r="JP23">
        <v>306</v>
      </c>
      <c r="JQ23">
        <v>44196</v>
      </c>
      <c r="JR23">
        <v>36643</v>
      </c>
      <c r="JS23">
        <v>253</v>
      </c>
      <c r="JT23">
        <v>44196</v>
      </c>
      <c r="JU23">
        <v>36644</v>
      </c>
      <c r="JV23">
        <v>253</v>
      </c>
      <c r="JW23">
        <v>44198</v>
      </c>
      <c r="JX23">
        <v>36973</v>
      </c>
      <c r="JY23">
        <v>205</v>
      </c>
      <c r="JZ23">
        <v>44210</v>
      </c>
      <c r="KA23">
        <v>39593</v>
      </c>
      <c r="KB23">
        <v>0</v>
      </c>
      <c r="KC23">
        <v>44210</v>
      </c>
      <c r="KD23">
        <v>40104</v>
      </c>
      <c r="KE23">
        <v>249</v>
      </c>
      <c r="KF23">
        <v>44211</v>
      </c>
      <c r="KG23">
        <v>40359</v>
      </c>
      <c r="KH23">
        <v>265</v>
      </c>
      <c r="KI23">
        <v>44213</v>
      </c>
      <c r="KJ23">
        <v>40721</v>
      </c>
      <c r="KK23">
        <v>194</v>
      </c>
      <c r="KL23">
        <v>44214</v>
      </c>
      <c r="KM23">
        <v>41173</v>
      </c>
      <c r="KN23">
        <v>447</v>
      </c>
      <c r="KO23">
        <v>44218</v>
      </c>
      <c r="KP23">
        <v>42650</v>
      </c>
      <c r="KQ23">
        <v>356</v>
      </c>
      <c r="KR23">
        <v>44219</v>
      </c>
      <c r="KS23">
        <v>42824</v>
      </c>
      <c r="KT23">
        <v>170</v>
      </c>
      <c r="KU23">
        <v>44220</v>
      </c>
      <c r="KV23">
        <v>43069</v>
      </c>
      <c r="KW23">
        <v>243</v>
      </c>
      <c r="KX23">
        <v>44222</v>
      </c>
      <c r="KY23">
        <v>44077</v>
      </c>
      <c r="KZ23">
        <v>402</v>
      </c>
      <c r="LA23">
        <v>44223</v>
      </c>
      <c r="LB23">
        <v>44471</v>
      </c>
      <c r="LC23">
        <v>383</v>
      </c>
      <c r="LD23">
        <v>44224</v>
      </c>
      <c r="LE23">
        <v>44905</v>
      </c>
      <c r="LF23">
        <v>435</v>
      </c>
      <c r="LG23">
        <v>44226</v>
      </c>
      <c r="LH23">
        <v>45474</v>
      </c>
      <c r="LI23">
        <v>230</v>
      </c>
      <c r="LJ23">
        <v>44226</v>
      </c>
      <c r="LK23">
        <v>45476</v>
      </c>
      <c r="LL23">
        <v>231</v>
      </c>
      <c r="LM23">
        <v>44228</v>
      </c>
      <c r="LN23">
        <v>46299</v>
      </c>
      <c r="LO23">
        <v>523</v>
      </c>
      <c r="LP23">
        <v>44229</v>
      </c>
      <c r="LQ23">
        <v>46694</v>
      </c>
      <c r="LR23">
        <v>399</v>
      </c>
      <c r="LS23">
        <v>44230</v>
      </c>
      <c r="LT23">
        <v>47134</v>
      </c>
      <c r="LU23">
        <v>437</v>
      </c>
    </row>
    <row r="24" spans="1:333">
      <c r="A24" t="str">
        <f t="shared" ca="1" si="0"/>
        <v>4.2</v>
      </c>
      <c r="B24" s="4">
        <f t="shared" ca="1" si="1"/>
        <v>44231</v>
      </c>
      <c r="C24" s="11">
        <f t="shared" ca="1" si="2"/>
        <v>47516</v>
      </c>
      <c r="D24">
        <f t="shared" ca="1" si="3"/>
        <v>369</v>
      </c>
      <c r="E24" s="11">
        <f t="shared" ca="1" si="4"/>
        <v>0</v>
      </c>
      <c r="F24" s="11">
        <f t="shared" ca="1" si="5"/>
        <v>369</v>
      </c>
      <c r="M24" s="16">
        <v>44231</v>
      </c>
      <c r="N24">
        <v>47503</v>
      </c>
      <c r="O24">
        <v>369</v>
      </c>
      <c r="P24" s="16">
        <v>44231</v>
      </c>
      <c r="Q24">
        <v>47503</v>
      </c>
      <c r="R24">
        <v>369</v>
      </c>
      <c r="S24" s="16">
        <v>44102</v>
      </c>
      <c r="T24">
        <v>10069</v>
      </c>
      <c r="U24">
        <v>123</v>
      </c>
      <c r="V24" s="16">
        <v>44103</v>
      </c>
      <c r="W24">
        <v>10205</v>
      </c>
      <c r="X24">
        <v>135</v>
      </c>
      <c r="Y24" s="16">
        <v>44104</v>
      </c>
      <c r="Z24">
        <v>10378</v>
      </c>
      <c r="AA24">
        <v>168</v>
      </c>
      <c r="AB24" s="16">
        <v>44105</v>
      </c>
      <c r="AC24">
        <v>10567</v>
      </c>
      <c r="AD24">
        <v>191</v>
      </c>
      <c r="AE24" s="16">
        <v>44106</v>
      </c>
      <c r="AF24">
        <v>10758</v>
      </c>
      <c r="AG24">
        <v>190</v>
      </c>
      <c r="AH24" s="16">
        <v>44107</v>
      </c>
      <c r="AI24">
        <v>10932</v>
      </c>
      <c r="AJ24">
        <v>172</v>
      </c>
      <c r="AK24" s="16">
        <v>44108</v>
      </c>
      <c r="AL24">
        <v>11065</v>
      </c>
      <c r="AM24">
        <v>147</v>
      </c>
      <c r="AN24" s="16">
        <v>44109</v>
      </c>
      <c r="AO24">
        <v>11353</v>
      </c>
      <c r="AP24">
        <v>288</v>
      </c>
      <c r="AQ24" s="16">
        <v>44110</v>
      </c>
      <c r="AR24">
        <v>11650</v>
      </c>
      <c r="AS24">
        <v>299</v>
      </c>
      <c r="AT24" s="16">
        <v>44111</v>
      </c>
      <c r="AU24">
        <v>11956</v>
      </c>
      <c r="AV24">
        <v>308</v>
      </c>
      <c r="AW24" s="16">
        <v>44112</v>
      </c>
      <c r="AX24">
        <v>12216</v>
      </c>
      <c r="AY24">
        <v>262</v>
      </c>
      <c r="AZ24" s="16">
        <v>44113</v>
      </c>
      <c r="BA24">
        <v>12443</v>
      </c>
      <c r="BB24">
        <v>228</v>
      </c>
      <c r="BC24" s="16">
        <v>44114</v>
      </c>
      <c r="BD24">
        <v>12559</v>
      </c>
      <c r="BE24">
        <v>113</v>
      </c>
      <c r="BF24" s="16">
        <v>44115</v>
      </c>
      <c r="BG24">
        <v>12679</v>
      </c>
      <c r="BH24">
        <v>130</v>
      </c>
      <c r="BI24" s="16">
        <v>44116</v>
      </c>
      <c r="BJ24">
        <v>12934</v>
      </c>
      <c r="BK24">
        <v>253</v>
      </c>
      <c r="BL24" s="16">
        <v>44117</v>
      </c>
      <c r="BM24">
        <v>13131</v>
      </c>
      <c r="BN24">
        <v>197</v>
      </c>
      <c r="BO24" s="16">
        <v>44118</v>
      </c>
      <c r="BP24">
        <v>13333</v>
      </c>
      <c r="BQ24">
        <v>200</v>
      </c>
      <c r="BR24" s="16">
        <v>44119</v>
      </c>
      <c r="BS24">
        <v>13523</v>
      </c>
      <c r="BT24">
        <v>190</v>
      </c>
      <c r="BU24" s="16">
        <v>44121</v>
      </c>
      <c r="BV24">
        <v>13818</v>
      </c>
      <c r="BW24">
        <v>101</v>
      </c>
      <c r="BX24" s="16">
        <v>44122</v>
      </c>
      <c r="BY24">
        <v>13941</v>
      </c>
      <c r="BZ24">
        <v>127</v>
      </c>
      <c r="CA24" s="16">
        <v>44123</v>
      </c>
      <c r="CB24">
        <v>14188</v>
      </c>
      <c r="CC24">
        <v>242</v>
      </c>
      <c r="CD24" s="16">
        <v>44124</v>
      </c>
      <c r="CE24">
        <v>14359</v>
      </c>
      <c r="CF24">
        <v>161</v>
      </c>
      <c r="CG24" s="16">
        <v>44125</v>
      </c>
      <c r="CH24">
        <v>14550</v>
      </c>
      <c r="CI24">
        <v>189</v>
      </c>
      <c r="CJ24" s="16">
        <v>44126</v>
      </c>
      <c r="CK24">
        <v>14762</v>
      </c>
      <c r="CL24">
        <v>212</v>
      </c>
      <c r="CM24" s="16">
        <v>44127</v>
      </c>
      <c r="CN24">
        <v>14954</v>
      </c>
      <c r="CO24">
        <v>192</v>
      </c>
      <c r="CP24" s="16">
        <v>44128</v>
      </c>
      <c r="CQ24">
        <v>15061</v>
      </c>
      <c r="CR24">
        <v>107</v>
      </c>
      <c r="CS24" s="16">
        <v>44129</v>
      </c>
      <c r="CT24">
        <v>15189</v>
      </c>
      <c r="CU24">
        <v>123</v>
      </c>
      <c r="CV24" s="16">
        <v>44130</v>
      </c>
      <c r="CW24">
        <v>15448</v>
      </c>
      <c r="CX24">
        <v>255</v>
      </c>
      <c r="CY24" s="16">
        <v>44132</v>
      </c>
      <c r="CZ24">
        <v>15917</v>
      </c>
      <c r="DA24">
        <v>241</v>
      </c>
      <c r="DB24" s="16">
        <v>44133</v>
      </c>
      <c r="DC24">
        <v>16153</v>
      </c>
      <c r="DD24">
        <v>237</v>
      </c>
      <c r="DE24" s="16">
        <v>44134</v>
      </c>
      <c r="DF24">
        <v>16371</v>
      </c>
      <c r="DG24">
        <v>216</v>
      </c>
      <c r="DH24" s="16">
        <v>44135</v>
      </c>
      <c r="DI24">
        <v>16494</v>
      </c>
      <c r="DJ24">
        <v>121</v>
      </c>
      <c r="DK24" s="16">
        <v>44136</v>
      </c>
      <c r="DL24">
        <v>16650</v>
      </c>
      <c r="DM24">
        <v>150</v>
      </c>
      <c r="DN24" s="16">
        <v>44137</v>
      </c>
      <c r="DO24">
        <v>16932</v>
      </c>
      <c r="DP24">
        <v>281</v>
      </c>
      <c r="DQ24" s="16">
        <v>44138</v>
      </c>
      <c r="DR24">
        <v>17173</v>
      </c>
      <c r="DS24">
        <v>241</v>
      </c>
      <c r="DT24" s="16">
        <v>44139</v>
      </c>
      <c r="DU24">
        <v>17384</v>
      </c>
      <c r="DV24">
        <v>208</v>
      </c>
      <c r="DW24" s="16">
        <v>44140</v>
      </c>
      <c r="DX24">
        <v>17603</v>
      </c>
      <c r="DY24">
        <v>219</v>
      </c>
      <c r="DZ24" s="16">
        <v>44141</v>
      </c>
      <c r="EA24">
        <v>17798</v>
      </c>
      <c r="EB24">
        <v>194</v>
      </c>
      <c r="EC24" s="16">
        <v>44142</v>
      </c>
      <c r="ED24">
        <v>17922</v>
      </c>
      <c r="EE24">
        <v>130</v>
      </c>
      <c r="EF24" s="16">
        <v>44143</v>
      </c>
      <c r="EG24">
        <v>18058</v>
      </c>
      <c r="EH24">
        <v>134</v>
      </c>
      <c r="EI24" s="16">
        <v>44144</v>
      </c>
      <c r="EJ24">
        <v>18335</v>
      </c>
      <c r="EK24">
        <v>277</v>
      </c>
      <c r="EL24" s="16">
        <v>44145</v>
      </c>
      <c r="EM24">
        <v>18544</v>
      </c>
      <c r="EN24">
        <v>213</v>
      </c>
      <c r="EO24" s="16">
        <v>44146</v>
      </c>
      <c r="EP24">
        <v>18824</v>
      </c>
      <c r="EQ24">
        <v>291</v>
      </c>
      <c r="ER24" s="16">
        <v>44147</v>
      </c>
      <c r="ES24">
        <v>19104</v>
      </c>
      <c r="ET24">
        <v>277</v>
      </c>
      <c r="EU24" s="16">
        <v>44148</v>
      </c>
      <c r="EV24">
        <v>19364</v>
      </c>
      <c r="EW24">
        <v>261</v>
      </c>
      <c r="EX24" s="16">
        <v>44149</v>
      </c>
      <c r="EY24">
        <v>19508</v>
      </c>
      <c r="EZ24">
        <v>143</v>
      </c>
      <c r="FA24" s="16">
        <v>44150</v>
      </c>
      <c r="FB24">
        <v>19689</v>
      </c>
      <c r="FC24">
        <v>181</v>
      </c>
      <c r="FD24" s="16">
        <v>44151</v>
      </c>
      <c r="FE24">
        <v>20022</v>
      </c>
      <c r="FF24">
        <v>388</v>
      </c>
      <c r="FG24" s="16">
        <v>44152</v>
      </c>
      <c r="FH24">
        <v>20487</v>
      </c>
      <c r="FI24">
        <v>394</v>
      </c>
      <c r="FJ24" s="16">
        <v>44153</v>
      </c>
      <c r="FK24">
        <v>20877</v>
      </c>
      <c r="FL24">
        <v>372</v>
      </c>
      <c r="FM24" s="16">
        <v>44154</v>
      </c>
      <c r="FN24">
        <v>21356</v>
      </c>
      <c r="FO24">
        <v>479</v>
      </c>
      <c r="FP24" s="16">
        <v>44155</v>
      </c>
      <c r="FQ24">
        <v>21784</v>
      </c>
      <c r="FR24">
        <v>428</v>
      </c>
      <c r="FS24" s="16">
        <v>44156</v>
      </c>
      <c r="FT24">
        <v>22072</v>
      </c>
      <c r="FU24">
        <v>269</v>
      </c>
      <c r="FV24" s="16">
        <v>44157</v>
      </c>
      <c r="FW24">
        <v>22337</v>
      </c>
      <c r="FX24">
        <v>262</v>
      </c>
      <c r="FY24" s="16">
        <v>44158</v>
      </c>
      <c r="FZ24">
        <v>22833</v>
      </c>
      <c r="GA24">
        <v>490</v>
      </c>
      <c r="GB24" s="16">
        <v>44159</v>
      </c>
      <c r="GC24">
        <v>23292</v>
      </c>
      <c r="GD24">
        <v>460</v>
      </c>
      <c r="GE24" s="16">
        <v>44160</v>
      </c>
      <c r="GF24">
        <v>23893</v>
      </c>
      <c r="GG24">
        <v>599</v>
      </c>
      <c r="GH24" s="16">
        <v>44161</v>
      </c>
      <c r="GI24">
        <v>24403</v>
      </c>
      <c r="GJ24">
        <v>508</v>
      </c>
      <c r="GK24" s="16">
        <v>44162</v>
      </c>
      <c r="GL24">
        <v>24865</v>
      </c>
      <c r="GM24">
        <v>462</v>
      </c>
      <c r="GN24" s="16">
        <v>44163</v>
      </c>
      <c r="GO24">
        <v>25162</v>
      </c>
      <c r="GP24">
        <v>293</v>
      </c>
      <c r="GQ24" s="16">
        <v>44164</v>
      </c>
      <c r="GR24">
        <v>25450</v>
      </c>
      <c r="GS24">
        <v>284</v>
      </c>
      <c r="GT24" s="16">
        <v>44165</v>
      </c>
      <c r="GU24">
        <v>26069</v>
      </c>
      <c r="GV24">
        <v>593</v>
      </c>
      <c r="GW24" s="16">
        <v>44166</v>
      </c>
      <c r="GX24">
        <v>26520</v>
      </c>
      <c r="GY24">
        <v>443</v>
      </c>
      <c r="GZ24" s="16">
        <v>44167</v>
      </c>
      <c r="HA24">
        <v>27018</v>
      </c>
      <c r="HB24">
        <v>495</v>
      </c>
      <c r="HC24" s="16">
        <v>44168</v>
      </c>
      <c r="HD24">
        <v>27492</v>
      </c>
      <c r="HE24">
        <v>474</v>
      </c>
      <c r="HF24" s="16">
        <v>44169</v>
      </c>
      <c r="HG24">
        <v>27955</v>
      </c>
      <c r="HH24">
        <v>474</v>
      </c>
      <c r="HI24" s="16">
        <v>44170</v>
      </c>
      <c r="HJ24">
        <v>28203</v>
      </c>
      <c r="HK24">
        <v>252</v>
      </c>
      <c r="HL24" s="16">
        <v>44171</v>
      </c>
      <c r="HM24">
        <v>28478</v>
      </c>
      <c r="HN24">
        <v>280</v>
      </c>
      <c r="HO24" s="16">
        <v>44172</v>
      </c>
      <c r="HP24">
        <v>29077</v>
      </c>
      <c r="HQ24">
        <v>590</v>
      </c>
      <c r="HR24" s="16">
        <v>44173</v>
      </c>
      <c r="HS24">
        <v>29549</v>
      </c>
      <c r="HT24">
        <v>476</v>
      </c>
      <c r="HU24" s="16">
        <v>44174</v>
      </c>
      <c r="HV24">
        <v>30014</v>
      </c>
      <c r="HW24">
        <v>462</v>
      </c>
      <c r="HX24" s="16">
        <v>44175</v>
      </c>
      <c r="HY24">
        <v>30420</v>
      </c>
      <c r="HZ24">
        <v>408</v>
      </c>
      <c r="IA24" s="16">
        <v>44176</v>
      </c>
      <c r="IB24">
        <v>30863</v>
      </c>
      <c r="IC24">
        <v>445</v>
      </c>
      <c r="ID24" s="16">
        <v>44177</v>
      </c>
      <c r="IE24">
        <v>31116</v>
      </c>
      <c r="IF24">
        <v>250</v>
      </c>
      <c r="IG24" s="16">
        <v>44178</v>
      </c>
      <c r="IH24">
        <v>31388</v>
      </c>
      <c r="II24">
        <v>274</v>
      </c>
      <c r="IJ24" s="16">
        <v>44179</v>
      </c>
      <c r="IK24">
        <v>31852</v>
      </c>
      <c r="IL24">
        <v>461</v>
      </c>
      <c r="IM24" s="16">
        <v>44180</v>
      </c>
      <c r="IN24">
        <v>32209</v>
      </c>
      <c r="IO24">
        <v>358</v>
      </c>
      <c r="IP24">
        <v>44181</v>
      </c>
      <c r="IQ24">
        <v>32556</v>
      </c>
      <c r="IR24">
        <v>348</v>
      </c>
      <c r="IS24">
        <v>44182</v>
      </c>
      <c r="IT24">
        <v>32875</v>
      </c>
      <c r="IU24">
        <v>319</v>
      </c>
      <c r="IV24">
        <v>44183</v>
      </c>
      <c r="IW24">
        <v>33270</v>
      </c>
      <c r="IX24">
        <v>395</v>
      </c>
      <c r="IY24">
        <v>44184</v>
      </c>
      <c r="IZ24">
        <v>33464</v>
      </c>
      <c r="JA24">
        <v>190</v>
      </c>
      <c r="JB24">
        <v>44188</v>
      </c>
      <c r="JC24">
        <v>34698</v>
      </c>
      <c r="JD24">
        <v>277</v>
      </c>
      <c r="JE24">
        <v>44192</v>
      </c>
      <c r="JF24">
        <v>35365</v>
      </c>
      <c r="JG24">
        <v>189</v>
      </c>
      <c r="JH24">
        <v>44193</v>
      </c>
      <c r="JI24">
        <v>35839</v>
      </c>
      <c r="JJ24">
        <v>430</v>
      </c>
      <c r="JK24">
        <v>44194</v>
      </c>
      <c r="JL24">
        <v>36142</v>
      </c>
      <c r="JM24">
        <v>307</v>
      </c>
      <c r="JN24">
        <v>44195</v>
      </c>
      <c r="JO24">
        <v>36385</v>
      </c>
      <c r="JP24">
        <v>255</v>
      </c>
      <c r="JQ24">
        <v>44197</v>
      </c>
      <c r="JR24">
        <v>36772</v>
      </c>
      <c r="JS24">
        <v>129</v>
      </c>
      <c r="JT24">
        <v>44197</v>
      </c>
      <c r="JU24">
        <v>36773</v>
      </c>
      <c r="JV24">
        <v>129</v>
      </c>
      <c r="JW24">
        <v>44199</v>
      </c>
      <c r="JX24">
        <v>37144</v>
      </c>
      <c r="JY24">
        <v>171</v>
      </c>
      <c r="JZ24">
        <v>44211</v>
      </c>
      <c r="KA24">
        <v>39593</v>
      </c>
      <c r="KB24">
        <v>0</v>
      </c>
      <c r="KC24">
        <v>44211</v>
      </c>
      <c r="KD24">
        <v>40368</v>
      </c>
      <c r="KE24">
        <v>264</v>
      </c>
      <c r="KF24">
        <v>44212</v>
      </c>
      <c r="KG24">
        <v>40528</v>
      </c>
      <c r="KH24">
        <v>169</v>
      </c>
      <c r="KI24">
        <v>44214</v>
      </c>
      <c r="KJ24">
        <v>41168</v>
      </c>
      <c r="KK24">
        <v>447</v>
      </c>
      <c r="KL24">
        <v>44215</v>
      </c>
      <c r="KM24">
        <v>41517</v>
      </c>
      <c r="KN24">
        <v>344</v>
      </c>
      <c r="KO24">
        <v>44219</v>
      </c>
      <c r="KP24">
        <v>42819</v>
      </c>
      <c r="KQ24">
        <v>169</v>
      </c>
      <c r="KR24">
        <v>44220</v>
      </c>
      <c r="KS24">
        <v>43067</v>
      </c>
      <c r="KT24">
        <v>243</v>
      </c>
      <c r="KU24">
        <v>44221</v>
      </c>
      <c r="KV24">
        <v>43672</v>
      </c>
      <c r="KW24">
        <v>603</v>
      </c>
      <c r="KX24">
        <v>44223</v>
      </c>
      <c r="KY24">
        <v>44459</v>
      </c>
      <c r="KZ24">
        <v>382</v>
      </c>
      <c r="LA24">
        <v>44224</v>
      </c>
      <c r="LB24">
        <v>44906</v>
      </c>
      <c r="LC24">
        <v>435</v>
      </c>
      <c r="LD24">
        <v>44225</v>
      </c>
      <c r="LE24">
        <v>45280</v>
      </c>
      <c r="LF24">
        <v>375</v>
      </c>
      <c r="LG24">
        <v>44227</v>
      </c>
      <c r="LH24">
        <v>45749</v>
      </c>
      <c r="LI24">
        <v>275</v>
      </c>
      <c r="LJ24">
        <v>44227</v>
      </c>
      <c r="LK24">
        <v>45751</v>
      </c>
      <c r="LL24">
        <v>275</v>
      </c>
      <c r="LM24">
        <v>44229</v>
      </c>
      <c r="LN24">
        <v>46700</v>
      </c>
      <c r="LO24">
        <v>401</v>
      </c>
      <c r="LP24">
        <v>44230</v>
      </c>
      <c r="LQ24">
        <v>47130</v>
      </c>
      <c r="LR24">
        <v>436</v>
      </c>
      <c r="LS24">
        <v>44231</v>
      </c>
      <c r="LT24">
        <v>47503</v>
      </c>
      <c r="LU24">
        <v>369</v>
      </c>
    </row>
    <row r="25" spans="1:333">
      <c r="A25" t="str">
        <f t="shared" ca="1" si="0"/>
        <v>5.2</v>
      </c>
      <c r="B25" s="4">
        <f t="shared" ca="1" si="1"/>
        <v>44232</v>
      </c>
      <c r="C25" s="11">
        <f t="shared" ca="1" si="2"/>
        <v>47881</v>
      </c>
      <c r="D25">
        <f t="shared" ca="1" si="3"/>
        <v>365</v>
      </c>
      <c r="E25" s="11">
        <f t="shared" ca="1" si="4"/>
        <v>1</v>
      </c>
      <c r="F25" s="11">
        <f t="shared" ca="1" si="5"/>
        <v>364</v>
      </c>
      <c r="I25" s="10"/>
      <c r="J25" s="10">
        <f ca="1">SUM(D25:D31)</f>
        <v>2418</v>
      </c>
      <c r="K25" s="10" t="str">
        <f ca="1">TEXT(J25/J18-1,"0 %")</f>
        <v>-7 %</v>
      </c>
      <c r="M25" s="16">
        <v>44232</v>
      </c>
      <c r="N25">
        <v>47867</v>
      </c>
      <c r="O25">
        <v>364</v>
      </c>
      <c r="P25" s="16">
        <v>44232</v>
      </c>
      <c r="Q25">
        <v>47867</v>
      </c>
      <c r="R25">
        <v>364</v>
      </c>
      <c r="S25" s="16">
        <v>44103</v>
      </c>
      <c r="T25">
        <v>10205</v>
      </c>
      <c r="U25">
        <v>136</v>
      </c>
      <c r="V25" s="16">
        <v>44104</v>
      </c>
      <c r="W25">
        <v>10372</v>
      </c>
      <c r="X25">
        <v>167</v>
      </c>
      <c r="Y25" s="16">
        <v>44105</v>
      </c>
      <c r="Z25">
        <v>10569</v>
      </c>
      <c r="AA25">
        <v>191</v>
      </c>
      <c r="AB25" s="16">
        <v>44106</v>
      </c>
      <c r="AC25">
        <v>10758</v>
      </c>
      <c r="AD25">
        <v>191</v>
      </c>
      <c r="AE25" s="16">
        <v>44107</v>
      </c>
      <c r="AF25">
        <v>10930</v>
      </c>
      <c r="AG25">
        <v>172</v>
      </c>
      <c r="AH25" s="16">
        <v>44108</v>
      </c>
      <c r="AI25">
        <v>11080</v>
      </c>
      <c r="AJ25">
        <v>148</v>
      </c>
      <c r="AK25" s="16">
        <v>44109</v>
      </c>
      <c r="AL25">
        <v>11352</v>
      </c>
      <c r="AM25">
        <v>287</v>
      </c>
      <c r="AN25" s="16">
        <v>44110</v>
      </c>
      <c r="AO25">
        <v>11653</v>
      </c>
      <c r="AP25">
        <v>300</v>
      </c>
      <c r="AQ25" s="16">
        <v>44111</v>
      </c>
      <c r="AR25">
        <v>11958</v>
      </c>
      <c r="AS25">
        <v>308</v>
      </c>
      <c r="AT25" s="16">
        <v>44112</v>
      </c>
      <c r="AU25">
        <v>12217</v>
      </c>
      <c r="AV25">
        <v>261</v>
      </c>
      <c r="AW25" s="16">
        <v>44113</v>
      </c>
      <c r="AX25">
        <v>12443</v>
      </c>
      <c r="AY25">
        <v>227</v>
      </c>
      <c r="AZ25" s="16">
        <v>44114</v>
      </c>
      <c r="BA25">
        <v>12555</v>
      </c>
      <c r="BB25">
        <v>112</v>
      </c>
      <c r="BC25" s="16">
        <v>44115</v>
      </c>
      <c r="BD25">
        <v>12691</v>
      </c>
      <c r="BE25">
        <v>132</v>
      </c>
      <c r="BF25" s="16">
        <v>44116</v>
      </c>
      <c r="BG25">
        <v>12931</v>
      </c>
      <c r="BH25">
        <v>252</v>
      </c>
      <c r="BI25" s="16">
        <v>44117</v>
      </c>
      <c r="BJ25">
        <v>13131</v>
      </c>
      <c r="BK25">
        <v>197</v>
      </c>
      <c r="BL25" s="16">
        <v>44118</v>
      </c>
      <c r="BM25">
        <v>13332</v>
      </c>
      <c r="BN25">
        <v>201</v>
      </c>
      <c r="BO25" s="16">
        <v>44119</v>
      </c>
      <c r="BP25">
        <v>13523</v>
      </c>
      <c r="BQ25">
        <v>190</v>
      </c>
      <c r="BR25" s="16">
        <v>44120</v>
      </c>
      <c r="BS25">
        <v>13714</v>
      </c>
      <c r="BT25">
        <v>191</v>
      </c>
      <c r="BU25" s="16">
        <v>44122</v>
      </c>
      <c r="BV25">
        <v>13945</v>
      </c>
      <c r="BW25">
        <v>127</v>
      </c>
      <c r="BX25" s="16">
        <v>44123</v>
      </c>
      <c r="BY25">
        <v>14183</v>
      </c>
      <c r="BZ25">
        <v>242</v>
      </c>
      <c r="CA25" s="16">
        <v>44124</v>
      </c>
      <c r="CB25">
        <v>14348</v>
      </c>
      <c r="CC25">
        <v>160</v>
      </c>
      <c r="CD25" s="16">
        <v>44125</v>
      </c>
      <c r="CE25">
        <v>14548</v>
      </c>
      <c r="CF25">
        <v>189</v>
      </c>
      <c r="CG25" s="16">
        <v>44126</v>
      </c>
      <c r="CH25">
        <v>14762</v>
      </c>
      <c r="CI25">
        <v>212</v>
      </c>
      <c r="CJ25" s="16">
        <v>44127</v>
      </c>
      <c r="CK25">
        <v>14954</v>
      </c>
      <c r="CL25">
        <v>192</v>
      </c>
      <c r="CM25" s="16">
        <v>44128</v>
      </c>
      <c r="CN25">
        <v>15061</v>
      </c>
      <c r="CO25">
        <v>107</v>
      </c>
      <c r="CP25" s="16">
        <v>44129</v>
      </c>
      <c r="CQ25">
        <v>15184</v>
      </c>
      <c r="CR25">
        <v>123</v>
      </c>
      <c r="CS25" s="16">
        <v>44130</v>
      </c>
      <c r="CT25">
        <v>15443</v>
      </c>
      <c r="CU25">
        <v>254</v>
      </c>
      <c r="CV25" s="16">
        <v>44131</v>
      </c>
      <c r="CW25">
        <v>15678</v>
      </c>
      <c r="CX25">
        <v>230</v>
      </c>
      <c r="CY25" s="16">
        <v>44133</v>
      </c>
      <c r="CZ25">
        <v>16154</v>
      </c>
      <c r="DA25">
        <v>237</v>
      </c>
      <c r="DB25" s="16">
        <v>44134</v>
      </c>
      <c r="DC25">
        <v>16369</v>
      </c>
      <c r="DD25">
        <v>216</v>
      </c>
      <c r="DE25" s="16">
        <v>44135</v>
      </c>
      <c r="DF25">
        <v>16492</v>
      </c>
      <c r="DG25">
        <v>121</v>
      </c>
      <c r="DH25" s="16">
        <v>44136</v>
      </c>
      <c r="DI25">
        <v>16644</v>
      </c>
      <c r="DJ25">
        <v>150</v>
      </c>
      <c r="DK25" s="16">
        <v>44137</v>
      </c>
      <c r="DL25">
        <v>16931</v>
      </c>
      <c r="DM25">
        <v>281</v>
      </c>
      <c r="DN25" s="16">
        <v>44138</v>
      </c>
      <c r="DO25">
        <v>17171</v>
      </c>
      <c r="DP25">
        <v>239</v>
      </c>
      <c r="DQ25" s="16">
        <v>44139</v>
      </c>
      <c r="DR25">
        <v>17380</v>
      </c>
      <c r="DS25">
        <v>207</v>
      </c>
      <c r="DT25" s="16">
        <v>44140</v>
      </c>
      <c r="DU25">
        <v>17603</v>
      </c>
      <c r="DV25">
        <v>219</v>
      </c>
      <c r="DW25" s="16">
        <v>44141</v>
      </c>
      <c r="DX25">
        <v>17797</v>
      </c>
      <c r="DY25">
        <v>194</v>
      </c>
      <c r="DZ25" s="16">
        <v>44142</v>
      </c>
      <c r="EA25">
        <v>17926</v>
      </c>
      <c r="EB25">
        <v>128</v>
      </c>
      <c r="EC25" s="16">
        <v>44143</v>
      </c>
      <c r="ED25">
        <v>18055</v>
      </c>
      <c r="EE25">
        <v>133</v>
      </c>
      <c r="EF25" s="16">
        <v>44144</v>
      </c>
      <c r="EG25">
        <v>18335</v>
      </c>
      <c r="EH25">
        <v>277</v>
      </c>
      <c r="EI25" s="16">
        <v>44145</v>
      </c>
      <c r="EJ25">
        <v>18551</v>
      </c>
      <c r="EK25">
        <v>216</v>
      </c>
      <c r="EL25" s="16">
        <v>44146</v>
      </c>
      <c r="EM25">
        <v>18840</v>
      </c>
      <c r="EN25">
        <v>296</v>
      </c>
      <c r="EO25" s="16">
        <v>44147</v>
      </c>
      <c r="EP25">
        <v>19101</v>
      </c>
      <c r="EQ25">
        <v>277</v>
      </c>
      <c r="ER25" s="16">
        <v>44148</v>
      </c>
      <c r="ES25">
        <v>19365</v>
      </c>
      <c r="ET25">
        <v>261</v>
      </c>
      <c r="EU25" s="16">
        <v>44149</v>
      </c>
      <c r="EV25">
        <v>19507</v>
      </c>
      <c r="EW25">
        <v>143</v>
      </c>
      <c r="EX25" s="16">
        <v>44150</v>
      </c>
      <c r="EY25">
        <v>19689</v>
      </c>
      <c r="EZ25">
        <v>181</v>
      </c>
      <c r="FA25" s="16">
        <v>44151</v>
      </c>
      <c r="FB25">
        <v>20084</v>
      </c>
      <c r="FC25">
        <v>395</v>
      </c>
      <c r="FD25" s="16">
        <v>44152</v>
      </c>
      <c r="FE25">
        <v>20415</v>
      </c>
      <c r="FF25">
        <v>393</v>
      </c>
      <c r="FG25" s="16">
        <v>44153</v>
      </c>
      <c r="FH25">
        <v>20858</v>
      </c>
      <c r="FI25">
        <v>371</v>
      </c>
      <c r="FJ25" s="16">
        <v>44154</v>
      </c>
      <c r="FK25">
        <v>21355</v>
      </c>
      <c r="FL25">
        <v>478</v>
      </c>
      <c r="FM25" s="16">
        <v>44155</v>
      </c>
      <c r="FN25">
        <v>21784</v>
      </c>
      <c r="FO25">
        <v>428</v>
      </c>
      <c r="FP25" s="16">
        <v>44156</v>
      </c>
      <c r="FQ25">
        <v>22054</v>
      </c>
      <c r="FR25">
        <v>270</v>
      </c>
      <c r="FS25" s="16">
        <v>44157</v>
      </c>
      <c r="FT25">
        <v>22334</v>
      </c>
      <c r="FU25">
        <v>262</v>
      </c>
      <c r="FV25" s="16">
        <v>44158</v>
      </c>
      <c r="FW25">
        <v>22828</v>
      </c>
      <c r="FX25">
        <v>491</v>
      </c>
      <c r="FY25" s="16">
        <v>44159</v>
      </c>
      <c r="FZ25">
        <v>23294</v>
      </c>
      <c r="GA25">
        <v>461</v>
      </c>
      <c r="GB25" s="16">
        <v>44160</v>
      </c>
      <c r="GC25">
        <v>23890</v>
      </c>
      <c r="GD25">
        <v>598</v>
      </c>
      <c r="GE25" s="16">
        <v>44161</v>
      </c>
      <c r="GF25">
        <v>24401</v>
      </c>
      <c r="GG25">
        <v>508</v>
      </c>
      <c r="GH25" s="16">
        <v>44162</v>
      </c>
      <c r="GI25">
        <v>24864</v>
      </c>
      <c r="GJ25">
        <v>461</v>
      </c>
      <c r="GK25" s="16">
        <v>44163</v>
      </c>
      <c r="GL25">
        <v>25156</v>
      </c>
      <c r="GM25">
        <v>291</v>
      </c>
      <c r="GN25" s="16">
        <v>44164</v>
      </c>
      <c r="GO25">
        <v>25443</v>
      </c>
      <c r="GP25">
        <v>281</v>
      </c>
      <c r="GQ25" s="16">
        <v>44165</v>
      </c>
      <c r="GR25">
        <v>26003</v>
      </c>
      <c r="GS25">
        <v>553</v>
      </c>
      <c r="GT25" s="16">
        <v>44166</v>
      </c>
      <c r="GU25">
        <v>26511</v>
      </c>
      <c r="GV25">
        <v>442</v>
      </c>
      <c r="GW25" s="16">
        <v>44167</v>
      </c>
      <c r="GX25">
        <v>27015</v>
      </c>
      <c r="GY25">
        <v>495</v>
      </c>
      <c r="GZ25" s="16">
        <v>44168</v>
      </c>
      <c r="HA25">
        <v>27492</v>
      </c>
      <c r="HB25">
        <v>474</v>
      </c>
      <c r="HC25" s="16">
        <v>44169</v>
      </c>
      <c r="HD25">
        <v>27968</v>
      </c>
      <c r="HE25">
        <v>476</v>
      </c>
      <c r="HF25" s="16">
        <v>44170</v>
      </c>
      <c r="HG25">
        <v>28207</v>
      </c>
      <c r="HH25">
        <v>252</v>
      </c>
      <c r="HI25" s="16">
        <v>44171</v>
      </c>
      <c r="HJ25">
        <v>28484</v>
      </c>
      <c r="HK25">
        <v>281</v>
      </c>
      <c r="HL25" s="16">
        <v>44172</v>
      </c>
      <c r="HM25">
        <v>29069</v>
      </c>
      <c r="HN25">
        <v>591</v>
      </c>
      <c r="HO25" s="16">
        <v>44173</v>
      </c>
      <c r="HP25">
        <v>29555</v>
      </c>
      <c r="HQ25">
        <v>478</v>
      </c>
      <c r="HR25" s="16">
        <v>44174</v>
      </c>
      <c r="HS25">
        <v>30011</v>
      </c>
      <c r="HT25">
        <v>462</v>
      </c>
      <c r="HU25" s="16">
        <v>44175</v>
      </c>
      <c r="HV25">
        <v>30422</v>
      </c>
      <c r="HW25">
        <v>408</v>
      </c>
      <c r="HX25" s="16">
        <v>44176</v>
      </c>
      <c r="HY25">
        <v>30865</v>
      </c>
      <c r="HZ25">
        <v>445</v>
      </c>
      <c r="IA25" s="16">
        <v>44177</v>
      </c>
      <c r="IB25">
        <v>31113</v>
      </c>
      <c r="IC25">
        <v>250</v>
      </c>
      <c r="ID25" s="16">
        <v>44178</v>
      </c>
      <c r="IE25">
        <v>31389</v>
      </c>
      <c r="IF25">
        <v>273</v>
      </c>
      <c r="IG25" s="16">
        <v>44179</v>
      </c>
      <c r="IH25">
        <v>31849</v>
      </c>
      <c r="II25">
        <v>461</v>
      </c>
      <c r="IJ25" s="16">
        <v>44180</v>
      </c>
      <c r="IK25">
        <v>32210</v>
      </c>
      <c r="IL25">
        <v>358</v>
      </c>
      <c r="IM25" s="16">
        <v>44181</v>
      </c>
      <c r="IN25">
        <v>32557</v>
      </c>
      <c r="IO25">
        <v>348</v>
      </c>
      <c r="IP25">
        <v>44182</v>
      </c>
      <c r="IQ25">
        <v>32875</v>
      </c>
      <c r="IR25">
        <v>319</v>
      </c>
      <c r="IS25">
        <v>44183</v>
      </c>
      <c r="IT25">
        <v>33270</v>
      </c>
      <c r="IU25">
        <v>395</v>
      </c>
      <c r="IV25">
        <v>44184</v>
      </c>
      <c r="IW25">
        <v>33461</v>
      </c>
      <c r="IX25">
        <v>191</v>
      </c>
      <c r="IY25">
        <v>44185</v>
      </c>
      <c r="IZ25">
        <v>33709</v>
      </c>
      <c r="JA25">
        <v>245</v>
      </c>
      <c r="JB25">
        <v>44189</v>
      </c>
      <c r="JC25">
        <v>34836</v>
      </c>
      <c r="JD25">
        <v>138</v>
      </c>
      <c r="JE25">
        <v>44193</v>
      </c>
      <c r="JF25">
        <v>35794</v>
      </c>
      <c r="JG25">
        <v>429</v>
      </c>
      <c r="JH25">
        <v>44194</v>
      </c>
      <c r="JI25">
        <v>36146</v>
      </c>
      <c r="JJ25">
        <v>307</v>
      </c>
      <c r="JK25">
        <v>44195</v>
      </c>
      <c r="JL25">
        <v>36398</v>
      </c>
      <c r="JM25">
        <v>256</v>
      </c>
      <c r="JN25">
        <v>44196</v>
      </c>
      <c r="JO25">
        <v>36638</v>
      </c>
      <c r="JP25">
        <v>253</v>
      </c>
      <c r="JQ25">
        <v>44198</v>
      </c>
      <c r="JR25">
        <v>36977</v>
      </c>
      <c r="JS25">
        <v>205</v>
      </c>
      <c r="JT25">
        <v>44198</v>
      </c>
      <c r="JU25">
        <v>36978</v>
      </c>
      <c r="JV25">
        <v>205</v>
      </c>
      <c r="JW25">
        <v>44200</v>
      </c>
      <c r="JX25">
        <v>37539</v>
      </c>
      <c r="JY25">
        <v>395</v>
      </c>
      <c r="JZ25">
        <v>44212</v>
      </c>
      <c r="KA25">
        <v>39593</v>
      </c>
      <c r="KB25">
        <v>0</v>
      </c>
      <c r="KC25">
        <v>44212</v>
      </c>
      <c r="KD25">
        <v>40537</v>
      </c>
      <c r="KE25">
        <v>169</v>
      </c>
      <c r="KF25">
        <v>44213</v>
      </c>
      <c r="KG25">
        <v>40722</v>
      </c>
      <c r="KH25">
        <v>194</v>
      </c>
      <c r="KI25">
        <v>44215</v>
      </c>
      <c r="KJ25">
        <v>41512</v>
      </c>
      <c r="KK25">
        <v>344</v>
      </c>
      <c r="KL25">
        <v>44216</v>
      </c>
      <c r="KM25">
        <v>41914</v>
      </c>
      <c r="KN25">
        <v>397</v>
      </c>
      <c r="KO25">
        <v>44220</v>
      </c>
      <c r="KP25">
        <v>43060</v>
      </c>
      <c r="KQ25">
        <v>241</v>
      </c>
      <c r="KR25">
        <v>44221</v>
      </c>
      <c r="KS25">
        <v>43669</v>
      </c>
      <c r="KT25">
        <v>602</v>
      </c>
      <c r="KU25">
        <v>44222</v>
      </c>
      <c r="KV25">
        <v>44073</v>
      </c>
      <c r="KW25">
        <v>401</v>
      </c>
      <c r="KX25">
        <v>44224</v>
      </c>
      <c r="KY25">
        <v>44893</v>
      </c>
      <c r="KZ25">
        <v>434</v>
      </c>
      <c r="LA25">
        <v>44225</v>
      </c>
      <c r="LB25">
        <v>45283</v>
      </c>
      <c r="LC25">
        <v>377</v>
      </c>
      <c r="LD25">
        <v>44226</v>
      </c>
      <c r="LE25">
        <v>45510</v>
      </c>
      <c r="LF25">
        <v>230</v>
      </c>
      <c r="LG25">
        <v>44228</v>
      </c>
      <c r="LH25">
        <v>46271</v>
      </c>
      <c r="LI25">
        <v>522</v>
      </c>
      <c r="LJ25">
        <v>44228</v>
      </c>
      <c r="LK25">
        <v>46273</v>
      </c>
      <c r="LL25">
        <v>522</v>
      </c>
      <c r="LM25">
        <v>44230</v>
      </c>
      <c r="LN25">
        <v>47130</v>
      </c>
      <c r="LO25">
        <v>430</v>
      </c>
      <c r="LP25">
        <v>44231</v>
      </c>
      <c r="LQ25">
        <v>47499</v>
      </c>
      <c r="LR25">
        <v>369</v>
      </c>
      <c r="LS25">
        <v>44232</v>
      </c>
      <c r="LT25">
        <v>47867</v>
      </c>
      <c r="LU25">
        <v>364</v>
      </c>
    </row>
    <row r="26" spans="1:333">
      <c r="A26" t="str">
        <f t="shared" ca="1" si="0"/>
        <v>6.2</v>
      </c>
      <c r="B26" s="4">
        <f t="shared" ca="1" si="1"/>
        <v>44233</v>
      </c>
      <c r="C26" s="11">
        <f t="shared" ca="1" si="2"/>
        <v>48121</v>
      </c>
      <c r="D26">
        <f t="shared" ca="1" si="3"/>
        <v>240</v>
      </c>
      <c r="E26" s="11">
        <f t="shared" ca="1" si="4"/>
        <v>0</v>
      </c>
      <c r="F26" s="11">
        <f t="shared" ca="1" si="5"/>
        <v>240</v>
      </c>
      <c r="K26" s="3"/>
      <c r="M26" s="16">
        <v>44233</v>
      </c>
      <c r="N26">
        <v>48107</v>
      </c>
      <c r="O26">
        <v>240</v>
      </c>
      <c r="P26" s="16">
        <v>44233</v>
      </c>
      <c r="Q26">
        <v>48107</v>
      </c>
      <c r="R26">
        <v>240</v>
      </c>
      <c r="S26" s="16">
        <v>44104</v>
      </c>
      <c r="T26">
        <v>10371</v>
      </c>
      <c r="U26">
        <v>166</v>
      </c>
      <c r="V26" s="16">
        <v>44105</v>
      </c>
      <c r="W26">
        <v>10560</v>
      </c>
      <c r="X26">
        <v>188</v>
      </c>
      <c r="Y26" s="16">
        <v>44106</v>
      </c>
      <c r="Z26">
        <v>10761</v>
      </c>
      <c r="AA26">
        <v>192</v>
      </c>
      <c r="AB26" s="16">
        <v>44107</v>
      </c>
      <c r="AC26">
        <v>10935</v>
      </c>
      <c r="AD26">
        <v>177</v>
      </c>
      <c r="AE26" s="16">
        <v>44108</v>
      </c>
      <c r="AF26">
        <v>11077</v>
      </c>
      <c r="AG26">
        <v>147</v>
      </c>
      <c r="AH26" s="16">
        <v>44109</v>
      </c>
      <c r="AI26">
        <v>11356</v>
      </c>
      <c r="AJ26">
        <v>276</v>
      </c>
      <c r="AK26" s="16">
        <v>44110</v>
      </c>
      <c r="AL26">
        <v>11652</v>
      </c>
      <c r="AM26">
        <v>300</v>
      </c>
      <c r="AN26" s="16">
        <v>44111</v>
      </c>
      <c r="AO26">
        <v>11956</v>
      </c>
      <c r="AP26">
        <v>303</v>
      </c>
      <c r="AQ26" s="16">
        <v>44112</v>
      </c>
      <c r="AR26">
        <v>12217</v>
      </c>
      <c r="AS26">
        <v>259</v>
      </c>
      <c r="AT26" s="16">
        <v>44113</v>
      </c>
      <c r="AU26">
        <v>12445</v>
      </c>
      <c r="AV26">
        <v>228</v>
      </c>
      <c r="AW26" s="16">
        <v>44114</v>
      </c>
      <c r="AX26">
        <v>12555</v>
      </c>
      <c r="AY26">
        <v>112</v>
      </c>
      <c r="AZ26" s="16">
        <v>44115</v>
      </c>
      <c r="BA26">
        <v>12685</v>
      </c>
      <c r="BB26">
        <v>130</v>
      </c>
      <c r="BC26" s="16">
        <v>44116</v>
      </c>
      <c r="BD26">
        <v>12929</v>
      </c>
      <c r="BE26">
        <v>238</v>
      </c>
      <c r="BF26" s="16">
        <v>44117</v>
      </c>
      <c r="BG26">
        <v>13128</v>
      </c>
      <c r="BH26">
        <v>197</v>
      </c>
      <c r="BI26" s="16">
        <v>44118</v>
      </c>
      <c r="BJ26">
        <v>13332</v>
      </c>
      <c r="BK26">
        <v>201</v>
      </c>
      <c r="BL26" s="16">
        <v>44119</v>
      </c>
      <c r="BM26">
        <v>13520</v>
      </c>
      <c r="BN26">
        <v>188</v>
      </c>
      <c r="BO26" s="16">
        <v>44120</v>
      </c>
      <c r="BP26">
        <v>13716</v>
      </c>
      <c r="BQ26">
        <v>193</v>
      </c>
      <c r="BR26" s="16">
        <v>44121</v>
      </c>
      <c r="BS26">
        <v>13814</v>
      </c>
      <c r="BT26">
        <v>100</v>
      </c>
      <c r="BU26" s="16">
        <v>44123</v>
      </c>
      <c r="BV26">
        <v>14187</v>
      </c>
      <c r="BW26">
        <v>242</v>
      </c>
      <c r="BX26" s="16">
        <v>44124</v>
      </c>
      <c r="BY26">
        <v>14342</v>
      </c>
      <c r="BZ26">
        <v>159</v>
      </c>
      <c r="CA26" s="16">
        <v>44125</v>
      </c>
      <c r="CB26">
        <v>14538</v>
      </c>
      <c r="CC26">
        <v>190</v>
      </c>
      <c r="CD26" s="16">
        <v>44126</v>
      </c>
      <c r="CE26">
        <v>14760</v>
      </c>
      <c r="CF26">
        <v>212</v>
      </c>
      <c r="CG26" s="16">
        <v>44127</v>
      </c>
      <c r="CH26">
        <v>14954</v>
      </c>
      <c r="CI26">
        <v>192</v>
      </c>
      <c r="CJ26" s="16">
        <v>44128</v>
      </c>
      <c r="CK26">
        <v>15061</v>
      </c>
      <c r="CL26">
        <v>107</v>
      </c>
      <c r="CM26" s="16">
        <v>44129</v>
      </c>
      <c r="CN26">
        <v>15184</v>
      </c>
      <c r="CO26">
        <v>123</v>
      </c>
      <c r="CP26" s="16">
        <v>44130</v>
      </c>
      <c r="CQ26">
        <v>15438</v>
      </c>
      <c r="CR26">
        <v>254</v>
      </c>
      <c r="CS26" s="16">
        <v>44131</v>
      </c>
      <c r="CT26">
        <v>15672</v>
      </c>
      <c r="CU26">
        <v>229</v>
      </c>
      <c r="CV26" s="16">
        <v>44132</v>
      </c>
      <c r="CW26">
        <v>15919</v>
      </c>
      <c r="CX26">
        <v>241</v>
      </c>
      <c r="CY26" s="16">
        <v>44134</v>
      </c>
      <c r="CZ26">
        <v>16369</v>
      </c>
      <c r="DA26">
        <v>215</v>
      </c>
      <c r="DB26" s="16">
        <v>44135</v>
      </c>
      <c r="DC26">
        <v>16490</v>
      </c>
      <c r="DD26">
        <v>121</v>
      </c>
      <c r="DE26" s="16">
        <v>44136</v>
      </c>
      <c r="DF26">
        <v>16642</v>
      </c>
      <c r="DG26">
        <v>150</v>
      </c>
      <c r="DH26" s="16">
        <v>44137</v>
      </c>
      <c r="DI26">
        <v>16925</v>
      </c>
      <c r="DJ26">
        <v>281</v>
      </c>
      <c r="DK26" s="16">
        <v>44138</v>
      </c>
      <c r="DL26">
        <v>17170</v>
      </c>
      <c r="DM26">
        <v>239</v>
      </c>
      <c r="DN26" s="16">
        <v>44139</v>
      </c>
      <c r="DO26">
        <v>17377</v>
      </c>
      <c r="DP26">
        <v>206</v>
      </c>
      <c r="DQ26" s="16">
        <v>44140</v>
      </c>
      <c r="DR26">
        <v>17601</v>
      </c>
      <c r="DS26">
        <v>221</v>
      </c>
      <c r="DT26" s="16">
        <v>44141</v>
      </c>
      <c r="DU26">
        <v>17797</v>
      </c>
      <c r="DV26">
        <v>194</v>
      </c>
      <c r="DW26" s="16">
        <v>44142</v>
      </c>
      <c r="DX26">
        <v>17926</v>
      </c>
      <c r="DY26">
        <v>129</v>
      </c>
      <c r="DZ26" s="16">
        <v>44143</v>
      </c>
      <c r="EA26">
        <v>18060</v>
      </c>
      <c r="EB26">
        <v>134</v>
      </c>
      <c r="EC26" s="16">
        <v>44144</v>
      </c>
      <c r="ED26">
        <v>18331</v>
      </c>
      <c r="EE26">
        <v>276</v>
      </c>
      <c r="EF26" s="16">
        <v>44145</v>
      </c>
      <c r="EG26">
        <v>18549</v>
      </c>
      <c r="EH26">
        <v>214</v>
      </c>
      <c r="EI26" s="16">
        <v>44146</v>
      </c>
      <c r="EJ26">
        <v>18840</v>
      </c>
      <c r="EK26">
        <v>289</v>
      </c>
      <c r="EL26" s="16">
        <v>44147</v>
      </c>
      <c r="EM26">
        <v>19110</v>
      </c>
      <c r="EN26">
        <v>270</v>
      </c>
      <c r="EO26" s="16">
        <v>44148</v>
      </c>
      <c r="EP26">
        <v>19362</v>
      </c>
      <c r="EQ26">
        <v>261</v>
      </c>
      <c r="ER26" s="16">
        <v>44149</v>
      </c>
      <c r="ES26">
        <v>19510</v>
      </c>
      <c r="ET26">
        <v>145</v>
      </c>
      <c r="EU26" s="16">
        <v>44150</v>
      </c>
      <c r="EV26">
        <v>19688</v>
      </c>
      <c r="EW26">
        <v>181</v>
      </c>
      <c r="EX26" s="16">
        <v>44151</v>
      </c>
      <c r="EY26">
        <v>20082</v>
      </c>
      <c r="EZ26">
        <v>393</v>
      </c>
      <c r="FA26" s="16">
        <v>44152</v>
      </c>
      <c r="FB26">
        <v>20478</v>
      </c>
      <c r="FC26">
        <v>394</v>
      </c>
      <c r="FD26" s="16">
        <v>44153</v>
      </c>
      <c r="FE26">
        <v>20784</v>
      </c>
      <c r="FF26">
        <v>369</v>
      </c>
      <c r="FG26" s="16">
        <v>44154</v>
      </c>
      <c r="FH26">
        <v>21336</v>
      </c>
      <c r="FI26">
        <v>478</v>
      </c>
      <c r="FJ26" s="16">
        <v>44155</v>
      </c>
      <c r="FK26">
        <v>21782</v>
      </c>
      <c r="FL26">
        <v>427</v>
      </c>
      <c r="FM26" s="16">
        <v>44156</v>
      </c>
      <c r="FN26">
        <v>22054</v>
      </c>
      <c r="FO26">
        <v>270</v>
      </c>
      <c r="FP26" s="16">
        <v>44157</v>
      </c>
      <c r="FQ26">
        <v>22318</v>
      </c>
      <c r="FR26">
        <v>264</v>
      </c>
      <c r="FS26" s="16">
        <v>44158</v>
      </c>
      <c r="FT26">
        <v>22824</v>
      </c>
      <c r="FU26">
        <v>490</v>
      </c>
      <c r="FV26" s="16">
        <v>44159</v>
      </c>
      <c r="FW26">
        <v>23290</v>
      </c>
      <c r="FX26">
        <v>462</v>
      </c>
      <c r="FY26" s="16">
        <v>44160</v>
      </c>
      <c r="FZ26">
        <v>23894</v>
      </c>
      <c r="GA26">
        <v>600</v>
      </c>
      <c r="GB26" s="16">
        <v>44161</v>
      </c>
      <c r="GC26">
        <v>24398</v>
      </c>
      <c r="GD26">
        <v>508</v>
      </c>
      <c r="GE26" s="16">
        <v>44162</v>
      </c>
      <c r="GF26">
        <v>24862</v>
      </c>
      <c r="GG26">
        <v>461</v>
      </c>
      <c r="GH26" s="16">
        <v>44163</v>
      </c>
      <c r="GI26">
        <v>25154</v>
      </c>
      <c r="GJ26">
        <v>290</v>
      </c>
      <c r="GK26" s="16">
        <v>44164</v>
      </c>
      <c r="GL26">
        <v>25436</v>
      </c>
      <c r="GM26">
        <v>280</v>
      </c>
      <c r="GN26" s="16">
        <v>44165</v>
      </c>
      <c r="GO26">
        <v>25994</v>
      </c>
      <c r="GP26">
        <v>551</v>
      </c>
      <c r="GQ26" s="16">
        <v>44166</v>
      </c>
      <c r="GR26">
        <v>26397</v>
      </c>
      <c r="GS26">
        <v>394</v>
      </c>
      <c r="GT26" s="16">
        <v>44167</v>
      </c>
      <c r="GU26">
        <v>27006</v>
      </c>
      <c r="GV26">
        <v>495</v>
      </c>
      <c r="GW26" s="16">
        <v>44168</v>
      </c>
      <c r="GX26">
        <v>27489</v>
      </c>
      <c r="GY26">
        <v>474</v>
      </c>
      <c r="GZ26" s="16">
        <v>44169</v>
      </c>
      <c r="HA26">
        <v>27967</v>
      </c>
      <c r="HB26">
        <v>475</v>
      </c>
      <c r="HC26" s="16">
        <v>44170</v>
      </c>
      <c r="HD26">
        <v>28222</v>
      </c>
      <c r="HE26">
        <v>254</v>
      </c>
      <c r="HF26" s="16">
        <v>44171</v>
      </c>
      <c r="HG26">
        <v>28487</v>
      </c>
      <c r="HH26">
        <v>280</v>
      </c>
      <c r="HI26" s="16">
        <v>44172</v>
      </c>
      <c r="HJ26">
        <v>29072</v>
      </c>
      <c r="HK26">
        <v>588</v>
      </c>
      <c r="HL26" s="16">
        <v>44173</v>
      </c>
      <c r="HM26">
        <v>29546</v>
      </c>
      <c r="HN26">
        <v>477</v>
      </c>
      <c r="HO26" s="16">
        <v>44174</v>
      </c>
      <c r="HP26">
        <v>30017</v>
      </c>
      <c r="HQ26">
        <v>462</v>
      </c>
      <c r="HR26" s="16">
        <v>44175</v>
      </c>
      <c r="HS26">
        <v>30419</v>
      </c>
      <c r="HT26">
        <v>408</v>
      </c>
      <c r="HU26" s="16">
        <v>44176</v>
      </c>
      <c r="HV26">
        <v>30867</v>
      </c>
      <c r="HW26">
        <v>445</v>
      </c>
      <c r="HX26" s="16">
        <v>44177</v>
      </c>
      <c r="HY26">
        <v>31115</v>
      </c>
      <c r="HZ26">
        <v>250</v>
      </c>
      <c r="IA26" s="16">
        <v>44178</v>
      </c>
      <c r="IB26">
        <v>31386</v>
      </c>
      <c r="IC26">
        <v>273</v>
      </c>
      <c r="ID26" s="16">
        <v>44179</v>
      </c>
      <c r="IE26">
        <v>31850</v>
      </c>
      <c r="IF26">
        <v>461</v>
      </c>
      <c r="IG26" s="16">
        <v>44180</v>
      </c>
      <c r="IH26">
        <v>32207</v>
      </c>
      <c r="II26">
        <v>358</v>
      </c>
      <c r="IJ26" s="16">
        <v>44181</v>
      </c>
      <c r="IK26">
        <v>32558</v>
      </c>
      <c r="IL26">
        <v>348</v>
      </c>
      <c r="IM26" s="16">
        <v>44182</v>
      </c>
      <c r="IN26">
        <v>32878</v>
      </c>
      <c r="IO26">
        <v>321</v>
      </c>
      <c r="IP26">
        <v>44183</v>
      </c>
      <c r="IQ26">
        <v>33271</v>
      </c>
      <c r="IR26">
        <v>396</v>
      </c>
      <c r="IS26">
        <v>44184</v>
      </c>
      <c r="IT26">
        <v>33459</v>
      </c>
      <c r="IU26">
        <v>189</v>
      </c>
      <c r="IV26">
        <v>44185</v>
      </c>
      <c r="IW26">
        <v>33706</v>
      </c>
      <c r="IX26">
        <v>245</v>
      </c>
      <c r="IY26">
        <v>44186</v>
      </c>
      <c r="IZ26">
        <v>34081</v>
      </c>
      <c r="JA26">
        <v>372</v>
      </c>
      <c r="JB26">
        <v>44190</v>
      </c>
      <c r="JC26">
        <v>34991</v>
      </c>
      <c r="JD26">
        <v>155</v>
      </c>
      <c r="JE26">
        <v>44194</v>
      </c>
      <c r="JF26">
        <v>36093</v>
      </c>
      <c r="JG26">
        <v>299</v>
      </c>
      <c r="JH26">
        <v>44195</v>
      </c>
      <c r="JI26">
        <v>36401</v>
      </c>
      <c r="JJ26">
        <v>255</v>
      </c>
      <c r="JK26">
        <v>44196</v>
      </c>
      <c r="JL26">
        <v>36651</v>
      </c>
      <c r="JM26">
        <v>253</v>
      </c>
      <c r="JN26">
        <v>44197</v>
      </c>
      <c r="JO26">
        <v>36767</v>
      </c>
      <c r="JP26">
        <v>129</v>
      </c>
      <c r="JQ26">
        <v>44199</v>
      </c>
      <c r="JR26">
        <v>37148</v>
      </c>
      <c r="JS26">
        <v>171</v>
      </c>
      <c r="JT26">
        <v>44199</v>
      </c>
      <c r="JU26">
        <v>37149</v>
      </c>
      <c r="JV26">
        <v>171</v>
      </c>
      <c r="JW26">
        <v>44201</v>
      </c>
      <c r="JX26">
        <v>37799</v>
      </c>
      <c r="JY26">
        <v>260</v>
      </c>
      <c r="JZ26">
        <v>44213</v>
      </c>
      <c r="KA26">
        <v>39593</v>
      </c>
      <c r="KB26">
        <v>0</v>
      </c>
      <c r="KC26">
        <v>44213</v>
      </c>
      <c r="KD26">
        <v>40734</v>
      </c>
      <c r="KE26">
        <v>197</v>
      </c>
      <c r="KF26">
        <v>44214</v>
      </c>
      <c r="KG26">
        <v>41169</v>
      </c>
      <c r="KH26">
        <v>447</v>
      </c>
      <c r="KI26">
        <v>44216</v>
      </c>
      <c r="KJ26">
        <v>41909</v>
      </c>
      <c r="KK26">
        <v>397</v>
      </c>
      <c r="KL26">
        <v>44217</v>
      </c>
      <c r="KM26">
        <v>42291</v>
      </c>
      <c r="KN26">
        <v>377</v>
      </c>
      <c r="KO26">
        <v>44221</v>
      </c>
      <c r="KP26">
        <v>43664</v>
      </c>
      <c r="KQ26">
        <v>604</v>
      </c>
      <c r="KR26">
        <v>44222</v>
      </c>
      <c r="KS26">
        <v>44071</v>
      </c>
      <c r="KT26">
        <v>402</v>
      </c>
      <c r="KU26">
        <v>44223</v>
      </c>
      <c r="KV26">
        <v>44455</v>
      </c>
      <c r="KW26">
        <v>382</v>
      </c>
      <c r="KX26">
        <v>44225</v>
      </c>
      <c r="KY26">
        <v>45276</v>
      </c>
      <c r="KZ26">
        <v>383</v>
      </c>
      <c r="LA26">
        <v>44226</v>
      </c>
      <c r="LB26">
        <v>45513</v>
      </c>
      <c r="LC26">
        <v>230</v>
      </c>
      <c r="LD26">
        <v>44227</v>
      </c>
      <c r="LE26">
        <v>45785</v>
      </c>
      <c r="LF26">
        <v>275</v>
      </c>
      <c r="LG26">
        <v>44229</v>
      </c>
      <c r="LH26">
        <v>46670</v>
      </c>
      <c r="LI26">
        <v>399</v>
      </c>
      <c r="LJ26">
        <v>44229</v>
      </c>
      <c r="LK26">
        <v>46672</v>
      </c>
      <c r="LL26">
        <v>399</v>
      </c>
      <c r="LM26">
        <v>44231</v>
      </c>
      <c r="LN26">
        <v>47479</v>
      </c>
      <c r="LO26">
        <v>349</v>
      </c>
      <c r="LP26">
        <v>44232</v>
      </c>
      <c r="LQ26">
        <v>47863</v>
      </c>
      <c r="LR26">
        <v>364</v>
      </c>
      <c r="LS26">
        <v>44233</v>
      </c>
      <c r="LT26">
        <v>48107</v>
      </c>
      <c r="LU26">
        <v>240</v>
      </c>
    </row>
    <row r="27" spans="1:333">
      <c r="A27" t="str">
        <f t="shared" ca="1" si="0"/>
        <v>7.2</v>
      </c>
      <c r="B27" s="4">
        <f t="shared" ca="1" si="1"/>
        <v>44234</v>
      </c>
      <c r="C27" s="11">
        <f t="shared" ca="1" si="2"/>
        <v>48383</v>
      </c>
      <c r="D27">
        <f t="shared" ca="1" si="3"/>
        <v>262</v>
      </c>
      <c r="E27" s="11">
        <f t="shared" ca="1" si="4"/>
        <v>-1</v>
      </c>
      <c r="F27" s="11">
        <f t="shared" ca="1" si="5"/>
        <v>263</v>
      </c>
      <c r="J27" s="13"/>
      <c r="K27" s="3"/>
      <c r="M27" s="16">
        <v>44234</v>
      </c>
      <c r="N27">
        <v>48370</v>
      </c>
      <c r="O27">
        <v>263</v>
      </c>
      <c r="P27" s="16">
        <v>44234</v>
      </c>
      <c r="Q27">
        <v>48370</v>
      </c>
      <c r="R27">
        <v>263</v>
      </c>
      <c r="S27" s="16">
        <v>44105</v>
      </c>
      <c r="T27">
        <v>10558</v>
      </c>
      <c r="U27">
        <v>187</v>
      </c>
      <c r="V27" s="16">
        <v>44106</v>
      </c>
      <c r="W27">
        <v>10748</v>
      </c>
      <c r="X27">
        <v>188</v>
      </c>
      <c r="Y27" s="16">
        <v>44107</v>
      </c>
      <c r="Z27">
        <v>10939</v>
      </c>
      <c r="AA27">
        <v>178</v>
      </c>
      <c r="AB27" s="16">
        <v>44108</v>
      </c>
      <c r="AC27">
        <v>11083</v>
      </c>
      <c r="AD27">
        <v>148</v>
      </c>
      <c r="AE27" s="16">
        <v>44109</v>
      </c>
      <c r="AF27">
        <v>11354</v>
      </c>
      <c r="AG27">
        <v>277</v>
      </c>
      <c r="AH27" s="16">
        <v>44110</v>
      </c>
      <c r="AI27">
        <v>11655</v>
      </c>
      <c r="AJ27">
        <v>299</v>
      </c>
      <c r="AK27" s="16">
        <v>44111</v>
      </c>
      <c r="AL27">
        <v>11955</v>
      </c>
      <c r="AM27">
        <v>303</v>
      </c>
      <c r="AN27" s="16">
        <v>44112</v>
      </c>
      <c r="AO27">
        <v>12217</v>
      </c>
      <c r="AP27">
        <v>261</v>
      </c>
      <c r="AQ27" s="16">
        <v>44113</v>
      </c>
      <c r="AR27">
        <v>12438</v>
      </c>
      <c r="AS27">
        <v>221</v>
      </c>
      <c r="AT27" s="16">
        <v>44114</v>
      </c>
      <c r="AU27">
        <v>12558</v>
      </c>
      <c r="AV27">
        <v>113</v>
      </c>
      <c r="AW27" s="16">
        <v>44115</v>
      </c>
      <c r="AX27">
        <v>12685</v>
      </c>
      <c r="AY27">
        <v>130</v>
      </c>
      <c r="AZ27" s="16">
        <v>44116</v>
      </c>
      <c r="BA27">
        <v>12893</v>
      </c>
      <c r="BB27">
        <v>208</v>
      </c>
      <c r="BC27" s="16">
        <v>44117</v>
      </c>
      <c r="BD27">
        <v>13117</v>
      </c>
      <c r="BE27">
        <v>188</v>
      </c>
      <c r="BF27" s="16">
        <v>44118</v>
      </c>
      <c r="BG27">
        <v>13328</v>
      </c>
      <c r="BH27">
        <v>200</v>
      </c>
      <c r="BI27" s="16">
        <v>44119</v>
      </c>
      <c r="BJ27">
        <v>13520</v>
      </c>
      <c r="BK27">
        <v>188</v>
      </c>
      <c r="BL27" s="16">
        <v>44120</v>
      </c>
      <c r="BM27">
        <v>13712</v>
      </c>
      <c r="BN27">
        <v>192</v>
      </c>
      <c r="BO27" s="16">
        <v>44121</v>
      </c>
      <c r="BP27">
        <v>13818</v>
      </c>
      <c r="BQ27">
        <v>102</v>
      </c>
      <c r="BR27" s="16">
        <v>44122</v>
      </c>
      <c r="BS27">
        <v>13941</v>
      </c>
      <c r="BT27">
        <v>127</v>
      </c>
      <c r="BU27" s="16">
        <v>44124</v>
      </c>
      <c r="BV27">
        <v>14350</v>
      </c>
      <c r="BW27">
        <v>163</v>
      </c>
      <c r="BX27" s="16">
        <v>44125</v>
      </c>
      <c r="BY27">
        <v>14532</v>
      </c>
      <c r="BZ27">
        <v>190</v>
      </c>
      <c r="CA27" s="16">
        <v>44126</v>
      </c>
      <c r="CB27">
        <v>14751</v>
      </c>
      <c r="CC27">
        <v>213</v>
      </c>
      <c r="CD27" s="16">
        <v>44127</v>
      </c>
      <c r="CE27">
        <v>14952</v>
      </c>
      <c r="CF27">
        <v>192</v>
      </c>
      <c r="CG27" s="16">
        <v>44128</v>
      </c>
      <c r="CH27">
        <v>15061</v>
      </c>
      <c r="CI27">
        <v>107</v>
      </c>
      <c r="CJ27" s="16">
        <v>44129</v>
      </c>
      <c r="CK27">
        <v>15184</v>
      </c>
      <c r="CL27">
        <v>123</v>
      </c>
      <c r="CM27" s="16">
        <v>44130</v>
      </c>
      <c r="CN27">
        <v>15437</v>
      </c>
      <c r="CO27">
        <v>253</v>
      </c>
      <c r="CP27" s="16">
        <v>44131</v>
      </c>
      <c r="CQ27">
        <v>15667</v>
      </c>
      <c r="CR27">
        <v>229</v>
      </c>
      <c r="CS27" s="16">
        <v>44132</v>
      </c>
      <c r="CT27">
        <v>15913</v>
      </c>
      <c r="CU27">
        <v>241</v>
      </c>
      <c r="CV27" s="16">
        <v>44133</v>
      </c>
      <c r="CW27">
        <v>16154</v>
      </c>
      <c r="CX27">
        <v>235</v>
      </c>
      <c r="CY27" s="16">
        <v>44135</v>
      </c>
      <c r="CZ27">
        <v>16490</v>
      </c>
      <c r="DA27">
        <v>121</v>
      </c>
      <c r="DB27" s="16">
        <v>44136</v>
      </c>
      <c r="DC27">
        <v>16640</v>
      </c>
      <c r="DD27">
        <v>150</v>
      </c>
      <c r="DE27" s="16">
        <v>44137</v>
      </c>
      <c r="DF27">
        <v>16923</v>
      </c>
      <c r="DG27">
        <v>281</v>
      </c>
      <c r="DH27" s="16">
        <v>44138</v>
      </c>
      <c r="DI27">
        <v>17164</v>
      </c>
      <c r="DJ27">
        <v>239</v>
      </c>
      <c r="DK27" s="16">
        <v>44139</v>
      </c>
      <c r="DL27">
        <v>17376</v>
      </c>
      <c r="DM27">
        <v>206</v>
      </c>
      <c r="DN27" s="16">
        <v>44140</v>
      </c>
      <c r="DO27">
        <v>17595</v>
      </c>
      <c r="DP27">
        <v>218</v>
      </c>
      <c r="DQ27" s="16">
        <v>44141</v>
      </c>
      <c r="DR27">
        <v>17795</v>
      </c>
      <c r="DS27">
        <v>194</v>
      </c>
      <c r="DT27" s="16">
        <v>44142</v>
      </c>
      <c r="DU27">
        <v>17925</v>
      </c>
      <c r="DV27">
        <v>128</v>
      </c>
      <c r="DW27" s="16">
        <v>44143</v>
      </c>
      <c r="DX27">
        <v>18060</v>
      </c>
      <c r="DY27">
        <v>134</v>
      </c>
      <c r="DZ27" s="16">
        <v>44144</v>
      </c>
      <c r="EA27">
        <v>18339</v>
      </c>
      <c r="EB27">
        <v>279</v>
      </c>
      <c r="EC27" s="16">
        <v>44145</v>
      </c>
      <c r="ED27">
        <v>18542</v>
      </c>
      <c r="EE27">
        <v>211</v>
      </c>
      <c r="EF27" s="16">
        <v>44146</v>
      </c>
      <c r="EG27">
        <v>18837</v>
      </c>
      <c r="EH27">
        <v>288</v>
      </c>
      <c r="EI27" s="16">
        <v>44147</v>
      </c>
      <c r="EJ27">
        <v>19081</v>
      </c>
      <c r="EK27">
        <v>241</v>
      </c>
      <c r="EL27" s="16">
        <v>44148</v>
      </c>
      <c r="EM27">
        <v>19370</v>
      </c>
      <c r="EN27">
        <v>260</v>
      </c>
      <c r="EO27" s="16">
        <v>44149</v>
      </c>
      <c r="EP27">
        <v>19508</v>
      </c>
      <c r="EQ27">
        <v>146</v>
      </c>
      <c r="ER27" s="16">
        <v>44150</v>
      </c>
      <c r="ES27">
        <v>19692</v>
      </c>
      <c r="ET27">
        <v>182</v>
      </c>
      <c r="EU27" s="16">
        <v>44151</v>
      </c>
      <c r="EV27">
        <v>20080</v>
      </c>
      <c r="EW27">
        <v>392</v>
      </c>
      <c r="EX27" s="16">
        <v>44152</v>
      </c>
      <c r="EY27">
        <v>20475</v>
      </c>
      <c r="EZ27">
        <v>393</v>
      </c>
      <c r="FA27" s="16">
        <v>44153</v>
      </c>
      <c r="FB27">
        <v>20850</v>
      </c>
      <c r="FC27">
        <v>372</v>
      </c>
      <c r="FD27" s="16">
        <v>44154</v>
      </c>
      <c r="FE27">
        <v>21263</v>
      </c>
      <c r="FF27">
        <v>479</v>
      </c>
      <c r="FG27" s="16">
        <v>44155</v>
      </c>
      <c r="FH27">
        <v>21761</v>
      </c>
      <c r="FI27">
        <v>425</v>
      </c>
      <c r="FJ27" s="16">
        <v>44156</v>
      </c>
      <c r="FK27">
        <v>22052</v>
      </c>
      <c r="FL27">
        <v>270</v>
      </c>
      <c r="FM27" s="16">
        <v>44157</v>
      </c>
      <c r="FN27">
        <v>22320</v>
      </c>
      <c r="FO27">
        <v>266</v>
      </c>
      <c r="FP27" s="16">
        <v>44158</v>
      </c>
      <c r="FQ27">
        <v>22798</v>
      </c>
      <c r="FR27">
        <v>480</v>
      </c>
      <c r="FS27" s="16">
        <v>44159</v>
      </c>
      <c r="FT27">
        <v>23285</v>
      </c>
      <c r="FU27">
        <v>461</v>
      </c>
      <c r="FV27" s="16">
        <v>44160</v>
      </c>
      <c r="FW27">
        <v>23890</v>
      </c>
      <c r="FX27">
        <v>600</v>
      </c>
      <c r="FY27" s="16">
        <v>44161</v>
      </c>
      <c r="FZ27">
        <v>24401</v>
      </c>
      <c r="GA27">
        <v>507</v>
      </c>
      <c r="GB27" s="16">
        <v>44162</v>
      </c>
      <c r="GC27">
        <v>24858</v>
      </c>
      <c r="GD27">
        <v>460</v>
      </c>
      <c r="GE27" s="16">
        <v>44163</v>
      </c>
      <c r="GF27">
        <v>25152</v>
      </c>
      <c r="GG27">
        <v>290</v>
      </c>
      <c r="GH27" s="16">
        <v>44164</v>
      </c>
      <c r="GI27">
        <v>25434</v>
      </c>
      <c r="GJ27">
        <v>280</v>
      </c>
      <c r="GK27" s="16">
        <v>44165</v>
      </c>
      <c r="GL27">
        <v>25982</v>
      </c>
      <c r="GM27">
        <v>546</v>
      </c>
      <c r="GN27" s="16">
        <v>44166</v>
      </c>
      <c r="GO27">
        <v>26384</v>
      </c>
      <c r="GP27">
        <v>390</v>
      </c>
      <c r="GQ27" s="16">
        <v>44167</v>
      </c>
      <c r="GR27">
        <v>26874</v>
      </c>
      <c r="GS27">
        <v>477</v>
      </c>
      <c r="GT27" s="16">
        <v>44168</v>
      </c>
      <c r="GU27">
        <v>27479</v>
      </c>
      <c r="GV27">
        <v>473</v>
      </c>
      <c r="GW27" s="16">
        <v>44169</v>
      </c>
      <c r="GX27">
        <v>27962</v>
      </c>
      <c r="GY27">
        <v>473</v>
      </c>
      <c r="GZ27" s="16">
        <v>44170</v>
      </c>
      <c r="HA27">
        <v>28219</v>
      </c>
      <c r="HB27">
        <v>252</v>
      </c>
      <c r="HC27" s="16">
        <v>44171</v>
      </c>
      <c r="HD27">
        <v>28504</v>
      </c>
      <c r="HE27">
        <v>282</v>
      </c>
      <c r="HF27" s="16">
        <v>44172</v>
      </c>
      <c r="HG27">
        <v>29076</v>
      </c>
      <c r="HH27">
        <v>589</v>
      </c>
      <c r="HI27" s="16">
        <v>44173</v>
      </c>
      <c r="HJ27">
        <v>29539</v>
      </c>
      <c r="HK27">
        <v>467</v>
      </c>
      <c r="HL27" s="16">
        <v>44174</v>
      </c>
      <c r="HM27">
        <v>30008</v>
      </c>
      <c r="HN27">
        <v>462</v>
      </c>
      <c r="HO27" s="16">
        <v>44175</v>
      </c>
      <c r="HP27">
        <v>30424</v>
      </c>
      <c r="HQ27">
        <v>407</v>
      </c>
      <c r="HR27" s="16">
        <v>44176</v>
      </c>
      <c r="HS27">
        <v>30864</v>
      </c>
      <c r="HT27">
        <v>445</v>
      </c>
      <c r="HU27" s="16">
        <v>44177</v>
      </c>
      <c r="HV27">
        <v>31117</v>
      </c>
      <c r="HW27">
        <v>250</v>
      </c>
      <c r="HX27" s="16">
        <v>44178</v>
      </c>
      <c r="HY27">
        <v>31388</v>
      </c>
      <c r="HZ27">
        <v>273</v>
      </c>
      <c r="IA27" s="16">
        <v>44179</v>
      </c>
      <c r="IB27">
        <v>31845</v>
      </c>
      <c r="IC27">
        <v>459</v>
      </c>
      <c r="ID27" s="16">
        <v>44180</v>
      </c>
      <c r="IE27">
        <v>32207</v>
      </c>
      <c r="IF27">
        <v>357</v>
      </c>
      <c r="IG27" s="16">
        <v>44181</v>
      </c>
      <c r="IH27">
        <v>32556</v>
      </c>
      <c r="II27">
        <v>349</v>
      </c>
      <c r="IJ27" s="16">
        <v>44182</v>
      </c>
      <c r="IK27">
        <v>32880</v>
      </c>
      <c r="IL27">
        <v>322</v>
      </c>
      <c r="IM27" s="16">
        <v>44183</v>
      </c>
      <c r="IN27">
        <v>33274</v>
      </c>
      <c r="IO27">
        <v>396</v>
      </c>
      <c r="IP27">
        <v>44184</v>
      </c>
      <c r="IQ27">
        <v>33461</v>
      </c>
      <c r="IR27">
        <v>190</v>
      </c>
      <c r="IS27">
        <v>44185</v>
      </c>
      <c r="IT27">
        <v>33705</v>
      </c>
      <c r="IU27">
        <v>246</v>
      </c>
      <c r="IV27">
        <v>44186</v>
      </c>
      <c r="IW27">
        <v>34073</v>
      </c>
      <c r="IX27">
        <v>367</v>
      </c>
      <c r="IY27">
        <v>44187</v>
      </c>
      <c r="IZ27">
        <v>34406</v>
      </c>
      <c r="JA27">
        <v>325</v>
      </c>
      <c r="JB27">
        <v>44191</v>
      </c>
      <c r="JC27">
        <v>35171</v>
      </c>
      <c r="JD27">
        <v>180</v>
      </c>
      <c r="JE27">
        <v>44195</v>
      </c>
      <c r="JF27">
        <v>36342</v>
      </c>
      <c r="JG27">
        <v>249</v>
      </c>
      <c r="JH27">
        <v>44196</v>
      </c>
      <c r="JI27">
        <v>36654</v>
      </c>
      <c r="JJ27">
        <v>253</v>
      </c>
      <c r="JK27">
        <v>44197</v>
      </c>
      <c r="JL27">
        <v>36780</v>
      </c>
      <c r="JM27">
        <v>129</v>
      </c>
      <c r="JN27">
        <v>44198</v>
      </c>
      <c r="JO27">
        <v>36972</v>
      </c>
      <c r="JP27">
        <v>205</v>
      </c>
      <c r="JQ27">
        <v>44200</v>
      </c>
      <c r="JR27">
        <v>37544</v>
      </c>
      <c r="JS27">
        <v>396</v>
      </c>
      <c r="JT27">
        <v>44200</v>
      </c>
      <c r="JU27">
        <v>37545</v>
      </c>
      <c r="JV27">
        <v>396</v>
      </c>
      <c r="JW27">
        <v>44202</v>
      </c>
      <c r="JX27">
        <v>38006</v>
      </c>
      <c r="JY27">
        <v>207</v>
      </c>
      <c r="JZ27">
        <v>44214</v>
      </c>
      <c r="KA27">
        <v>39593</v>
      </c>
      <c r="KB27">
        <v>0</v>
      </c>
      <c r="KC27">
        <v>44214</v>
      </c>
      <c r="KD27">
        <v>41186</v>
      </c>
      <c r="KE27">
        <v>452</v>
      </c>
      <c r="KF27">
        <v>44215</v>
      </c>
      <c r="KG27">
        <v>41513</v>
      </c>
      <c r="KH27">
        <v>344</v>
      </c>
      <c r="KI27">
        <v>44217</v>
      </c>
      <c r="KJ27">
        <v>42287</v>
      </c>
      <c r="KK27">
        <v>378</v>
      </c>
      <c r="KL27">
        <v>44218</v>
      </c>
      <c r="KM27">
        <v>42648</v>
      </c>
      <c r="KN27">
        <v>357</v>
      </c>
      <c r="KO27">
        <v>44222</v>
      </c>
      <c r="KP27">
        <v>44064</v>
      </c>
      <c r="KQ27">
        <v>400</v>
      </c>
      <c r="KR27">
        <v>44223</v>
      </c>
      <c r="KS27">
        <v>44453</v>
      </c>
      <c r="KT27">
        <v>382</v>
      </c>
      <c r="KU27">
        <v>44224</v>
      </c>
      <c r="KV27">
        <v>44889</v>
      </c>
      <c r="KW27">
        <v>434</v>
      </c>
      <c r="KX27">
        <v>44226</v>
      </c>
      <c r="KY27">
        <v>45516</v>
      </c>
      <c r="KZ27">
        <v>240</v>
      </c>
      <c r="LA27">
        <v>44227</v>
      </c>
      <c r="LB27">
        <v>45790</v>
      </c>
      <c r="LC27">
        <v>277</v>
      </c>
      <c r="LD27">
        <v>44228</v>
      </c>
      <c r="LE27">
        <v>46306</v>
      </c>
      <c r="LF27">
        <v>521</v>
      </c>
      <c r="LG27">
        <v>44230</v>
      </c>
      <c r="LH27">
        <v>47098</v>
      </c>
      <c r="LI27">
        <v>428</v>
      </c>
      <c r="LJ27">
        <v>44230</v>
      </c>
      <c r="LK27">
        <v>47101</v>
      </c>
      <c r="LL27">
        <v>429</v>
      </c>
      <c r="LM27">
        <v>44232</v>
      </c>
      <c r="LN27">
        <v>47833</v>
      </c>
      <c r="LO27">
        <v>354</v>
      </c>
      <c r="LP27">
        <v>44233</v>
      </c>
      <c r="LQ27">
        <v>48104</v>
      </c>
      <c r="LR27">
        <v>241</v>
      </c>
      <c r="LS27">
        <v>44234</v>
      </c>
      <c r="LT27">
        <v>48370</v>
      </c>
      <c r="LU27">
        <v>263</v>
      </c>
    </row>
    <row r="28" spans="1:333" s="10" customFormat="1">
      <c r="A28" t="str">
        <f t="shared" ca="1" si="0"/>
        <v>Ma 8</v>
      </c>
      <c r="B28" s="9">
        <f t="shared" ca="1" si="1"/>
        <v>44235</v>
      </c>
      <c r="C28" s="10">
        <f t="shared" ca="1" si="2"/>
        <v>48841</v>
      </c>
      <c r="D28" s="10">
        <f t="shared" ca="1" si="3"/>
        <v>458</v>
      </c>
      <c r="E28" s="10">
        <f t="shared" ca="1" si="4"/>
        <v>-5</v>
      </c>
      <c r="F28" s="10">
        <f t="shared" ca="1" si="5"/>
        <v>463</v>
      </c>
      <c r="G28" s="10">
        <f ca="1">SUM(D28:D34)</f>
        <v>2279</v>
      </c>
      <c r="H28" s="10" t="str">
        <f ca="1">TEXT(G28/G21-1,"0 %")</f>
        <v>-12 %</v>
      </c>
      <c r="K28" s="14"/>
      <c r="L28"/>
      <c r="M28" s="17">
        <v>44235</v>
      </c>
      <c r="N28" s="10">
        <v>48833</v>
      </c>
      <c r="O28" s="10">
        <v>463</v>
      </c>
      <c r="P28" s="17">
        <v>44235</v>
      </c>
      <c r="Q28" s="10">
        <v>48833</v>
      </c>
      <c r="R28" s="10">
        <v>463</v>
      </c>
      <c r="S28" s="17">
        <v>44106</v>
      </c>
      <c r="T28" s="10">
        <v>10747</v>
      </c>
      <c r="U28" s="10">
        <v>189</v>
      </c>
      <c r="V28" s="17">
        <v>44107</v>
      </c>
      <c r="W28" s="10">
        <v>10920</v>
      </c>
      <c r="X28" s="10">
        <v>172</v>
      </c>
      <c r="Y28" s="17">
        <v>44108</v>
      </c>
      <c r="Z28" s="10">
        <v>11091</v>
      </c>
      <c r="AA28" s="10">
        <v>152</v>
      </c>
      <c r="AB28" s="17">
        <v>44109</v>
      </c>
      <c r="AC28" s="10">
        <v>11355</v>
      </c>
      <c r="AD28" s="10">
        <v>272</v>
      </c>
      <c r="AE28" s="17">
        <v>44110</v>
      </c>
      <c r="AF28" s="10">
        <v>11616</v>
      </c>
      <c r="AG28" s="10">
        <v>262</v>
      </c>
      <c r="AH28" s="17">
        <v>44111</v>
      </c>
      <c r="AI28" s="10">
        <v>11959</v>
      </c>
      <c r="AJ28" s="10">
        <v>304</v>
      </c>
      <c r="AK28" s="17">
        <v>44112</v>
      </c>
      <c r="AL28" s="10">
        <v>12215</v>
      </c>
      <c r="AM28" s="10">
        <v>260</v>
      </c>
      <c r="AN28" s="17">
        <v>44113</v>
      </c>
      <c r="AO28" s="10">
        <v>12435</v>
      </c>
      <c r="AP28" s="10">
        <v>218</v>
      </c>
      <c r="AQ28" s="17">
        <v>44114</v>
      </c>
      <c r="AR28" s="10">
        <v>12545</v>
      </c>
      <c r="AS28" s="10">
        <v>107</v>
      </c>
      <c r="AT28" s="17">
        <v>44115</v>
      </c>
      <c r="AU28" s="10">
        <v>12689</v>
      </c>
      <c r="AV28" s="10">
        <v>131</v>
      </c>
      <c r="AW28" s="17">
        <v>44116</v>
      </c>
      <c r="AX28" s="10">
        <v>12894</v>
      </c>
      <c r="AY28" s="10">
        <v>209</v>
      </c>
      <c r="AZ28" s="17">
        <v>44117</v>
      </c>
      <c r="BA28" s="10">
        <v>13045</v>
      </c>
      <c r="BB28" s="10">
        <v>152</v>
      </c>
      <c r="BC28" s="17">
        <v>44118</v>
      </c>
      <c r="BD28" s="10">
        <v>13313</v>
      </c>
      <c r="BE28" s="10">
        <v>196</v>
      </c>
      <c r="BF28" s="17">
        <v>44119</v>
      </c>
      <c r="BG28" s="10">
        <v>13514</v>
      </c>
      <c r="BH28" s="10">
        <v>186</v>
      </c>
      <c r="BI28" s="17">
        <v>44120</v>
      </c>
      <c r="BJ28" s="10">
        <v>13711</v>
      </c>
      <c r="BK28" s="10">
        <v>191</v>
      </c>
      <c r="BL28" s="17">
        <v>44121</v>
      </c>
      <c r="BM28" s="10">
        <v>13813</v>
      </c>
      <c r="BN28" s="10">
        <v>101</v>
      </c>
      <c r="BO28" s="17">
        <v>44122</v>
      </c>
      <c r="BP28" s="10">
        <v>13947</v>
      </c>
      <c r="BQ28" s="10">
        <v>129</v>
      </c>
      <c r="BR28" s="17">
        <v>44123</v>
      </c>
      <c r="BS28" s="10">
        <v>14185</v>
      </c>
      <c r="BT28" s="10">
        <v>244</v>
      </c>
      <c r="BU28" s="17">
        <v>44125</v>
      </c>
      <c r="BV28" s="10">
        <v>14522</v>
      </c>
      <c r="BW28" s="10">
        <v>172</v>
      </c>
      <c r="BX28" s="17">
        <v>44126</v>
      </c>
      <c r="BY28" s="10">
        <v>14744</v>
      </c>
      <c r="BZ28" s="10">
        <v>212</v>
      </c>
      <c r="CA28" s="17">
        <v>44127</v>
      </c>
      <c r="CB28" s="10">
        <v>14944</v>
      </c>
      <c r="CC28" s="10">
        <v>193</v>
      </c>
      <c r="CD28" s="17">
        <v>44128</v>
      </c>
      <c r="CE28" s="10">
        <v>15059</v>
      </c>
      <c r="CF28" s="10">
        <v>107</v>
      </c>
      <c r="CG28" s="17">
        <v>44129</v>
      </c>
      <c r="CH28" s="10">
        <v>15184</v>
      </c>
      <c r="CI28" s="10">
        <v>123</v>
      </c>
      <c r="CJ28" s="17">
        <v>44130</v>
      </c>
      <c r="CK28" s="10">
        <v>15438</v>
      </c>
      <c r="CL28" s="10">
        <v>254</v>
      </c>
      <c r="CM28" s="17">
        <v>44131</v>
      </c>
      <c r="CN28" s="10">
        <v>15664</v>
      </c>
      <c r="CO28" s="10">
        <v>227</v>
      </c>
      <c r="CP28" s="17">
        <v>44132</v>
      </c>
      <c r="CQ28" s="10">
        <v>15908</v>
      </c>
      <c r="CR28" s="10">
        <v>241</v>
      </c>
      <c r="CS28" s="17">
        <v>44133</v>
      </c>
      <c r="CT28" s="10">
        <v>16147</v>
      </c>
      <c r="CU28" s="10">
        <v>234</v>
      </c>
      <c r="CV28" s="17">
        <v>44134</v>
      </c>
      <c r="CW28" s="10">
        <v>16367</v>
      </c>
      <c r="CX28" s="10">
        <v>213</v>
      </c>
      <c r="CY28" s="17">
        <v>44136</v>
      </c>
      <c r="CZ28" s="10">
        <v>16638</v>
      </c>
      <c r="DA28" s="10">
        <v>148</v>
      </c>
      <c r="DB28" s="17">
        <v>44137</v>
      </c>
      <c r="DC28" s="10">
        <v>16921</v>
      </c>
      <c r="DD28" s="10">
        <v>281</v>
      </c>
      <c r="DE28" s="17">
        <v>44138</v>
      </c>
      <c r="DF28" s="10">
        <v>17161</v>
      </c>
      <c r="DG28" s="10">
        <v>238</v>
      </c>
      <c r="DH28" s="17">
        <v>44139</v>
      </c>
      <c r="DI28" s="10">
        <v>17369</v>
      </c>
      <c r="DJ28" s="10">
        <v>205</v>
      </c>
      <c r="DK28" s="17">
        <v>44140</v>
      </c>
      <c r="DL28" s="10">
        <v>17593</v>
      </c>
      <c r="DM28" s="10">
        <v>217</v>
      </c>
      <c r="DN28" s="17">
        <v>44141</v>
      </c>
      <c r="DO28" s="10">
        <v>17789</v>
      </c>
      <c r="DP28" s="10">
        <v>194</v>
      </c>
      <c r="DQ28" s="17">
        <v>44142</v>
      </c>
      <c r="DR28" s="10">
        <v>17922</v>
      </c>
      <c r="DS28" s="10">
        <v>127</v>
      </c>
      <c r="DT28" s="17">
        <v>44143</v>
      </c>
      <c r="DU28" s="10">
        <v>18059</v>
      </c>
      <c r="DV28" s="10">
        <v>134</v>
      </c>
      <c r="DW28" s="17">
        <v>44144</v>
      </c>
      <c r="DX28" s="10">
        <v>18338</v>
      </c>
      <c r="DY28" s="10">
        <v>278</v>
      </c>
      <c r="DZ28" s="17">
        <v>44145</v>
      </c>
      <c r="EA28" s="10">
        <v>18547</v>
      </c>
      <c r="EB28" s="10">
        <v>208</v>
      </c>
      <c r="EC28" s="17">
        <v>44146</v>
      </c>
      <c r="ED28" s="10">
        <v>18830</v>
      </c>
      <c r="EE28" s="10">
        <v>288</v>
      </c>
      <c r="EF28" s="17">
        <v>44147</v>
      </c>
      <c r="EG28" s="10">
        <v>19078</v>
      </c>
      <c r="EH28" s="10">
        <v>241</v>
      </c>
      <c r="EI28" s="17">
        <v>44148</v>
      </c>
      <c r="EJ28" s="10">
        <v>19308</v>
      </c>
      <c r="EK28" s="10">
        <v>227</v>
      </c>
      <c r="EL28" s="17">
        <v>44149</v>
      </c>
      <c r="EM28" s="10">
        <v>19519</v>
      </c>
      <c r="EN28" s="10">
        <v>149</v>
      </c>
      <c r="EO28" s="17">
        <v>44150</v>
      </c>
      <c r="EP28" s="10">
        <v>19695</v>
      </c>
      <c r="EQ28" s="10">
        <v>187</v>
      </c>
      <c r="ER28" s="17">
        <v>44151</v>
      </c>
      <c r="ES28" s="10">
        <v>20084</v>
      </c>
      <c r="ET28" s="10">
        <v>392</v>
      </c>
      <c r="EU28" s="17">
        <v>44152</v>
      </c>
      <c r="EV28" s="10">
        <v>20473</v>
      </c>
      <c r="EW28" s="10">
        <v>393</v>
      </c>
      <c r="EX28" s="17">
        <v>44153</v>
      </c>
      <c r="EY28" s="10">
        <v>20844</v>
      </c>
      <c r="EZ28" s="10">
        <v>369</v>
      </c>
      <c r="FA28" s="17">
        <v>44154</v>
      </c>
      <c r="FB28" s="10">
        <v>21329</v>
      </c>
      <c r="FC28" s="10">
        <v>479</v>
      </c>
      <c r="FD28" s="17">
        <v>44155</v>
      </c>
      <c r="FE28" s="10">
        <v>21685</v>
      </c>
      <c r="FF28" s="10">
        <v>422</v>
      </c>
      <c r="FG28" s="17">
        <v>44156</v>
      </c>
      <c r="FH28" s="10">
        <v>22030</v>
      </c>
      <c r="FI28" s="10">
        <v>269</v>
      </c>
      <c r="FJ28" s="17">
        <v>44157</v>
      </c>
      <c r="FK28" s="10">
        <v>22317</v>
      </c>
      <c r="FL28" s="10">
        <v>265</v>
      </c>
      <c r="FM28" s="17">
        <v>44158</v>
      </c>
      <c r="FN28" s="10">
        <v>22803</v>
      </c>
      <c r="FO28" s="10">
        <v>483</v>
      </c>
      <c r="FP28" s="17">
        <v>44159</v>
      </c>
      <c r="FQ28" s="10">
        <v>23235</v>
      </c>
      <c r="FR28" s="10">
        <v>437</v>
      </c>
      <c r="FS28" s="17">
        <v>44160</v>
      </c>
      <c r="FT28" s="10">
        <v>23884</v>
      </c>
      <c r="FU28" s="10">
        <v>599</v>
      </c>
      <c r="FV28" s="17">
        <v>44161</v>
      </c>
      <c r="FW28" s="10">
        <v>24393</v>
      </c>
      <c r="FX28" s="10">
        <v>503</v>
      </c>
      <c r="FY28" s="17">
        <v>44162</v>
      </c>
      <c r="FZ28" s="10">
        <v>24863</v>
      </c>
      <c r="GA28" s="10">
        <v>462</v>
      </c>
      <c r="GB28" s="17">
        <v>44163</v>
      </c>
      <c r="GC28" s="10">
        <v>25146</v>
      </c>
      <c r="GD28" s="10">
        <v>288</v>
      </c>
      <c r="GE28" s="17">
        <v>44164</v>
      </c>
      <c r="GF28" s="10">
        <v>25432</v>
      </c>
      <c r="GG28" s="10">
        <v>280</v>
      </c>
      <c r="GH28" s="17">
        <v>44165</v>
      </c>
      <c r="GI28" s="10">
        <v>25977</v>
      </c>
      <c r="GJ28" s="10">
        <v>543</v>
      </c>
      <c r="GK28" s="17">
        <v>44166</v>
      </c>
      <c r="GL28" s="10">
        <v>26370</v>
      </c>
      <c r="GM28" s="10">
        <v>388</v>
      </c>
      <c r="GN28" s="17">
        <v>44167</v>
      </c>
      <c r="GO28" s="10">
        <v>26859</v>
      </c>
      <c r="GP28" s="10">
        <v>475</v>
      </c>
      <c r="GQ28" s="17">
        <v>44168</v>
      </c>
      <c r="GR28" s="10">
        <v>27276</v>
      </c>
      <c r="GS28" s="10">
        <v>402</v>
      </c>
      <c r="GT28" s="17">
        <v>44169</v>
      </c>
      <c r="GU28" s="10">
        <v>27950</v>
      </c>
      <c r="GV28" s="10">
        <v>471</v>
      </c>
      <c r="GW28" s="17">
        <v>44170</v>
      </c>
      <c r="GX28" s="10">
        <v>28212</v>
      </c>
      <c r="GY28" s="10">
        <v>250</v>
      </c>
      <c r="GZ28" s="17">
        <v>44171</v>
      </c>
      <c r="HA28" s="10">
        <v>28501</v>
      </c>
      <c r="HB28" s="10">
        <v>282</v>
      </c>
      <c r="HC28" s="17">
        <v>44172</v>
      </c>
      <c r="HD28" s="10">
        <v>29093</v>
      </c>
      <c r="HE28" s="10">
        <v>589</v>
      </c>
      <c r="HF28" s="17">
        <v>44173</v>
      </c>
      <c r="HG28" s="10">
        <v>29541</v>
      </c>
      <c r="HH28" s="10">
        <v>465</v>
      </c>
      <c r="HI28" s="17">
        <v>44174</v>
      </c>
      <c r="HJ28" s="10">
        <v>29998</v>
      </c>
      <c r="HK28" s="10">
        <v>459</v>
      </c>
      <c r="HL28" s="17">
        <v>44175</v>
      </c>
      <c r="HM28" s="10">
        <v>30417</v>
      </c>
      <c r="HN28" s="10">
        <v>409</v>
      </c>
      <c r="HO28" s="17">
        <v>44176</v>
      </c>
      <c r="HP28" s="10">
        <v>30870</v>
      </c>
      <c r="HQ28" s="10">
        <v>446</v>
      </c>
      <c r="HR28" s="17">
        <v>44177</v>
      </c>
      <c r="HS28" s="10">
        <v>31113</v>
      </c>
      <c r="HT28" s="10">
        <v>249</v>
      </c>
      <c r="HU28" s="17">
        <v>44178</v>
      </c>
      <c r="HV28" s="10">
        <v>31391</v>
      </c>
      <c r="HW28" s="10">
        <v>274</v>
      </c>
      <c r="HX28" s="17">
        <v>44179</v>
      </c>
      <c r="HY28" s="10">
        <v>31848</v>
      </c>
      <c r="HZ28" s="10">
        <v>460</v>
      </c>
      <c r="IA28" s="17">
        <v>44180</v>
      </c>
      <c r="IB28" s="10">
        <v>32198</v>
      </c>
      <c r="IC28" s="10">
        <v>353</v>
      </c>
      <c r="ID28" s="17">
        <v>44181</v>
      </c>
      <c r="IE28" s="10">
        <v>32555</v>
      </c>
      <c r="IF28" s="10">
        <v>348</v>
      </c>
      <c r="IG28" s="17">
        <v>44182</v>
      </c>
      <c r="IH28" s="10">
        <v>32876</v>
      </c>
      <c r="II28" s="10">
        <v>320</v>
      </c>
      <c r="IJ28" s="17">
        <v>44183</v>
      </c>
      <c r="IK28" s="10">
        <v>33276</v>
      </c>
      <c r="IL28" s="10">
        <v>396</v>
      </c>
      <c r="IM28" s="17">
        <v>44184</v>
      </c>
      <c r="IN28" s="10">
        <v>33464</v>
      </c>
      <c r="IO28" s="10">
        <v>190</v>
      </c>
      <c r="IP28" s="10">
        <v>44185</v>
      </c>
      <c r="IQ28" s="10">
        <v>33706</v>
      </c>
      <c r="IR28" s="10">
        <v>245</v>
      </c>
      <c r="IS28" s="10">
        <v>44186</v>
      </c>
      <c r="IT28" s="10">
        <v>34073</v>
      </c>
      <c r="IU28" s="10">
        <v>368</v>
      </c>
      <c r="IV28" s="10">
        <v>44187</v>
      </c>
      <c r="IW28" s="10">
        <v>34397</v>
      </c>
      <c r="IX28" s="10">
        <v>324</v>
      </c>
      <c r="IY28" s="10">
        <v>44188</v>
      </c>
      <c r="IZ28" s="10">
        <v>34667</v>
      </c>
      <c r="JA28" s="10">
        <v>261</v>
      </c>
      <c r="JB28" s="10">
        <v>44192</v>
      </c>
      <c r="JC28" s="10">
        <v>35353</v>
      </c>
      <c r="JD28" s="10">
        <v>182</v>
      </c>
      <c r="JE28" s="10">
        <v>44196</v>
      </c>
      <c r="JF28" s="10">
        <v>36574</v>
      </c>
      <c r="JG28" s="10">
        <v>232</v>
      </c>
      <c r="JH28" s="10">
        <v>44197</v>
      </c>
      <c r="JI28" s="10">
        <v>36782</v>
      </c>
      <c r="JJ28" s="10">
        <v>128</v>
      </c>
      <c r="JK28" s="10">
        <v>44198</v>
      </c>
      <c r="JL28" s="10">
        <v>36986</v>
      </c>
      <c r="JM28" s="10">
        <v>206</v>
      </c>
      <c r="JN28" s="10">
        <v>44199</v>
      </c>
      <c r="JO28" s="10">
        <v>37143</v>
      </c>
      <c r="JP28" s="10">
        <v>171</v>
      </c>
      <c r="JQ28" s="10">
        <v>44201</v>
      </c>
      <c r="JR28" s="10">
        <v>37803</v>
      </c>
      <c r="JS28" s="10">
        <v>259</v>
      </c>
      <c r="JT28" s="10">
        <v>44201</v>
      </c>
      <c r="JU28" s="10">
        <v>37805</v>
      </c>
      <c r="JV28" s="10">
        <v>260</v>
      </c>
      <c r="JW28" s="10">
        <v>44203</v>
      </c>
      <c r="JX28" s="10">
        <v>38335</v>
      </c>
      <c r="JY28" s="10">
        <v>329</v>
      </c>
      <c r="JZ28" s="10">
        <v>44215</v>
      </c>
      <c r="KA28" s="10">
        <v>39593</v>
      </c>
      <c r="KB28" s="10">
        <v>0</v>
      </c>
      <c r="KC28" s="10">
        <v>44215</v>
      </c>
      <c r="KD28" s="10">
        <v>41534</v>
      </c>
      <c r="KE28" s="10">
        <v>348</v>
      </c>
      <c r="KF28" s="10">
        <v>44216</v>
      </c>
      <c r="KG28" s="10">
        <v>41909</v>
      </c>
      <c r="KH28" s="10">
        <v>396</v>
      </c>
      <c r="KI28" s="10">
        <v>44218</v>
      </c>
      <c r="KJ28" s="10">
        <v>42642</v>
      </c>
      <c r="KK28" s="10">
        <v>355</v>
      </c>
      <c r="KL28" s="10">
        <v>44219</v>
      </c>
      <c r="KM28" s="10">
        <v>42818</v>
      </c>
      <c r="KN28" s="10">
        <v>170</v>
      </c>
      <c r="KO28" s="10">
        <v>44223</v>
      </c>
      <c r="KP28" s="10">
        <v>44387</v>
      </c>
      <c r="KQ28" s="10">
        <v>323</v>
      </c>
      <c r="KR28" s="10">
        <v>44224</v>
      </c>
      <c r="KS28" s="10">
        <v>44883</v>
      </c>
      <c r="KT28" s="10">
        <v>430</v>
      </c>
      <c r="KU28" s="10">
        <v>44225</v>
      </c>
      <c r="KV28" s="10">
        <v>45268</v>
      </c>
      <c r="KW28" s="10">
        <v>379</v>
      </c>
      <c r="KX28" s="10">
        <v>44227</v>
      </c>
      <c r="KY28" s="10">
        <v>45798</v>
      </c>
      <c r="KZ28" s="10">
        <v>282</v>
      </c>
      <c r="LA28" s="10">
        <v>44228</v>
      </c>
      <c r="LB28" s="10">
        <v>46309</v>
      </c>
      <c r="LC28" s="10">
        <v>519</v>
      </c>
      <c r="LD28" s="10">
        <v>44229</v>
      </c>
      <c r="LE28" s="10">
        <v>46700</v>
      </c>
      <c r="LF28" s="10">
        <v>394</v>
      </c>
      <c r="LG28" s="10">
        <v>44231</v>
      </c>
      <c r="LH28" s="10">
        <v>47446</v>
      </c>
      <c r="LI28" s="10">
        <v>348</v>
      </c>
      <c r="LJ28" s="10">
        <v>44231</v>
      </c>
      <c r="LK28" s="10">
        <v>47448</v>
      </c>
      <c r="LL28" s="10">
        <v>347</v>
      </c>
      <c r="LM28" s="10">
        <v>44233</v>
      </c>
      <c r="LN28" s="10">
        <v>48066</v>
      </c>
      <c r="LO28" s="10">
        <v>233</v>
      </c>
      <c r="LP28" s="10">
        <v>44234</v>
      </c>
      <c r="LQ28" s="10">
        <v>48366</v>
      </c>
      <c r="LR28" s="10">
        <v>262</v>
      </c>
      <c r="LS28" s="10">
        <v>44235</v>
      </c>
      <c r="LT28" s="10">
        <v>48833</v>
      </c>
      <c r="LU28" s="10">
        <v>463</v>
      </c>
    </row>
    <row r="29" spans="1:333">
      <c r="A29" t="str">
        <f t="shared" ca="1" si="0"/>
        <v>9.2</v>
      </c>
      <c r="B29" s="4">
        <f t="shared" ca="1" si="1"/>
        <v>44236</v>
      </c>
      <c r="C29" s="11">
        <f t="shared" ca="1" si="2"/>
        <v>49208</v>
      </c>
      <c r="D29">
        <f t="shared" ca="1" si="3"/>
        <v>367</v>
      </c>
      <c r="E29" s="11">
        <f t="shared" ca="1" si="4"/>
        <v>1</v>
      </c>
      <c r="F29" s="11">
        <f t="shared" ca="1" si="5"/>
        <v>366</v>
      </c>
      <c r="H29" s="10"/>
      <c r="J29" s="13"/>
      <c r="K29" s="3"/>
      <c r="M29" s="16">
        <v>44236</v>
      </c>
      <c r="N29">
        <v>49199</v>
      </c>
      <c r="O29">
        <v>366</v>
      </c>
      <c r="P29" s="16">
        <v>44236</v>
      </c>
      <c r="Q29">
        <v>49199</v>
      </c>
      <c r="R29">
        <v>366</v>
      </c>
      <c r="S29" s="16">
        <v>44107</v>
      </c>
      <c r="T29">
        <v>10917</v>
      </c>
      <c r="U29">
        <v>170</v>
      </c>
      <c r="V29" s="16">
        <v>44108</v>
      </c>
      <c r="W29">
        <v>11067</v>
      </c>
      <c r="X29">
        <v>147</v>
      </c>
      <c r="Y29" s="16">
        <v>44109</v>
      </c>
      <c r="Z29">
        <v>11363</v>
      </c>
      <c r="AA29">
        <v>272</v>
      </c>
      <c r="AB29" s="16">
        <v>44110</v>
      </c>
      <c r="AC29">
        <v>11613</v>
      </c>
      <c r="AD29">
        <v>258</v>
      </c>
      <c r="AE29" s="16">
        <v>44111</v>
      </c>
      <c r="AF29">
        <v>11861</v>
      </c>
      <c r="AG29">
        <v>245</v>
      </c>
      <c r="AH29" s="16">
        <v>44112</v>
      </c>
      <c r="AI29">
        <v>12196</v>
      </c>
      <c r="AJ29">
        <v>237</v>
      </c>
      <c r="AK29" s="16">
        <v>44113</v>
      </c>
      <c r="AL29">
        <v>12418</v>
      </c>
      <c r="AM29">
        <v>203</v>
      </c>
      <c r="AN29" s="16">
        <v>44114</v>
      </c>
      <c r="AO29">
        <v>12544</v>
      </c>
      <c r="AP29">
        <v>109</v>
      </c>
      <c r="AQ29" s="16">
        <v>44115</v>
      </c>
      <c r="AR29">
        <v>12674</v>
      </c>
      <c r="AS29">
        <v>129</v>
      </c>
      <c r="AT29" s="16">
        <v>44116</v>
      </c>
      <c r="AU29">
        <v>12897</v>
      </c>
      <c r="AV29">
        <v>208</v>
      </c>
      <c r="AW29" s="16">
        <v>44117</v>
      </c>
      <c r="AX29">
        <v>13045</v>
      </c>
      <c r="AY29">
        <v>151</v>
      </c>
      <c r="AZ29" s="16">
        <v>44118</v>
      </c>
      <c r="BA29">
        <v>13197</v>
      </c>
      <c r="BB29">
        <v>152</v>
      </c>
      <c r="BC29" s="16">
        <v>44119</v>
      </c>
      <c r="BD29">
        <v>13494</v>
      </c>
      <c r="BE29">
        <v>181</v>
      </c>
      <c r="BF29" s="16">
        <v>44120</v>
      </c>
      <c r="BG29">
        <v>13700</v>
      </c>
      <c r="BH29">
        <v>186</v>
      </c>
      <c r="BI29" s="16">
        <v>44121</v>
      </c>
      <c r="BJ29">
        <v>13809</v>
      </c>
      <c r="BK29">
        <v>98</v>
      </c>
      <c r="BL29" s="16">
        <v>44122</v>
      </c>
      <c r="BM29">
        <v>13943</v>
      </c>
      <c r="BN29">
        <v>130</v>
      </c>
      <c r="BO29" s="16">
        <v>44123</v>
      </c>
      <c r="BP29">
        <v>14195</v>
      </c>
      <c r="BQ29">
        <v>248</v>
      </c>
      <c r="BR29" s="16">
        <v>44124</v>
      </c>
      <c r="BS29">
        <v>14350</v>
      </c>
      <c r="BT29">
        <v>165</v>
      </c>
      <c r="BU29" s="16">
        <v>44126</v>
      </c>
      <c r="BV29">
        <v>14697</v>
      </c>
      <c r="BW29">
        <v>175</v>
      </c>
      <c r="BX29" s="16">
        <v>44127</v>
      </c>
      <c r="BY29">
        <v>14935</v>
      </c>
      <c r="BZ29">
        <v>191</v>
      </c>
      <c r="CA29" s="16">
        <v>44128</v>
      </c>
      <c r="CB29">
        <v>15052</v>
      </c>
      <c r="CC29">
        <v>108</v>
      </c>
      <c r="CD29" s="16">
        <v>44129</v>
      </c>
      <c r="CE29">
        <v>15182</v>
      </c>
      <c r="CF29">
        <v>123</v>
      </c>
      <c r="CG29" s="16">
        <v>44130</v>
      </c>
      <c r="CH29">
        <v>15438</v>
      </c>
      <c r="CI29">
        <v>254</v>
      </c>
      <c r="CJ29" s="16">
        <v>44131</v>
      </c>
      <c r="CK29">
        <v>15664</v>
      </c>
      <c r="CL29">
        <v>226</v>
      </c>
      <c r="CM29" s="16">
        <v>44132</v>
      </c>
      <c r="CN29">
        <v>15887</v>
      </c>
      <c r="CO29">
        <v>223</v>
      </c>
      <c r="CP29" s="16">
        <v>44133</v>
      </c>
      <c r="CQ29">
        <v>16142</v>
      </c>
      <c r="CR29">
        <v>234</v>
      </c>
      <c r="CS29" s="16">
        <v>44134</v>
      </c>
      <c r="CT29">
        <v>16359</v>
      </c>
      <c r="CU29">
        <v>212</v>
      </c>
      <c r="CV29" s="16">
        <v>44135</v>
      </c>
      <c r="CW29">
        <v>16487</v>
      </c>
      <c r="CX29">
        <v>120</v>
      </c>
      <c r="CY29" s="16">
        <v>44137</v>
      </c>
      <c r="CZ29">
        <v>16916</v>
      </c>
      <c r="DA29">
        <v>278</v>
      </c>
      <c r="DB29" s="16">
        <v>44138</v>
      </c>
      <c r="DC29">
        <v>17159</v>
      </c>
      <c r="DD29">
        <v>238</v>
      </c>
      <c r="DE29" s="16">
        <v>44139</v>
      </c>
      <c r="DF29">
        <v>17362</v>
      </c>
      <c r="DG29">
        <v>201</v>
      </c>
      <c r="DH29" s="16">
        <v>44140</v>
      </c>
      <c r="DI29">
        <v>17586</v>
      </c>
      <c r="DJ29">
        <v>217</v>
      </c>
      <c r="DK29" s="16">
        <v>44141</v>
      </c>
      <c r="DL29">
        <v>17787</v>
      </c>
      <c r="DM29">
        <v>194</v>
      </c>
      <c r="DN29" s="16">
        <v>44142</v>
      </c>
      <c r="DO29">
        <v>17916</v>
      </c>
      <c r="DP29">
        <v>127</v>
      </c>
      <c r="DQ29" s="16">
        <v>44143</v>
      </c>
      <c r="DR29">
        <v>18055</v>
      </c>
      <c r="DS29">
        <v>133</v>
      </c>
      <c r="DT29" s="16">
        <v>44144</v>
      </c>
      <c r="DU29">
        <v>18337</v>
      </c>
      <c r="DV29">
        <v>278</v>
      </c>
      <c r="DW29" s="16">
        <v>44145</v>
      </c>
      <c r="DX29">
        <v>18546</v>
      </c>
      <c r="DY29">
        <v>208</v>
      </c>
      <c r="DZ29" s="16">
        <v>44146</v>
      </c>
      <c r="EA29">
        <v>18827</v>
      </c>
      <c r="EB29">
        <v>280</v>
      </c>
      <c r="EC29" s="16">
        <v>44147</v>
      </c>
      <c r="ED29">
        <v>19065</v>
      </c>
      <c r="EE29">
        <v>235</v>
      </c>
      <c r="EF29" s="16">
        <v>44148</v>
      </c>
      <c r="EG29">
        <v>19300</v>
      </c>
      <c r="EH29">
        <v>222</v>
      </c>
      <c r="EI29" s="16">
        <v>44149</v>
      </c>
      <c r="EJ29">
        <v>19442</v>
      </c>
      <c r="EK29">
        <v>134</v>
      </c>
      <c r="EL29" s="16">
        <v>44150</v>
      </c>
      <c r="EM29">
        <v>19706</v>
      </c>
      <c r="EN29">
        <v>187</v>
      </c>
      <c r="EO29" s="16">
        <v>44151</v>
      </c>
      <c r="EP29">
        <v>20091</v>
      </c>
      <c r="EQ29">
        <v>396</v>
      </c>
      <c r="ER29" s="16">
        <v>44152</v>
      </c>
      <c r="ES29">
        <v>20478</v>
      </c>
      <c r="ET29">
        <v>394</v>
      </c>
      <c r="EU29" s="16">
        <v>44153</v>
      </c>
      <c r="EV29">
        <v>20842</v>
      </c>
      <c r="EW29">
        <v>369</v>
      </c>
      <c r="EX29" s="16">
        <v>44154</v>
      </c>
      <c r="EY29">
        <v>21322</v>
      </c>
      <c r="EZ29">
        <v>478</v>
      </c>
      <c r="FA29" s="16">
        <v>44155</v>
      </c>
      <c r="FB29">
        <v>21755</v>
      </c>
      <c r="FC29">
        <v>426</v>
      </c>
      <c r="FD29" s="16">
        <v>44156</v>
      </c>
      <c r="FE29">
        <v>21944</v>
      </c>
      <c r="FF29">
        <v>259</v>
      </c>
      <c r="FG29" s="16">
        <v>44157</v>
      </c>
      <c r="FH29">
        <v>22293</v>
      </c>
      <c r="FI29">
        <v>263</v>
      </c>
      <c r="FJ29" s="16">
        <v>44158</v>
      </c>
      <c r="FK29">
        <v>22798</v>
      </c>
      <c r="FL29">
        <v>481</v>
      </c>
      <c r="FM29" s="16">
        <v>44159</v>
      </c>
      <c r="FN29">
        <v>23244</v>
      </c>
      <c r="FO29">
        <v>441</v>
      </c>
      <c r="FP29" s="16">
        <v>44160</v>
      </c>
      <c r="FQ29">
        <v>23810</v>
      </c>
      <c r="FR29">
        <v>575</v>
      </c>
      <c r="FS29" s="16">
        <v>44161</v>
      </c>
      <c r="FT29">
        <v>24382</v>
      </c>
      <c r="FU29">
        <v>498</v>
      </c>
      <c r="FV29" s="16">
        <v>44162</v>
      </c>
      <c r="FW29">
        <v>24856</v>
      </c>
      <c r="FX29">
        <v>463</v>
      </c>
      <c r="FY29" s="16">
        <v>44163</v>
      </c>
      <c r="FZ29">
        <v>25146</v>
      </c>
      <c r="GA29">
        <v>283</v>
      </c>
      <c r="GB29" s="16">
        <v>44164</v>
      </c>
      <c r="GC29">
        <v>25414</v>
      </c>
      <c r="GD29">
        <v>268</v>
      </c>
      <c r="GE29" s="16">
        <v>44165</v>
      </c>
      <c r="GF29">
        <v>25972</v>
      </c>
      <c r="GG29">
        <v>540</v>
      </c>
      <c r="GH29" s="16">
        <v>44166</v>
      </c>
      <c r="GI29">
        <v>26362</v>
      </c>
      <c r="GJ29">
        <v>385</v>
      </c>
      <c r="GK29" s="16">
        <v>44167</v>
      </c>
      <c r="GL29">
        <v>26838</v>
      </c>
      <c r="GM29">
        <v>468</v>
      </c>
      <c r="GN29" s="16">
        <v>44168</v>
      </c>
      <c r="GO29">
        <v>27257</v>
      </c>
      <c r="GP29">
        <v>398</v>
      </c>
      <c r="GQ29" s="16">
        <v>44169</v>
      </c>
      <c r="GR29">
        <v>27670</v>
      </c>
      <c r="GS29">
        <v>394</v>
      </c>
      <c r="GT29" s="16">
        <v>44170</v>
      </c>
      <c r="GU29">
        <v>28200</v>
      </c>
      <c r="GV29">
        <v>250</v>
      </c>
      <c r="GW29" s="16">
        <v>44171</v>
      </c>
      <c r="GX29">
        <v>28493</v>
      </c>
      <c r="GY29">
        <v>281</v>
      </c>
      <c r="GZ29" s="16">
        <v>44172</v>
      </c>
      <c r="HA29">
        <v>29089</v>
      </c>
      <c r="HB29">
        <v>588</v>
      </c>
      <c r="HC29" s="16">
        <v>44173</v>
      </c>
      <c r="HD29">
        <v>29553</v>
      </c>
      <c r="HE29">
        <v>460</v>
      </c>
      <c r="HF29" s="16">
        <v>44174</v>
      </c>
      <c r="HG29">
        <v>29994</v>
      </c>
      <c r="HH29">
        <v>453</v>
      </c>
      <c r="HI29" s="16">
        <v>44175</v>
      </c>
      <c r="HJ29">
        <v>30399</v>
      </c>
      <c r="HK29">
        <v>401</v>
      </c>
      <c r="HL29" s="16">
        <v>44176</v>
      </c>
      <c r="HM29">
        <v>30860</v>
      </c>
      <c r="HN29">
        <v>443</v>
      </c>
      <c r="HO29" s="16">
        <v>44177</v>
      </c>
      <c r="HP29">
        <v>31118</v>
      </c>
      <c r="HQ29">
        <v>248</v>
      </c>
      <c r="HR29" s="16">
        <v>44178</v>
      </c>
      <c r="HS29">
        <v>31386</v>
      </c>
      <c r="HT29">
        <v>273</v>
      </c>
      <c r="HU29" s="16">
        <v>44179</v>
      </c>
      <c r="HV29">
        <v>31851</v>
      </c>
      <c r="HW29">
        <v>460</v>
      </c>
      <c r="HX29" s="16">
        <v>44180</v>
      </c>
      <c r="HY29">
        <v>32200</v>
      </c>
      <c r="HZ29">
        <v>352</v>
      </c>
      <c r="IA29" s="16">
        <v>44181</v>
      </c>
      <c r="IB29">
        <v>32536</v>
      </c>
      <c r="IC29">
        <v>338</v>
      </c>
      <c r="ID29" s="16">
        <v>44182</v>
      </c>
      <c r="IE29">
        <v>32870</v>
      </c>
      <c r="IF29">
        <v>315</v>
      </c>
      <c r="IG29" s="16">
        <v>44183</v>
      </c>
      <c r="IH29">
        <v>33272</v>
      </c>
      <c r="II29">
        <v>396</v>
      </c>
      <c r="IJ29" s="16">
        <v>44184</v>
      </c>
      <c r="IK29">
        <v>33466</v>
      </c>
      <c r="IL29">
        <v>190</v>
      </c>
      <c r="IM29" s="16">
        <v>44185</v>
      </c>
      <c r="IN29">
        <v>33708</v>
      </c>
      <c r="IO29">
        <v>244</v>
      </c>
      <c r="IP29">
        <v>44186</v>
      </c>
      <c r="IQ29">
        <v>34076</v>
      </c>
      <c r="IR29">
        <v>370</v>
      </c>
      <c r="IS29">
        <v>44187</v>
      </c>
      <c r="IT29">
        <v>34395</v>
      </c>
      <c r="IU29">
        <v>322</v>
      </c>
      <c r="IV29">
        <v>44188</v>
      </c>
      <c r="IW29">
        <v>34656</v>
      </c>
      <c r="IX29">
        <v>259</v>
      </c>
      <c r="IY29">
        <v>44189</v>
      </c>
      <c r="IZ29">
        <v>34798</v>
      </c>
      <c r="JA29">
        <v>131</v>
      </c>
      <c r="JB29">
        <v>44193</v>
      </c>
      <c r="JC29">
        <v>35700</v>
      </c>
      <c r="JD29">
        <v>347</v>
      </c>
      <c r="JE29">
        <v>44197</v>
      </c>
      <c r="JF29">
        <v>36671</v>
      </c>
      <c r="JG29">
        <v>97</v>
      </c>
      <c r="JH29">
        <v>44198</v>
      </c>
      <c r="JI29">
        <v>36986</v>
      </c>
      <c r="JJ29">
        <v>204</v>
      </c>
      <c r="JK29">
        <v>44199</v>
      </c>
      <c r="JL29">
        <v>37161</v>
      </c>
      <c r="JM29">
        <v>175</v>
      </c>
      <c r="JN29">
        <v>44200</v>
      </c>
      <c r="JO29">
        <v>37539</v>
      </c>
      <c r="JP29">
        <v>396</v>
      </c>
      <c r="JQ29">
        <v>44202</v>
      </c>
      <c r="JR29">
        <v>38006</v>
      </c>
      <c r="JS29">
        <v>203</v>
      </c>
      <c r="JT29">
        <v>44202</v>
      </c>
      <c r="JU29">
        <v>38008</v>
      </c>
      <c r="JV29">
        <v>203</v>
      </c>
      <c r="JW29">
        <v>44204</v>
      </c>
      <c r="JX29">
        <v>38567</v>
      </c>
      <c r="JY29">
        <v>232</v>
      </c>
      <c r="JZ29">
        <v>44216</v>
      </c>
      <c r="KA29">
        <v>39593</v>
      </c>
      <c r="KB29">
        <v>0</v>
      </c>
      <c r="KC29">
        <v>44216</v>
      </c>
      <c r="KD29">
        <v>41912</v>
      </c>
      <c r="KE29">
        <v>378</v>
      </c>
      <c r="KF29">
        <v>44217</v>
      </c>
      <c r="KG29">
        <v>42276</v>
      </c>
      <c r="KH29">
        <v>367</v>
      </c>
      <c r="KI29">
        <v>44219</v>
      </c>
      <c r="KJ29">
        <v>42814</v>
      </c>
      <c r="KK29">
        <v>172</v>
      </c>
      <c r="KL29">
        <v>44220</v>
      </c>
      <c r="KM29">
        <v>43056</v>
      </c>
      <c r="KN29">
        <v>238</v>
      </c>
      <c r="KO29">
        <v>44224</v>
      </c>
      <c r="KP29">
        <v>44704</v>
      </c>
      <c r="KQ29">
        <v>317</v>
      </c>
      <c r="KR29">
        <v>44225</v>
      </c>
      <c r="KS29">
        <v>45249</v>
      </c>
      <c r="KT29">
        <v>366</v>
      </c>
      <c r="KU29">
        <v>44226</v>
      </c>
      <c r="KV29">
        <v>45504</v>
      </c>
      <c r="KW29">
        <v>236</v>
      </c>
      <c r="KX29">
        <v>44228</v>
      </c>
      <c r="KY29">
        <v>46222</v>
      </c>
      <c r="KZ29">
        <v>424</v>
      </c>
      <c r="LA29">
        <v>44229</v>
      </c>
      <c r="LB29">
        <v>46693</v>
      </c>
      <c r="LC29">
        <v>384</v>
      </c>
      <c r="LD29">
        <v>44230</v>
      </c>
      <c r="LE29">
        <v>47116</v>
      </c>
      <c r="LF29">
        <v>416</v>
      </c>
      <c r="LG29">
        <v>44232</v>
      </c>
      <c r="LH29">
        <v>47802</v>
      </c>
      <c r="LI29">
        <v>356</v>
      </c>
      <c r="LJ29">
        <v>44232</v>
      </c>
      <c r="LK29">
        <v>47802</v>
      </c>
      <c r="LL29">
        <v>354</v>
      </c>
      <c r="LM29">
        <v>44234</v>
      </c>
      <c r="LN29">
        <v>48304</v>
      </c>
      <c r="LO29">
        <v>238</v>
      </c>
      <c r="LP29">
        <v>44235</v>
      </c>
      <c r="LQ29">
        <v>48827</v>
      </c>
      <c r="LR29">
        <v>461</v>
      </c>
      <c r="LS29">
        <v>44236</v>
      </c>
      <c r="LT29">
        <v>49199</v>
      </c>
      <c r="LU29">
        <v>366</v>
      </c>
    </row>
    <row r="30" spans="1:333">
      <c r="A30" t="str">
        <f t="shared" ca="1" si="0"/>
        <v>10.2</v>
      </c>
      <c r="B30" s="4">
        <f t="shared" ca="1" si="1"/>
        <v>44237</v>
      </c>
      <c r="C30" s="11">
        <f t="shared" ca="1" si="2"/>
        <v>49591</v>
      </c>
      <c r="D30">
        <f t="shared" ca="1" si="3"/>
        <v>383</v>
      </c>
      <c r="E30" s="11">
        <f t="shared" ca="1" si="4"/>
        <v>-1</v>
      </c>
      <c r="F30" s="11">
        <f t="shared" ca="1" si="5"/>
        <v>384</v>
      </c>
      <c r="J30" s="4"/>
      <c r="K30" s="3"/>
      <c r="M30" s="16">
        <v>44237</v>
      </c>
      <c r="N30">
        <v>49583</v>
      </c>
      <c r="O30">
        <v>384</v>
      </c>
      <c r="P30" s="16">
        <v>44237</v>
      </c>
      <c r="Q30">
        <v>49583</v>
      </c>
      <c r="R30">
        <v>384</v>
      </c>
      <c r="S30" s="16">
        <v>44108</v>
      </c>
      <c r="T30">
        <v>11061</v>
      </c>
      <c r="U30">
        <v>144</v>
      </c>
      <c r="V30" s="16">
        <v>44109</v>
      </c>
      <c r="W30">
        <v>11308</v>
      </c>
      <c r="X30">
        <v>241</v>
      </c>
      <c r="Y30" s="16">
        <v>44110</v>
      </c>
      <c r="Z30">
        <v>11605</v>
      </c>
      <c r="AA30">
        <v>242</v>
      </c>
      <c r="AB30" s="16">
        <v>44111</v>
      </c>
      <c r="AC30">
        <v>11808</v>
      </c>
      <c r="AD30">
        <v>195</v>
      </c>
      <c r="AE30" s="16">
        <v>44112</v>
      </c>
      <c r="AF30">
        <v>12039</v>
      </c>
      <c r="AG30">
        <v>178</v>
      </c>
      <c r="AH30" s="16">
        <v>44113</v>
      </c>
      <c r="AI30">
        <v>12374</v>
      </c>
      <c r="AJ30">
        <v>178</v>
      </c>
      <c r="AK30" s="16">
        <v>44114</v>
      </c>
      <c r="AL30">
        <v>12513</v>
      </c>
      <c r="AM30">
        <v>95</v>
      </c>
      <c r="AN30" s="16">
        <v>44115</v>
      </c>
      <c r="AO30">
        <v>12670</v>
      </c>
      <c r="AP30">
        <v>126</v>
      </c>
      <c r="AQ30" s="16">
        <v>44116</v>
      </c>
      <c r="AR30">
        <v>12878</v>
      </c>
      <c r="AS30">
        <v>204</v>
      </c>
      <c r="AT30" s="16">
        <v>44117</v>
      </c>
      <c r="AU30">
        <v>13046</v>
      </c>
      <c r="AV30">
        <v>149</v>
      </c>
      <c r="AW30" s="16">
        <v>44118</v>
      </c>
      <c r="AX30">
        <v>13197</v>
      </c>
      <c r="AY30">
        <v>152</v>
      </c>
      <c r="AZ30" s="16">
        <v>44119</v>
      </c>
      <c r="BA30">
        <v>13333</v>
      </c>
      <c r="BB30">
        <v>136</v>
      </c>
      <c r="BC30" s="16">
        <v>44120</v>
      </c>
      <c r="BD30">
        <v>13670</v>
      </c>
      <c r="BE30">
        <v>176</v>
      </c>
      <c r="BF30" s="16">
        <v>44121</v>
      </c>
      <c r="BG30">
        <v>13796</v>
      </c>
      <c r="BH30">
        <v>96</v>
      </c>
      <c r="BI30" s="16">
        <v>44122</v>
      </c>
      <c r="BJ30">
        <v>13937</v>
      </c>
      <c r="BK30">
        <v>128</v>
      </c>
      <c r="BL30" s="16">
        <v>44123</v>
      </c>
      <c r="BM30">
        <v>14181</v>
      </c>
      <c r="BN30">
        <v>238</v>
      </c>
      <c r="BO30" s="16">
        <v>44124</v>
      </c>
      <c r="BP30">
        <v>14356</v>
      </c>
      <c r="BQ30">
        <v>161</v>
      </c>
      <c r="BR30" s="16">
        <v>44125</v>
      </c>
      <c r="BS30">
        <v>14520</v>
      </c>
      <c r="BT30">
        <v>170</v>
      </c>
      <c r="BU30" s="16">
        <v>44127</v>
      </c>
      <c r="BV30">
        <v>14852</v>
      </c>
      <c r="BW30">
        <v>155</v>
      </c>
      <c r="BX30" s="16">
        <v>44128</v>
      </c>
      <c r="BY30">
        <v>15041</v>
      </c>
      <c r="BZ30">
        <v>106</v>
      </c>
      <c r="CA30" s="16">
        <v>44129</v>
      </c>
      <c r="CB30">
        <v>15173</v>
      </c>
      <c r="CC30">
        <v>121</v>
      </c>
      <c r="CD30" s="16">
        <v>44130</v>
      </c>
      <c r="CE30">
        <v>15435</v>
      </c>
      <c r="CF30">
        <v>253</v>
      </c>
      <c r="CG30" s="16">
        <v>44131</v>
      </c>
      <c r="CH30">
        <v>15664</v>
      </c>
      <c r="CI30">
        <v>226</v>
      </c>
      <c r="CJ30" s="16">
        <v>44132</v>
      </c>
      <c r="CK30">
        <v>15886</v>
      </c>
      <c r="CL30">
        <v>222</v>
      </c>
      <c r="CM30" s="16">
        <v>44133</v>
      </c>
      <c r="CN30">
        <v>16074</v>
      </c>
      <c r="CO30">
        <v>187</v>
      </c>
      <c r="CP30" s="16">
        <v>44134</v>
      </c>
      <c r="CQ30">
        <v>16351</v>
      </c>
      <c r="CR30">
        <v>209</v>
      </c>
      <c r="CS30" s="16">
        <v>44135</v>
      </c>
      <c r="CT30">
        <v>16478</v>
      </c>
      <c r="CU30">
        <v>119</v>
      </c>
      <c r="CV30" s="16">
        <v>44136</v>
      </c>
      <c r="CW30">
        <v>16628</v>
      </c>
      <c r="CX30">
        <v>141</v>
      </c>
      <c r="CY30" s="16">
        <v>44138</v>
      </c>
      <c r="CZ30">
        <v>17139</v>
      </c>
      <c r="DA30">
        <v>223</v>
      </c>
      <c r="DB30" s="16">
        <v>44139</v>
      </c>
      <c r="DC30">
        <v>17359</v>
      </c>
      <c r="DD30">
        <v>200</v>
      </c>
      <c r="DE30" s="16">
        <v>44140</v>
      </c>
      <c r="DF30">
        <v>17561</v>
      </c>
      <c r="DG30">
        <v>199</v>
      </c>
      <c r="DH30" s="16">
        <v>44141</v>
      </c>
      <c r="DI30">
        <v>17777</v>
      </c>
      <c r="DJ30">
        <v>191</v>
      </c>
      <c r="DK30" s="16">
        <v>44142</v>
      </c>
      <c r="DL30">
        <v>17914</v>
      </c>
      <c r="DM30">
        <v>127</v>
      </c>
      <c r="DN30" s="16">
        <v>44143</v>
      </c>
      <c r="DO30">
        <v>18049</v>
      </c>
      <c r="DP30">
        <v>133</v>
      </c>
      <c r="DQ30" s="16">
        <v>44144</v>
      </c>
      <c r="DR30">
        <v>18331</v>
      </c>
      <c r="DS30">
        <v>276</v>
      </c>
      <c r="DT30" s="16">
        <v>44145</v>
      </c>
      <c r="DU30">
        <v>18544</v>
      </c>
      <c r="DV30">
        <v>207</v>
      </c>
      <c r="DW30" s="16">
        <v>44146</v>
      </c>
      <c r="DX30">
        <v>18825</v>
      </c>
      <c r="DY30">
        <v>279</v>
      </c>
      <c r="DZ30" s="16">
        <v>44147</v>
      </c>
      <c r="EA30">
        <v>19057</v>
      </c>
      <c r="EB30">
        <v>230</v>
      </c>
      <c r="EC30" s="16">
        <v>44148</v>
      </c>
      <c r="ED30">
        <v>19283</v>
      </c>
      <c r="EE30">
        <v>218</v>
      </c>
      <c r="EF30" s="16">
        <v>44149</v>
      </c>
      <c r="EG30">
        <v>19432</v>
      </c>
      <c r="EH30">
        <v>132</v>
      </c>
      <c r="EI30" s="16">
        <v>44150</v>
      </c>
      <c r="EJ30">
        <v>19609</v>
      </c>
      <c r="EK30">
        <v>167</v>
      </c>
      <c r="EL30" s="16">
        <v>44151</v>
      </c>
      <c r="EM30">
        <v>20066</v>
      </c>
      <c r="EN30">
        <v>360</v>
      </c>
      <c r="EO30" s="16">
        <v>44152</v>
      </c>
      <c r="EP30">
        <v>20478</v>
      </c>
      <c r="EQ30">
        <v>387</v>
      </c>
      <c r="ER30" s="16">
        <v>44153</v>
      </c>
      <c r="ES30">
        <v>20850</v>
      </c>
      <c r="ET30">
        <v>372</v>
      </c>
      <c r="EU30" s="16">
        <v>44154</v>
      </c>
      <c r="EV30">
        <v>21313</v>
      </c>
      <c r="EW30">
        <v>471</v>
      </c>
      <c r="EX30" s="16">
        <v>44155</v>
      </c>
      <c r="EY30">
        <v>21746</v>
      </c>
      <c r="EZ30">
        <v>424</v>
      </c>
      <c r="FA30" s="16">
        <v>44156</v>
      </c>
      <c r="FB30">
        <v>22003</v>
      </c>
      <c r="FC30">
        <v>248</v>
      </c>
      <c r="FD30" s="16">
        <v>44157</v>
      </c>
      <c r="FE30">
        <v>22196</v>
      </c>
      <c r="FF30">
        <v>252</v>
      </c>
      <c r="FG30" s="16">
        <v>44158</v>
      </c>
      <c r="FH30">
        <v>22767</v>
      </c>
      <c r="FI30">
        <v>474</v>
      </c>
      <c r="FJ30" s="16">
        <v>44159</v>
      </c>
      <c r="FK30">
        <v>23234</v>
      </c>
      <c r="FL30">
        <v>436</v>
      </c>
      <c r="FM30" s="16">
        <v>44160</v>
      </c>
      <c r="FN30">
        <v>23812</v>
      </c>
      <c r="FO30">
        <v>568</v>
      </c>
      <c r="FP30" s="16">
        <v>44161</v>
      </c>
      <c r="FQ30">
        <v>24238</v>
      </c>
      <c r="FR30">
        <v>428</v>
      </c>
      <c r="FS30" s="16">
        <v>44162</v>
      </c>
      <c r="FT30">
        <v>24826</v>
      </c>
      <c r="FU30">
        <v>444</v>
      </c>
      <c r="FV30" s="16">
        <v>44163</v>
      </c>
      <c r="FW30">
        <v>25121</v>
      </c>
      <c r="FX30">
        <v>265</v>
      </c>
      <c r="FY30" s="16">
        <v>44164</v>
      </c>
      <c r="FZ30">
        <v>25412</v>
      </c>
      <c r="GA30">
        <v>266</v>
      </c>
      <c r="GB30" s="16">
        <v>44165</v>
      </c>
      <c r="GC30">
        <v>25928</v>
      </c>
      <c r="GD30">
        <v>514</v>
      </c>
      <c r="GE30" s="16">
        <v>44166</v>
      </c>
      <c r="GF30">
        <v>26355</v>
      </c>
      <c r="GG30">
        <v>383</v>
      </c>
      <c r="GH30" s="16">
        <v>44167</v>
      </c>
      <c r="GI30">
        <v>26824</v>
      </c>
      <c r="GJ30">
        <v>462</v>
      </c>
      <c r="GK30" s="16">
        <v>44168</v>
      </c>
      <c r="GL30">
        <v>27231</v>
      </c>
      <c r="GM30">
        <v>393</v>
      </c>
      <c r="GN30" s="16">
        <v>44169</v>
      </c>
      <c r="GO30">
        <v>27644</v>
      </c>
      <c r="GP30">
        <v>387</v>
      </c>
      <c r="GQ30" s="16">
        <v>44170</v>
      </c>
      <c r="GR30">
        <v>27890</v>
      </c>
      <c r="GS30">
        <v>220</v>
      </c>
      <c r="GT30" s="16">
        <v>44171</v>
      </c>
      <c r="GU30">
        <v>28478</v>
      </c>
      <c r="GV30">
        <v>278</v>
      </c>
      <c r="GW30" s="16">
        <v>44172</v>
      </c>
      <c r="GX30">
        <v>29076</v>
      </c>
      <c r="GY30">
        <v>583</v>
      </c>
      <c r="GZ30" s="16">
        <v>44173</v>
      </c>
      <c r="HA30">
        <v>29546</v>
      </c>
      <c r="HB30">
        <v>457</v>
      </c>
      <c r="HC30" s="16">
        <v>44174</v>
      </c>
      <c r="HD30">
        <v>29985</v>
      </c>
      <c r="HE30">
        <v>432</v>
      </c>
      <c r="HF30" s="16">
        <v>44175</v>
      </c>
      <c r="HG30">
        <v>30393</v>
      </c>
      <c r="HH30">
        <v>399</v>
      </c>
      <c r="HI30" s="16">
        <v>44176</v>
      </c>
      <c r="HJ30">
        <v>30833</v>
      </c>
      <c r="HK30">
        <v>434</v>
      </c>
      <c r="HL30" s="16">
        <v>44177</v>
      </c>
      <c r="HM30">
        <v>31106</v>
      </c>
      <c r="HN30">
        <v>246</v>
      </c>
      <c r="HO30" s="16">
        <v>44178</v>
      </c>
      <c r="HP30">
        <v>31391</v>
      </c>
      <c r="HQ30">
        <v>273</v>
      </c>
      <c r="HR30" s="16">
        <v>44179</v>
      </c>
      <c r="HS30">
        <v>31845</v>
      </c>
      <c r="HT30">
        <v>459</v>
      </c>
      <c r="HU30" s="16">
        <v>44180</v>
      </c>
      <c r="HV30">
        <v>32202</v>
      </c>
      <c r="HW30">
        <v>351</v>
      </c>
      <c r="HX30" s="16">
        <v>44181</v>
      </c>
      <c r="HY30">
        <v>32538</v>
      </c>
      <c r="HZ30">
        <v>338</v>
      </c>
      <c r="IA30" s="16">
        <v>44182</v>
      </c>
      <c r="IB30">
        <v>32845</v>
      </c>
      <c r="IC30">
        <v>309</v>
      </c>
      <c r="ID30" s="16">
        <v>44183</v>
      </c>
      <c r="IE30">
        <v>33246</v>
      </c>
      <c r="IF30">
        <v>376</v>
      </c>
      <c r="IG30" s="16">
        <v>44184</v>
      </c>
      <c r="IH30">
        <v>33455</v>
      </c>
      <c r="II30">
        <v>183</v>
      </c>
      <c r="IJ30" s="16">
        <v>44185</v>
      </c>
      <c r="IK30">
        <v>33710</v>
      </c>
      <c r="IL30">
        <v>244</v>
      </c>
      <c r="IM30" s="16">
        <v>44186</v>
      </c>
      <c r="IN30">
        <v>34074</v>
      </c>
      <c r="IO30">
        <v>366</v>
      </c>
      <c r="IP30">
        <v>44187</v>
      </c>
      <c r="IQ30">
        <v>34392</v>
      </c>
      <c r="IR30">
        <v>316</v>
      </c>
      <c r="IS30">
        <v>44188</v>
      </c>
      <c r="IT30">
        <v>34651</v>
      </c>
      <c r="IU30">
        <v>256</v>
      </c>
      <c r="IV30">
        <v>44189</v>
      </c>
      <c r="IW30">
        <v>34786</v>
      </c>
      <c r="IX30">
        <v>130</v>
      </c>
      <c r="IY30">
        <v>44190</v>
      </c>
      <c r="IZ30">
        <v>34943</v>
      </c>
      <c r="JA30">
        <v>145</v>
      </c>
      <c r="JB30">
        <v>44194</v>
      </c>
      <c r="JC30">
        <v>35858</v>
      </c>
      <c r="JD30">
        <v>158</v>
      </c>
      <c r="JE30">
        <v>44198</v>
      </c>
      <c r="JF30">
        <v>36772</v>
      </c>
      <c r="JG30">
        <v>101</v>
      </c>
      <c r="JH30">
        <v>44199</v>
      </c>
      <c r="JI30">
        <v>37160</v>
      </c>
      <c r="JJ30">
        <v>174</v>
      </c>
      <c r="JK30">
        <v>44200</v>
      </c>
      <c r="JL30">
        <v>37529</v>
      </c>
      <c r="JM30">
        <v>368</v>
      </c>
      <c r="JN30">
        <v>44201</v>
      </c>
      <c r="JO30">
        <v>37798</v>
      </c>
      <c r="JP30">
        <v>259</v>
      </c>
      <c r="JQ30">
        <v>44203</v>
      </c>
      <c r="JR30">
        <v>38323</v>
      </c>
      <c r="JS30">
        <v>317</v>
      </c>
      <c r="JT30">
        <v>44203</v>
      </c>
      <c r="JU30">
        <v>38332</v>
      </c>
      <c r="JV30">
        <v>324</v>
      </c>
      <c r="JW30">
        <v>44205</v>
      </c>
      <c r="JX30">
        <v>38723</v>
      </c>
      <c r="JY30">
        <v>156</v>
      </c>
      <c r="JZ30">
        <v>44217</v>
      </c>
      <c r="KA30">
        <v>39593</v>
      </c>
      <c r="KB30">
        <v>0</v>
      </c>
      <c r="KC30">
        <v>44217</v>
      </c>
      <c r="KD30">
        <v>42249</v>
      </c>
      <c r="KE30">
        <v>337</v>
      </c>
      <c r="KF30">
        <v>44218</v>
      </c>
      <c r="KG30">
        <v>42612</v>
      </c>
      <c r="KH30">
        <v>336</v>
      </c>
      <c r="KI30">
        <v>44220</v>
      </c>
      <c r="KJ30">
        <v>43036</v>
      </c>
      <c r="KK30">
        <v>222</v>
      </c>
      <c r="KL30">
        <v>44221</v>
      </c>
      <c r="KM30">
        <v>43636</v>
      </c>
      <c r="KN30">
        <v>580</v>
      </c>
      <c r="KO30">
        <v>44225</v>
      </c>
      <c r="KP30">
        <v>44871</v>
      </c>
      <c r="KQ30">
        <v>167</v>
      </c>
      <c r="KR30">
        <v>44226</v>
      </c>
      <c r="KS30">
        <v>45442</v>
      </c>
      <c r="KT30">
        <v>193</v>
      </c>
      <c r="KU30">
        <v>44227</v>
      </c>
      <c r="KV30">
        <v>45755</v>
      </c>
      <c r="KW30">
        <v>251</v>
      </c>
      <c r="KX30">
        <v>44229</v>
      </c>
      <c r="KY30">
        <v>46534</v>
      </c>
      <c r="KZ30">
        <v>312</v>
      </c>
      <c r="LA30">
        <v>44230</v>
      </c>
      <c r="LB30">
        <v>47049</v>
      </c>
      <c r="LC30">
        <v>356</v>
      </c>
      <c r="LD30">
        <v>44231</v>
      </c>
      <c r="LE30">
        <v>47443</v>
      </c>
      <c r="LF30">
        <v>327</v>
      </c>
      <c r="LG30">
        <v>44233</v>
      </c>
      <c r="LH30">
        <v>48032</v>
      </c>
      <c r="LI30">
        <v>230</v>
      </c>
      <c r="LJ30">
        <v>44233</v>
      </c>
      <c r="LK30">
        <v>48034</v>
      </c>
      <c r="LL30">
        <v>232</v>
      </c>
      <c r="LM30">
        <v>44235</v>
      </c>
      <c r="LN30">
        <v>48704</v>
      </c>
      <c r="LO30">
        <v>400</v>
      </c>
      <c r="LP30">
        <v>44236</v>
      </c>
      <c r="LQ30">
        <v>49193</v>
      </c>
      <c r="LR30">
        <v>366</v>
      </c>
      <c r="LS30">
        <v>44237</v>
      </c>
      <c r="LT30">
        <v>49583</v>
      </c>
      <c r="LU30">
        <v>384</v>
      </c>
    </row>
    <row r="31" spans="1:333">
      <c r="A31" t="str">
        <f t="shared" ca="1" si="0"/>
        <v>11.2</v>
      </c>
      <c r="B31" s="4">
        <f t="shared" ca="1" si="1"/>
        <v>44238</v>
      </c>
      <c r="C31" s="11">
        <f t="shared" ca="1" si="2"/>
        <v>49934</v>
      </c>
      <c r="D31">
        <f t="shared" ca="1" si="3"/>
        <v>343</v>
      </c>
      <c r="E31" s="11">
        <f t="shared" ca="1" si="4"/>
        <v>41</v>
      </c>
      <c r="F31" s="11">
        <f t="shared" ca="1" si="5"/>
        <v>302</v>
      </c>
      <c r="J31" s="4"/>
      <c r="K31" s="3"/>
      <c r="M31" s="16">
        <v>44238</v>
      </c>
      <c r="N31">
        <v>49885</v>
      </c>
      <c r="O31">
        <v>302</v>
      </c>
      <c r="P31" s="16">
        <v>44238</v>
      </c>
      <c r="Q31">
        <v>49885</v>
      </c>
      <c r="R31">
        <v>302</v>
      </c>
      <c r="S31" s="16">
        <v>44109</v>
      </c>
      <c r="T31">
        <v>11250</v>
      </c>
      <c r="U31">
        <v>189</v>
      </c>
      <c r="V31" s="16">
        <v>44110</v>
      </c>
      <c r="W31">
        <v>11499</v>
      </c>
      <c r="X31">
        <v>191</v>
      </c>
      <c r="Y31" s="16">
        <v>44111</v>
      </c>
      <c r="Z31">
        <v>11779</v>
      </c>
      <c r="AA31">
        <v>174</v>
      </c>
      <c r="AB31" s="16">
        <v>44112</v>
      </c>
      <c r="AC31">
        <v>11954</v>
      </c>
      <c r="AD31">
        <v>146</v>
      </c>
      <c r="AE31" s="16">
        <v>44113</v>
      </c>
      <c r="AF31">
        <v>12160</v>
      </c>
      <c r="AG31">
        <v>121</v>
      </c>
      <c r="AH31" s="16">
        <v>44114</v>
      </c>
      <c r="AI31">
        <v>12432</v>
      </c>
      <c r="AJ31">
        <v>58</v>
      </c>
      <c r="AK31" s="16">
        <v>44115</v>
      </c>
      <c r="AL31">
        <v>12603</v>
      </c>
      <c r="AM31">
        <v>90</v>
      </c>
      <c r="AN31" s="16">
        <v>44116</v>
      </c>
      <c r="AO31">
        <v>12844</v>
      </c>
      <c r="AP31">
        <v>174</v>
      </c>
      <c r="AQ31" s="16">
        <v>44117</v>
      </c>
      <c r="AR31">
        <v>13023</v>
      </c>
      <c r="AS31">
        <v>145</v>
      </c>
      <c r="AT31" s="16">
        <v>44118</v>
      </c>
      <c r="AU31">
        <v>13186</v>
      </c>
      <c r="AV31">
        <v>140</v>
      </c>
      <c r="AW31" s="16">
        <v>44119</v>
      </c>
      <c r="AX31">
        <v>13316</v>
      </c>
      <c r="AY31">
        <v>119</v>
      </c>
      <c r="AZ31" s="16">
        <v>44120</v>
      </c>
      <c r="BA31">
        <v>13472</v>
      </c>
      <c r="BB31">
        <v>139</v>
      </c>
      <c r="BC31" s="16">
        <v>44121</v>
      </c>
      <c r="BD31">
        <v>13747</v>
      </c>
      <c r="BE31">
        <v>77</v>
      </c>
      <c r="BF31" s="16">
        <v>44122</v>
      </c>
      <c r="BG31">
        <v>13912</v>
      </c>
      <c r="BH31">
        <v>116</v>
      </c>
      <c r="BI31" s="16">
        <v>44123</v>
      </c>
      <c r="BJ31">
        <v>14148</v>
      </c>
      <c r="BK31">
        <v>211</v>
      </c>
      <c r="BL31" s="16">
        <v>44124</v>
      </c>
      <c r="BM31">
        <v>14322</v>
      </c>
      <c r="BN31">
        <v>141</v>
      </c>
      <c r="BO31" s="16">
        <v>44125</v>
      </c>
      <c r="BP31">
        <v>14510</v>
      </c>
      <c r="BQ31">
        <v>154</v>
      </c>
      <c r="BR31" s="16">
        <v>44126</v>
      </c>
      <c r="BS31">
        <v>14691</v>
      </c>
      <c r="BT31">
        <v>171</v>
      </c>
      <c r="BU31" s="16">
        <v>44128</v>
      </c>
      <c r="BV31">
        <v>14925</v>
      </c>
      <c r="BW31">
        <v>73</v>
      </c>
      <c r="BX31" s="16">
        <v>44129</v>
      </c>
      <c r="BY31">
        <v>15162</v>
      </c>
      <c r="BZ31">
        <v>121</v>
      </c>
      <c r="CA31" s="16">
        <v>44130</v>
      </c>
      <c r="CB31">
        <v>15395</v>
      </c>
      <c r="CC31">
        <v>222</v>
      </c>
      <c r="CD31" s="16">
        <v>44131</v>
      </c>
      <c r="CE31">
        <v>15651</v>
      </c>
      <c r="CF31">
        <v>216</v>
      </c>
      <c r="CG31" s="16">
        <v>44132</v>
      </c>
      <c r="CH31">
        <v>15886</v>
      </c>
      <c r="CI31">
        <v>222</v>
      </c>
      <c r="CJ31" s="16">
        <v>44133</v>
      </c>
      <c r="CK31">
        <v>16069</v>
      </c>
      <c r="CL31">
        <v>183</v>
      </c>
      <c r="CM31" s="16">
        <v>44134</v>
      </c>
      <c r="CN31">
        <v>16261</v>
      </c>
      <c r="CO31">
        <v>187</v>
      </c>
      <c r="CP31" s="16">
        <v>44135</v>
      </c>
      <c r="CQ31">
        <v>16467</v>
      </c>
      <c r="CR31">
        <v>116</v>
      </c>
      <c r="CS31" s="16">
        <v>44136</v>
      </c>
      <c r="CT31">
        <v>16618</v>
      </c>
      <c r="CU31">
        <v>140</v>
      </c>
      <c r="CV31" s="16">
        <v>44137</v>
      </c>
      <c r="CW31">
        <v>16895</v>
      </c>
      <c r="CX31">
        <v>267</v>
      </c>
      <c r="CY31" s="16">
        <v>44139</v>
      </c>
      <c r="CZ31">
        <v>17315</v>
      </c>
      <c r="DA31">
        <v>176</v>
      </c>
      <c r="DB31" s="16">
        <v>44140</v>
      </c>
      <c r="DC31">
        <v>17557</v>
      </c>
      <c r="DD31">
        <v>198</v>
      </c>
      <c r="DE31" s="16">
        <v>44141</v>
      </c>
      <c r="DF31">
        <v>17733</v>
      </c>
      <c r="DG31">
        <v>172</v>
      </c>
      <c r="DH31" s="16">
        <v>44142</v>
      </c>
      <c r="DI31">
        <v>17902</v>
      </c>
      <c r="DJ31">
        <v>125</v>
      </c>
      <c r="DK31" s="16">
        <v>44143</v>
      </c>
      <c r="DL31">
        <v>18047</v>
      </c>
      <c r="DM31">
        <v>133</v>
      </c>
      <c r="DN31" s="16">
        <v>44144</v>
      </c>
      <c r="DO31">
        <v>18313</v>
      </c>
      <c r="DP31">
        <v>264</v>
      </c>
      <c r="DQ31" s="16">
        <v>44145</v>
      </c>
      <c r="DR31">
        <v>18515</v>
      </c>
      <c r="DS31">
        <v>184</v>
      </c>
      <c r="DT31" s="16">
        <v>44146</v>
      </c>
      <c r="DU31">
        <v>18823</v>
      </c>
      <c r="DV31">
        <v>279</v>
      </c>
      <c r="DW31" s="16">
        <v>44147</v>
      </c>
      <c r="DX31">
        <v>19051</v>
      </c>
      <c r="DY31">
        <v>226</v>
      </c>
      <c r="DZ31" s="16">
        <v>44148</v>
      </c>
      <c r="EA31">
        <v>19264</v>
      </c>
      <c r="EB31">
        <v>207</v>
      </c>
      <c r="EC31" s="16">
        <v>44149</v>
      </c>
      <c r="ED31">
        <v>19408</v>
      </c>
      <c r="EE31">
        <v>125</v>
      </c>
      <c r="EF31" s="16">
        <v>44150</v>
      </c>
      <c r="EG31">
        <v>19592</v>
      </c>
      <c r="EH31">
        <v>160</v>
      </c>
      <c r="EI31" s="16">
        <v>44151</v>
      </c>
      <c r="EJ31">
        <v>19924</v>
      </c>
      <c r="EK31">
        <v>315</v>
      </c>
      <c r="EL31" s="16">
        <v>44152</v>
      </c>
      <c r="EM31">
        <v>20420</v>
      </c>
      <c r="EN31">
        <v>354</v>
      </c>
      <c r="EO31" s="16">
        <v>44153</v>
      </c>
      <c r="EP31">
        <v>20793</v>
      </c>
      <c r="EQ31">
        <v>315</v>
      </c>
      <c r="ER31" s="16">
        <v>44154</v>
      </c>
      <c r="ES31">
        <v>21258</v>
      </c>
      <c r="ET31">
        <v>408</v>
      </c>
      <c r="EU31" s="16">
        <v>44155</v>
      </c>
      <c r="EV31">
        <v>21680</v>
      </c>
      <c r="EW31">
        <v>367</v>
      </c>
      <c r="EX31" s="16">
        <v>44156</v>
      </c>
      <c r="EY31">
        <v>21984</v>
      </c>
      <c r="EZ31">
        <v>238</v>
      </c>
      <c r="FA31" s="16">
        <v>44157</v>
      </c>
      <c r="FB31">
        <v>22230</v>
      </c>
      <c r="FC31">
        <v>227</v>
      </c>
      <c r="FD31" s="16">
        <v>44158</v>
      </c>
      <c r="FE31">
        <v>22647</v>
      </c>
      <c r="FF31">
        <v>451</v>
      </c>
      <c r="FG31" s="16">
        <v>44159</v>
      </c>
      <c r="FH31">
        <v>23176</v>
      </c>
      <c r="FI31">
        <v>409</v>
      </c>
      <c r="FJ31" s="16">
        <v>44160</v>
      </c>
      <c r="FK31">
        <v>23787</v>
      </c>
      <c r="FL31">
        <v>553</v>
      </c>
      <c r="FM31" s="16">
        <v>44161</v>
      </c>
      <c r="FN31">
        <v>24215</v>
      </c>
      <c r="FO31">
        <v>403</v>
      </c>
      <c r="FP31" s="16">
        <v>44162</v>
      </c>
      <c r="FQ31">
        <v>24588</v>
      </c>
      <c r="FR31">
        <v>350</v>
      </c>
      <c r="FS31" s="16">
        <v>44163</v>
      </c>
      <c r="FT31">
        <v>25063</v>
      </c>
      <c r="FU31">
        <v>237</v>
      </c>
      <c r="FV31" s="16">
        <v>44164</v>
      </c>
      <c r="FW31">
        <v>25360</v>
      </c>
      <c r="FX31">
        <v>239</v>
      </c>
      <c r="FY31" s="16">
        <v>44165</v>
      </c>
      <c r="FZ31">
        <v>25915</v>
      </c>
      <c r="GA31">
        <v>503</v>
      </c>
      <c r="GB31" s="16">
        <v>44166</v>
      </c>
      <c r="GC31">
        <v>26266</v>
      </c>
      <c r="GD31">
        <v>338</v>
      </c>
      <c r="GE31" s="16">
        <v>44167</v>
      </c>
      <c r="GF31">
        <v>26770</v>
      </c>
      <c r="GG31">
        <v>415</v>
      </c>
      <c r="GH31" s="16">
        <v>44168</v>
      </c>
      <c r="GI31">
        <v>27208</v>
      </c>
      <c r="GJ31">
        <v>384</v>
      </c>
      <c r="GK31" s="16">
        <v>44169</v>
      </c>
      <c r="GL31">
        <v>27587</v>
      </c>
      <c r="GM31">
        <v>356</v>
      </c>
      <c r="GN31" s="16">
        <v>44170</v>
      </c>
      <c r="GO31">
        <v>27853</v>
      </c>
      <c r="GP31">
        <v>209</v>
      </c>
      <c r="GQ31" s="16">
        <v>44171</v>
      </c>
      <c r="GR31">
        <v>28142</v>
      </c>
      <c r="GS31">
        <v>252</v>
      </c>
      <c r="GT31" s="16">
        <v>44172</v>
      </c>
      <c r="GU31">
        <v>29007</v>
      </c>
      <c r="GV31">
        <v>529</v>
      </c>
      <c r="GW31" s="16">
        <v>44173</v>
      </c>
      <c r="GX31">
        <v>29495</v>
      </c>
      <c r="GY31">
        <v>419</v>
      </c>
      <c r="GZ31" s="16">
        <v>44174</v>
      </c>
      <c r="HA31">
        <v>29969</v>
      </c>
      <c r="HB31">
        <v>423</v>
      </c>
      <c r="HC31" s="16">
        <v>44175</v>
      </c>
      <c r="HD31">
        <v>30371</v>
      </c>
      <c r="HE31">
        <v>386</v>
      </c>
      <c r="HF31" s="16">
        <v>44176</v>
      </c>
      <c r="HG31">
        <v>30785</v>
      </c>
      <c r="HH31">
        <v>392</v>
      </c>
      <c r="HI31" s="16">
        <v>44177</v>
      </c>
      <c r="HJ31">
        <v>31071</v>
      </c>
      <c r="HK31">
        <v>238</v>
      </c>
      <c r="HL31" s="16">
        <v>44178</v>
      </c>
      <c r="HM31">
        <v>31372</v>
      </c>
      <c r="HN31">
        <v>266</v>
      </c>
      <c r="HO31" s="16">
        <v>44179</v>
      </c>
      <c r="HP31">
        <v>31837</v>
      </c>
      <c r="HQ31">
        <v>446</v>
      </c>
      <c r="HR31" s="16">
        <v>44180</v>
      </c>
      <c r="HS31">
        <v>32173</v>
      </c>
      <c r="HT31">
        <v>328</v>
      </c>
      <c r="HU31" s="16">
        <v>44181</v>
      </c>
      <c r="HV31">
        <v>32501</v>
      </c>
      <c r="HW31">
        <v>299</v>
      </c>
      <c r="HX31" s="16">
        <v>44182</v>
      </c>
      <c r="HY31">
        <v>32815</v>
      </c>
      <c r="HZ31">
        <v>277</v>
      </c>
      <c r="IA31" s="16">
        <v>44183</v>
      </c>
      <c r="IB31">
        <v>33153</v>
      </c>
      <c r="IC31">
        <v>308</v>
      </c>
      <c r="ID31" s="16">
        <v>44184</v>
      </c>
      <c r="IE31">
        <v>33404</v>
      </c>
      <c r="IF31">
        <v>158</v>
      </c>
      <c r="IG31" s="16">
        <v>44185</v>
      </c>
      <c r="IH31">
        <v>33659</v>
      </c>
      <c r="II31">
        <v>204</v>
      </c>
      <c r="IJ31" s="16">
        <v>44186</v>
      </c>
      <c r="IK31">
        <v>34047</v>
      </c>
      <c r="IL31">
        <v>337</v>
      </c>
      <c r="IM31" s="16">
        <v>44187</v>
      </c>
      <c r="IN31">
        <v>34366</v>
      </c>
      <c r="IO31">
        <v>292</v>
      </c>
      <c r="IP31">
        <v>44188</v>
      </c>
      <c r="IQ31">
        <v>34607</v>
      </c>
      <c r="IR31">
        <v>215</v>
      </c>
      <c r="IS31">
        <v>44189</v>
      </c>
      <c r="IT31">
        <v>34771</v>
      </c>
      <c r="IU31">
        <v>120</v>
      </c>
      <c r="IV31">
        <v>44190</v>
      </c>
      <c r="IW31">
        <v>34919</v>
      </c>
      <c r="IX31">
        <v>133</v>
      </c>
      <c r="IY31">
        <v>44191</v>
      </c>
      <c r="IZ31">
        <v>35096</v>
      </c>
      <c r="JA31">
        <v>153</v>
      </c>
      <c r="JB31">
        <v>44195</v>
      </c>
      <c r="JC31">
        <v>35858</v>
      </c>
      <c r="JD31">
        <v>0</v>
      </c>
      <c r="JE31">
        <v>44199</v>
      </c>
      <c r="JF31">
        <v>36772</v>
      </c>
      <c r="JG31">
        <v>0</v>
      </c>
      <c r="JH31">
        <v>44200</v>
      </c>
      <c r="JI31">
        <v>37507</v>
      </c>
      <c r="JJ31">
        <v>347</v>
      </c>
      <c r="JK31">
        <v>44201</v>
      </c>
      <c r="JL31">
        <v>37759</v>
      </c>
      <c r="JM31">
        <v>230</v>
      </c>
      <c r="JN31">
        <v>44202</v>
      </c>
      <c r="JO31">
        <v>37985</v>
      </c>
      <c r="JP31">
        <v>187</v>
      </c>
      <c r="JQ31">
        <v>44204</v>
      </c>
      <c r="JR31">
        <v>38515</v>
      </c>
      <c r="JS31">
        <v>192</v>
      </c>
      <c r="JT31">
        <v>44204</v>
      </c>
      <c r="JU31">
        <v>38559</v>
      </c>
      <c r="JV31">
        <v>227</v>
      </c>
      <c r="JW31">
        <v>44206</v>
      </c>
      <c r="JX31">
        <v>38863</v>
      </c>
      <c r="JY31">
        <v>140</v>
      </c>
      <c r="JZ31">
        <v>44218</v>
      </c>
      <c r="KA31">
        <v>39593</v>
      </c>
      <c r="KB31">
        <v>0</v>
      </c>
      <c r="KC31">
        <v>44218</v>
      </c>
      <c r="KD31">
        <v>42531</v>
      </c>
      <c r="KE31">
        <v>282</v>
      </c>
      <c r="KF31">
        <v>44219</v>
      </c>
      <c r="KG31">
        <v>42768</v>
      </c>
      <c r="KH31">
        <v>156</v>
      </c>
      <c r="KI31">
        <v>44221</v>
      </c>
      <c r="KJ31">
        <v>43440</v>
      </c>
      <c r="KK31">
        <v>404</v>
      </c>
      <c r="KL31">
        <v>44222</v>
      </c>
      <c r="KM31">
        <v>43966</v>
      </c>
      <c r="KN31">
        <v>330</v>
      </c>
      <c r="KO31">
        <v>44226</v>
      </c>
      <c r="KP31">
        <v>44871</v>
      </c>
      <c r="KQ31">
        <v>0</v>
      </c>
      <c r="KR31">
        <v>44227</v>
      </c>
      <c r="KS31">
        <v>45659</v>
      </c>
      <c r="KT31">
        <v>217</v>
      </c>
      <c r="KU31">
        <v>44228</v>
      </c>
      <c r="KV31">
        <v>46146</v>
      </c>
      <c r="KW31">
        <v>391</v>
      </c>
      <c r="KX31">
        <v>44230</v>
      </c>
      <c r="KY31">
        <v>46847</v>
      </c>
      <c r="KZ31">
        <v>313</v>
      </c>
      <c r="LA31">
        <v>44231</v>
      </c>
      <c r="LB31">
        <v>47323</v>
      </c>
      <c r="LC31">
        <v>274</v>
      </c>
      <c r="LD31">
        <v>44232</v>
      </c>
      <c r="LE31">
        <v>47755</v>
      </c>
      <c r="LF31">
        <v>312</v>
      </c>
      <c r="LG31">
        <v>44234</v>
      </c>
      <c r="LH31">
        <v>48236</v>
      </c>
      <c r="LI31">
        <v>204</v>
      </c>
      <c r="LJ31">
        <v>44234</v>
      </c>
      <c r="LK31">
        <v>48265</v>
      </c>
      <c r="LL31">
        <v>231</v>
      </c>
      <c r="LM31">
        <v>44236</v>
      </c>
      <c r="LN31">
        <v>49025</v>
      </c>
      <c r="LO31">
        <v>321</v>
      </c>
      <c r="LP31">
        <v>44237</v>
      </c>
      <c r="LQ31">
        <v>49528</v>
      </c>
      <c r="LR31">
        <v>335</v>
      </c>
      <c r="LS31">
        <v>44238</v>
      </c>
      <c r="LT31">
        <v>49885</v>
      </c>
      <c r="LU31">
        <v>302</v>
      </c>
    </row>
    <row r="32" spans="1:333">
      <c r="A32" t="str">
        <f t="shared" ca="1" si="0"/>
        <v>12.2</v>
      </c>
      <c r="B32" s="4">
        <f t="shared" ca="1" si="1"/>
        <v>44239</v>
      </c>
      <c r="C32" s="11">
        <f t="shared" ca="1" si="2"/>
        <v>50296</v>
      </c>
      <c r="D32">
        <f t="shared" ca="1" si="3"/>
        <v>362</v>
      </c>
      <c r="E32" s="11">
        <f t="shared" ca="1" si="4"/>
        <v>48</v>
      </c>
      <c r="F32" s="11">
        <f t="shared" ca="1" si="5"/>
        <v>314</v>
      </c>
      <c r="J32" s="4"/>
      <c r="K32" s="3"/>
      <c r="M32" s="16">
        <v>44239</v>
      </c>
      <c r="N32">
        <v>50199</v>
      </c>
      <c r="O32">
        <v>314</v>
      </c>
      <c r="P32" s="16">
        <v>44239</v>
      </c>
      <c r="Q32">
        <v>50199</v>
      </c>
      <c r="R32">
        <v>314</v>
      </c>
      <c r="S32" s="16">
        <v>44110</v>
      </c>
      <c r="T32">
        <v>11340</v>
      </c>
      <c r="U32">
        <v>90</v>
      </c>
      <c r="V32" s="16">
        <v>44111</v>
      </c>
      <c r="W32">
        <v>11574</v>
      </c>
      <c r="X32">
        <v>75</v>
      </c>
      <c r="Y32" s="16">
        <v>44112</v>
      </c>
      <c r="Z32">
        <v>11831</v>
      </c>
      <c r="AA32">
        <v>52</v>
      </c>
      <c r="AB32" s="16">
        <v>44113</v>
      </c>
      <c r="AC32">
        <v>11993</v>
      </c>
      <c r="AD32">
        <v>39</v>
      </c>
      <c r="AE32" s="16">
        <v>44114</v>
      </c>
      <c r="AF32">
        <v>12203</v>
      </c>
      <c r="AG32">
        <v>43</v>
      </c>
      <c r="AH32" s="16">
        <v>44115</v>
      </c>
      <c r="AI32">
        <v>12472</v>
      </c>
      <c r="AJ32">
        <v>40</v>
      </c>
      <c r="AK32" s="16">
        <v>44116</v>
      </c>
      <c r="AL32">
        <v>12691</v>
      </c>
      <c r="AM32">
        <v>88</v>
      </c>
      <c r="AN32" s="16">
        <v>44117</v>
      </c>
      <c r="AO32">
        <v>12922</v>
      </c>
      <c r="AP32">
        <v>78</v>
      </c>
      <c r="AQ32" s="16">
        <v>44118</v>
      </c>
      <c r="AR32">
        <v>13116</v>
      </c>
      <c r="AS32">
        <v>93</v>
      </c>
      <c r="AT32" s="16">
        <v>44119</v>
      </c>
      <c r="AU32">
        <v>13261</v>
      </c>
      <c r="AV32">
        <v>75</v>
      </c>
      <c r="AW32" s="16">
        <v>44120</v>
      </c>
      <c r="AX32">
        <v>13413</v>
      </c>
      <c r="AY32">
        <v>97</v>
      </c>
      <c r="AZ32" s="16">
        <v>44121</v>
      </c>
      <c r="BA32">
        <v>13527</v>
      </c>
      <c r="BB32">
        <v>55</v>
      </c>
      <c r="BC32" s="16">
        <v>44122</v>
      </c>
      <c r="BD32">
        <v>13835</v>
      </c>
      <c r="BE32">
        <v>88</v>
      </c>
      <c r="BF32" s="16">
        <v>44123</v>
      </c>
      <c r="BG32">
        <v>14054</v>
      </c>
      <c r="BH32">
        <v>142</v>
      </c>
      <c r="BI32" s="16">
        <v>44124</v>
      </c>
      <c r="BJ32">
        <v>14236</v>
      </c>
      <c r="BK32">
        <v>88</v>
      </c>
      <c r="BL32" s="16">
        <v>44125</v>
      </c>
      <c r="BM32">
        <v>14450</v>
      </c>
      <c r="BN32">
        <v>128</v>
      </c>
      <c r="BO32" s="16">
        <v>44126</v>
      </c>
      <c r="BP32">
        <v>14609</v>
      </c>
      <c r="BQ32">
        <v>99</v>
      </c>
      <c r="BR32" s="16">
        <v>44127</v>
      </c>
      <c r="BS32">
        <v>14823</v>
      </c>
      <c r="BT32">
        <v>132</v>
      </c>
      <c r="BU32" s="16">
        <v>44129</v>
      </c>
      <c r="BV32">
        <v>14970</v>
      </c>
      <c r="BW32">
        <v>45</v>
      </c>
      <c r="BX32" s="16">
        <v>44130</v>
      </c>
      <c r="BY32">
        <v>15336</v>
      </c>
      <c r="BZ32">
        <v>174</v>
      </c>
      <c r="CA32" s="16">
        <v>44131</v>
      </c>
      <c r="CB32">
        <v>15534</v>
      </c>
      <c r="CC32">
        <v>139</v>
      </c>
      <c r="CD32" s="16">
        <v>44132</v>
      </c>
      <c r="CE32">
        <v>15840</v>
      </c>
      <c r="CF32">
        <v>189</v>
      </c>
      <c r="CG32" s="16">
        <v>44133</v>
      </c>
      <c r="CH32">
        <v>16062</v>
      </c>
      <c r="CI32">
        <v>176</v>
      </c>
      <c r="CJ32" s="16">
        <v>44134</v>
      </c>
      <c r="CK32">
        <v>16247</v>
      </c>
      <c r="CL32">
        <v>178</v>
      </c>
      <c r="CM32" s="16">
        <v>44135</v>
      </c>
      <c r="CN32">
        <v>16353</v>
      </c>
      <c r="CO32">
        <v>92</v>
      </c>
      <c r="CP32" s="16">
        <v>44136</v>
      </c>
      <c r="CQ32">
        <v>16588</v>
      </c>
      <c r="CR32">
        <v>121</v>
      </c>
      <c r="CS32" s="16">
        <v>44137</v>
      </c>
      <c r="CT32">
        <v>16850</v>
      </c>
      <c r="CU32">
        <v>232</v>
      </c>
      <c r="CV32" s="16">
        <v>44138</v>
      </c>
      <c r="CW32">
        <v>17075</v>
      </c>
      <c r="CX32">
        <v>180</v>
      </c>
      <c r="CY32" s="16">
        <v>44140</v>
      </c>
      <c r="CZ32">
        <v>17385</v>
      </c>
      <c r="DA32">
        <v>70</v>
      </c>
      <c r="DB32" s="16">
        <v>44141</v>
      </c>
      <c r="DC32">
        <v>17721</v>
      </c>
      <c r="DD32">
        <v>164</v>
      </c>
      <c r="DE32" s="16">
        <v>44142</v>
      </c>
      <c r="DF32">
        <v>17846</v>
      </c>
      <c r="DG32">
        <v>113</v>
      </c>
      <c r="DH32" s="16">
        <v>44143</v>
      </c>
      <c r="DI32">
        <v>18023</v>
      </c>
      <c r="DJ32">
        <v>121</v>
      </c>
      <c r="DK32" s="16">
        <v>44144</v>
      </c>
      <c r="DL32">
        <v>18285</v>
      </c>
      <c r="DM32">
        <v>238</v>
      </c>
      <c r="DN32" s="16">
        <v>44145</v>
      </c>
      <c r="DO32">
        <v>18477</v>
      </c>
      <c r="DP32">
        <v>164</v>
      </c>
      <c r="DQ32" s="16">
        <v>44146</v>
      </c>
      <c r="DR32">
        <v>18770</v>
      </c>
      <c r="DS32">
        <v>255</v>
      </c>
      <c r="DT32" s="16">
        <v>44147</v>
      </c>
      <c r="DU32">
        <v>19032</v>
      </c>
      <c r="DV32">
        <v>209</v>
      </c>
      <c r="DW32" s="16">
        <v>44148</v>
      </c>
      <c r="DX32">
        <v>19252</v>
      </c>
      <c r="DY32">
        <v>201</v>
      </c>
      <c r="DZ32" s="16">
        <v>44149</v>
      </c>
      <c r="EA32">
        <v>19363</v>
      </c>
      <c r="EB32">
        <v>99</v>
      </c>
      <c r="EC32" s="16">
        <v>44150</v>
      </c>
      <c r="ED32">
        <v>19549</v>
      </c>
      <c r="EE32">
        <v>141</v>
      </c>
      <c r="EF32" s="16">
        <v>44151</v>
      </c>
      <c r="EG32">
        <v>19862</v>
      </c>
      <c r="EH32">
        <v>270</v>
      </c>
      <c r="EI32" s="16">
        <v>44152</v>
      </c>
      <c r="EJ32">
        <v>20220</v>
      </c>
      <c r="EK32">
        <v>296</v>
      </c>
      <c r="EL32" s="16">
        <v>44153</v>
      </c>
      <c r="EM32">
        <v>20687</v>
      </c>
      <c r="EN32">
        <v>267</v>
      </c>
      <c r="EO32" s="16">
        <v>44154</v>
      </c>
      <c r="EP32">
        <v>21150</v>
      </c>
      <c r="EQ32">
        <v>357</v>
      </c>
      <c r="ER32" s="16">
        <v>44155</v>
      </c>
      <c r="ES32">
        <v>21564</v>
      </c>
      <c r="ET32">
        <v>306</v>
      </c>
      <c r="EU32" s="16">
        <v>44156</v>
      </c>
      <c r="EV32">
        <v>21870</v>
      </c>
      <c r="EW32">
        <v>190</v>
      </c>
      <c r="EX32" s="16">
        <v>44157</v>
      </c>
      <c r="EY32">
        <v>22182</v>
      </c>
      <c r="EZ32">
        <v>198</v>
      </c>
      <c r="FA32" s="16">
        <v>44158</v>
      </c>
      <c r="FB32">
        <v>22567</v>
      </c>
      <c r="FC32">
        <v>337</v>
      </c>
      <c r="FD32" s="16">
        <v>44159</v>
      </c>
      <c r="FE32">
        <v>22980</v>
      </c>
      <c r="FF32">
        <v>333</v>
      </c>
      <c r="FG32" s="16">
        <v>44160</v>
      </c>
      <c r="FH32">
        <v>23606</v>
      </c>
      <c r="FI32">
        <v>430</v>
      </c>
      <c r="FJ32" s="16">
        <v>44161</v>
      </c>
      <c r="FK32">
        <v>24149</v>
      </c>
      <c r="FL32">
        <v>362</v>
      </c>
      <c r="FM32" s="16">
        <v>44162</v>
      </c>
      <c r="FN32">
        <v>24513</v>
      </c>
      <c r="FO32">
        <v>298</v>
      </c>
      <c r="FP32" s="16">
        <v>44163</v>
      </c>
      <c r="FQ32">
        <v>24786</v>
      </c>
      <c r="FR32">
        <v>198</v>
      </c>
      <c r="FS32" s="16">
        <v>44164</v>
      </c>
      <c r="FT32">
        <v>25282</v>
      </c>
      <c r="FU32">
        <v>219</v>
      </c>
      <c r="FV32" s="16">
        <v>44165</v>
      </c>
      <c r="FW32">
        <v>25762</v>
      </c>
      <c r="FX32">
        <v>402</v>
      </c>
      <c r="FY32" s="16">
        <v>44166</v>
      </c>
      <c r="FZ32">
        <v>26214</v>
      </c>
      <c r="GA32">
        <v>299</v>
      </c>
      <c r="GB32" s="16">
        <v>44167</v>
      </c>
      <c r="GC32">
        <v>26623</v>
      </c>
      <c r="GD32">
        <v>357</v>
      </c>
      <c r="GE32" s="16">
        <v>44168</v>
      </c>
      <c r="GF32">
        <v>27109</v>
      </c>
      <c r="GG32">
        <v>339</v>
      </c>
      <c r="GH32" s="16">
        <v>44169</v>
      </c>
      <c r="GI32">
        <v>27517</v>
      </c>
      <c r="GJ32">
        <v>309</v>
      </c>
      <c r="GK32" s="16">
        <v>44170</v>
      </c>
      <c r="GL32">
        <v>27753</v>
      </c>
      <c r="GM32">
        <v>166</v>
      </c>
      <c r="GN32" s="16">
        <v>44171</v>
      </c>
      <c r="GO32">
        <v>28082</v>
      </c>
      <c r="GP32">
        <v>229</v>
      </c>
      <c r="GQ32" s="16">
        <v>44172</v>
      </c>
      <c r="GR32">
        <v>28570</v>
      </c>
      <c r="GS32">
        <v>428</v>
      </c>
      <c r="GT32" s="16">
        <v>44173</v>
      </c>
      <c r="GU32">
        <v>29382</v>
      </c>
      <c r="GV32">
        <v>375</v>
      </c>
      <c r="GW32" s="16">
        <v>44174</v>
      </c>
      <c r="GX32">
        <v>29875</v>
      </c>
      <c r="GY32">
        <v>380</v>
      </c>
      <c r="GZ32" s="16">
        <v>44175</v>
      </c>
      <c r="HA32">
        <v>30272</v>
      </c>
      <c r="HB32">
        <v>303</v>
      </c>
      <c r="HC32" s="16">
        <v>44176</v>
      </c>
      <c r="HD32">
        <v>30699</v>
      </c>
      <c r="HE32">
        <v>328</v>
      </c>
      <c r="HF32" s="16">
        <v>44177</v>
      </c>
      <c r="HG32">
        <v>30981</v>
      </c>
      <c r="HH32">
        <v>196</v>
      </c>
      <c r="HI32" s="16">
        <v>44178</v>
      </c>
      <c r="HJ32">
        <v>31305</v>
      </c>
      <c r="HK32">
        <v>234</v>
      </c>
      <c r="HL32" s="16">
        <v>44179</v>
      </c>
      <c r="HM32">
        <v>31759</v>
      </c>
      <c r="HN32">
        <v>387</v>
      </c>
      <c r="HO32" s="16">
        <v>44180</v>
      </c>
      <c r="HP32">
        <v>32119</v>
      </c>
      <c r="HQ32">
        <v>282</v>
      </c>
      <c r="HR32" s="16">
        <v>44181</v>
      </c>
      <c r="HS32">
        <v>32457</v>
      </c>
      <c r="HT32">
        <v>284</v>
      </c>
      <c r="HU32" s="16">
        <v>44182</v>
      </c>
      <c r="HV32">
        <v>32742</v>
      </c>
      <c r="HW32">
        <v>241</v>
      </c>
      <c r="HX32" s="16">
        <v>44183</v>
      </c>
      <c r="HY32">
        <v>33099</v>
      </c>
      <c r="HZ32">
        <v>284</v>
      </c>
      <c r="IA32" s="16">
        <v>44184</v>
      </c>
      <c r="IB32">
        <v>33303</v>
      </c>
      <c r="IC32">
        <v>150</v>
      </c>
      <c r="ID32" s="16">
        <v>44185</v>
      </c>
      <c r="IE32">
        <v>33587</v>
      </c>
      <c r="IF32">
        <v>183</v>
      </c>
      <c r="IG32" s="16">
        <v>44186</v>
      </c>
      <c r="IH32">
        <v>33953</v>
      </c>
      <c r="II32">
        <v>294</v>
      </c>
      <c r="IJ32" s="16">
        <v>44187</v>
      </c>
      <c r="IK32">
        <v>34307</v>
      </c>
      <c r="IL32">
        <v>260</v>
      </c>
      <c r="IM32" s="16">
        <v>44188</v>
      </c>
      <c r="IN32">
        <v>34562</v>
      </c>
      <c r="IO32">
        <v>196</v>
      </c>
      <c r="IP32">
        <v>44189</v>
      </c>
      <c r="IQ32">
        <v>34722</v>
      </c>
      <c r="IR32">
        <v>115</v>
      </c>
      <c r="IS32">
        <v>44190</v>
      </c>
      <c r="IT32">
        <v>34898</v>
      </c>
      <c r="IU32">
        <v>127</v>
      </c>
      <c r="IV32">
        <v>44191</v>
      </c>
      <c r="IW32">
        <v>35040</v>
      </c>
      <c r="IX32">
        <v>121</v>
      </c>
      <c r="IY32">
        <v>44192</v>
      </c>
      <c r="IZ32">
        <v>35252</v>
      </c>
      <c r="JA32">
        <v>156</v>
      </c>
      <c r="JB32">
        <v>44196</v>
      </c>
      <c r="JC32">
        <v>35858</v>
      </c>
      <c r="JD32">
        <v>0</v>
      </c>
      <c r="JE32">
        <v>44200</v>
      </c>
      <c r="JF32">
        <v>36772</v>
      </c>
      <c r="JG32">
        <v>0</v>
      </c>
      <c r="JH32">
        <v>44201</v>
      </c>
      <c r="JI32">
        <v>37694</v>
      </c>
      <c r="JJ32">
        <v>187</v>
      </c>
      <c r="JK32">
        <v>44202</v>
      </c>
      <c r="JL32">
        <v>37915</v>
      </c>
      <c r="JM32">
        <v>156</v>
      </c>
      <c r="JN32">
        <v>44203</v>
      </c>
      <c r="JO32">
        <v>38257</v>
      </c>
      <c r="JP32">
        <v>272</v>
      </c>
      <c r="JQ32">
        <v>44205</v>
      </c>
      <c r="JR32">
        <v>38590</v>
      </c>
      <c r="JS32">
        <v>75</v>
      </c>
      <c r="JT32">
        <v>44205</v>
      </c>
      <c r="JU32">
        <v>38706</v>
      </c>
      <c r="JV32">
        <v>147</v>
      </c>
      <c r="JW32">
        <v>44207</v>
      </c>
      <c r="JX32">
        <v>39011</v>
      </c>
      <c r="JY32">
        <v>148</v>
      </c>
      <c r="JZ32">
        <v>44219</v>
      </c>
      <c r="KA32">
        <v>39593</v>
      </c>
      <c r="KB32">
        <v>0</v>
      </c>
      <c r="KC32">
        <v>44219</v>
      </c>
      <c r="KD32">
        <v>42668</v>
      </c>
      <c r="KE32">
        <v>137</v>
      </c>
      <c r="KF32">
        <v>44220</v>
      </c>
      <c r="KG32">
        <v>42953</v>
      </c>
      <c r="KH32">
        <v>185</v>
      </c>
      <c r="KI32">
        <v>44222</v>
      </c>
      <c r="KJ32">
        <v>43616</v>
      </c>
      <c r="KK32">
        <v>176</v>
      </c>
      <c r="KL32">
        <v>44223</v>
      </c>
      <c r="KM32">
        <v>44235</v>
      </c>
      <c r="KN32">
        <v>269</v>
      </c>
      <c r="KO32">
        <v>44227</v>
      </c>
      <c r="KP32">
        <v>44871</v>
      </c>
      <c r="KQ32">
        <v>0</v>
      </c>
      <c r="KR32">
        <v>44228</v>
      </c>
      <c r="KS32">
        <v>46006</v>
      </c>
      <c r="KT32">
        <v>347</v>
      </c>
      <c r="KU32">
        <v>44229</v>
      </c>
      <c r="KV32">
        <v>46434</v>
      </c>
      <c r="KW32">
        <v>288</v>
      </c>
      <c r="KX32">
        <v>44231</v>
      </c>
      <c r="KY32">
        <v>46894</v>
      </c>
      <c r="KZ32">
        <v>47</v>
      </c>
      <c r="LA32">
        <v>44232</v>
      </c>
      <c r="LB32">
        <v>47574</v>
      </c>
      <c r="LC32">
        <v>251</v>
      </c>
      <c r="LD32">
        <v>44233</v>
      </c>
      <c r="LE32">
        <v>47939</v>
      </c>
      <c r="LF32">
        <v>184</v>
      </c>
      <c r="LG32">
        <v>44235</v>
      </c>
      <c r="LH32">
        <v>48407</v>
      </c>
      <c r="LI32">
        <v>171</v>
      </c>
      <c r="LJ32">
        <v>44235</v>
      </c>
      <c r="LK32">
        <v>48631</v>
      </c>
      <c r="LL32">
        <v>366</v>
      </c>
      <c r="LM32">
        <v>44237</v>
      </c>
      <c r="LN32">
        <v>49165</v>
      </c>
      <c r="LO32">
        <v>140</v>
      </c>
      <c r="LP32">
        <v>44238</v>
      </c>
      <c r="LQ32">
        <v>49800</v>
      </c>
      <c r="LR32">
        <v>272</v>
      </c>
      <c r="LS32">
        <v>44239</v>
      </c>
      <c r="LT32">
        <v>50199</v>
      </c>
      <c r="LU32">
        <v>314</v>
      </c>
    </row>
    <row r="33" spans="1:523">
      <c r="A33" t="str">
        <f t="shared" ca="1" si="0"/>
        <v>13.2</v>
      </c>
      <c r="B33" s="4">
        <f t="shared" ca="1" si="1"/>
        <v>44240</v>
      </c>
      <c r="C33" s="11">
        <f t="shared" ca="1" si="2"/>
        <v>50505</v>
      </c>
      <c r="D33">
        <f t="shared" ca="1" si="3"/>
        <v>209</v>
      </c>
      <c r="E33" s="11">
        <f t="shared" ca="1" si="4"/>
        <v>89</v>
      </c>
      <c r="F33" s="11">
        <f t="shared" ca="1" si="5"/>
        <v>120</v>
      </c>
      <c r="J33" s="4"/>
      <c r="K33" s="3"/>
      <c r="M33" s="16">
        <v>44240</v>
      </c>
      <c r="N33">
        <v>50319</v>
      </c>
      <c r="O33">
        <v>120</v>
      </c>
      <c r="P33" s="16">
        <v>44240</v>
      </c>
      <c r="Q33">
        <v>50319</v>
      </c>
      <c r="R33">
        <v>120</v>
      </c>
      <c r="S33" s="16">
        <v>44111</v>
      </c>
      <c r="T33">
        <v>11345</v>
      </c>
      <c r="U33">
        <v>5</v>
      </c>
      <c r="V33" s="16">
        <v>44112</v>
      </c>
      <c r="W33">
        <v>11580</v>
      </c>
      <c r="X33">
        <v>6</v>
      </c>
      <c r="Y33" s="16">
        <v>44113</v>
      </c>
      <c r="Z33">
        <v>11849</v>
      </c>
      <c r="AA33">
        <v>18</v>
      </c>
      <c r="AB33" s="16">
        <v>44114</v>
      </c>
      <c r="AC33">
        <v>11998</v>
      </c>
      <c r="AD33">
        <v>5</v>
      </c>
      <c r="AE33" s="16">
        <v>44115</v>
      </c>
      <c r="AF33">
        <v>12212</v>
      </c>
      <c r="AG33">
        <v>9</v>
      </c>
      <c r="AH33" s="16">
        <v>44116</v>
      </c>
      <c r="AI33">
        <v>12499</v>
      </c>
      <c r="AJ33">
        <v>27</v>
      </c>
      <c r="AK33" s="16">
        <v>44117</v>
      </c>
      <c r="AL33">
        <v>12703</v>
      </c>
      <c r="AM33">
        <v>12</v>
      </c>
      <c r="AN33" s="16">
        <v>44118</v>
      </c>
      <c r="AO33">
        <v>12944</v>
      </c>
      <c r="AP33">
        <v>22</v>
      </c>
      <c r="AQ33" s="16">
        <v>44119</v>
      </c>
      <c r="AR33">
        <v>13133</v>
      </c>
      <c r="AS33">
        <v>17</v>
      </c>
      <c r="AT33" s="16">
        <v>44120</v>
      </c>
      <c r="AU33">
        <v>13293</v>
      </c>
      <c r="AV33">
        <v>32</v>
      </c>
      <c r="AW33" s="16">
        <v>44121</v>
      </c>
      <c r="AX33">
        <v>13424</v>
      </c>
      <c r="AY33">
        <v>11</v>
      </c>
      <c r="AZ33" s="16">
        <v>44122</v>
      </c>
      <c r="BA33">
        <v>13555</v>
      </c>
      <c r="BB33">
        <v>28</v>
      </c>
      <c r="BC33" s="16">
        <v>44123</v>
      </c>
      <c r="BD33">
        <v>13849</v>
      </c>
      <c r="BE33">
        <v>14</v>
      </c>
      <c r="BF33" s="16">
        <v>44124</v>
      </c>
      <c r="BG33">
        <v>14071</v>
      </c>
      <c r="BH33">
        <v>17</v>
      </c>
      <c r="BI33" s="16">
        <v>44125</v>
      </c>
      <c r="BJ33">
        <v>14255</v>
      </c>
      <c r="BK33">
        <v>19</v>
      </c>
      <c r="BL33" s="16">
        <v>44126</v>
      </c>
      <c r="BM33">
        <v>14474</v>
      </c>
      <c r="BN33">
        <v>24</v>
      </c>
      <c r="BO33" s="16">
        <v>44127</v>
      </c>
      <c r="BP33">
        <v>14652</v>
      </c>
      <c r="BQ33">
        <v>43</v>
      </c>
      <c r="BR33" s="16">
        <v>44128</v>
      </c>
      <c r="BS33">
        <v>14848</v>
      </c>
      <c r="BT33">
        <v>25</v>
      </c>
      <c r="BU33" s="16">
        <v>44130</v>
      </c>
      <c r="BV33">
        <v>14970</v>
      </c>
      <c r="BW33">
        <v>0</v>
      </c>
      <c r="BX33" s="16">
        <v>44131</v>
      </c>
      <c r="BY33">
        <v>15378</v>
      </c>
      <c r="BZ33">
        <v>42</v>
      </c>
      <c r="CA33" s="16">
        <v>44132</v>
      </c>
      <c r="CB33">
        <v>15566</v>
      </c>
      <c r="CC33">
        <v>32</v>
      </c>
      <c r="CD33" s="16">
        <v>44133</v>
      </c>
      <c r="CE33">
        <v>15910</v>
      </c>
      <c r="CF33">
        <v>70</v>
      </c>
      <c r="CG33" s="16">
        <v>44134</v>
      </c>
      <c r="CH33">
        <v>16113</v>
      </c>
      <c r="CI33">
        <v>51</v>
      </c>
      <c r="CJ33" s="16">
        <v>44135</v>
      </c>
      <c r="CK33">
        <v>16291</v>
      </c>
      <c r="CL33">
        <v>44</v>
      </c>
      <c r="CM33" s="16">
        <v>44136</v>
      </c>
      <c r="CN33">
        <v>16400</v>
      </c>
      <c r="CO33">
        <v>47</v>
      </c>
      <c r="CP33" s="16">
        <v>44137</v>
      </c>
      <c r="CQ33">
        <v>16637</v>
      </c>
      <c r="CR33">
        <v>49</v>
      </c>
      <c r="CS33" s="16">
        <v>44138</v>
      </c>
      <c r="CT33">
        <v>16929</v>
      </c>
      <c r="CU33">
        <v>79</v>
      </c>
      <c r="CV33" s="16">
        <v>44139</v>
      </c>
      <c r="CW33">
        <v>17119</v>
      </c>
      <c r="CX33">
        <v>44</v>
      </c>
      <c r="CY33" s="16">
        <v>44141</v>
      </c>
      <c r="CZ33">
        <v>17385</v>
      </c>
      <c r="DA33">
        <v>0</v>
      </c>
      <c r="DB33" s="16">
        <v>44142</v>
      </c>
      <c r="DC33">
        <v>17797</v>
      </c>
      <c r="DD33">
        <v>76</v>
      </c>
      <c r="DE33" s="16">
        <v>44143</v>
      </c>
      <c r="DF33">
        <v>17887</v>
      </c>
      <c r="DG33">
        <v>41</v>
      </c>
      <c r="DH33" s="16">
        <v>44144</v>
      </c>
      <c r="DI33">
        <v>18107</v>
      </c>
      <c r="DJ33">
        <v>84</v>
      </c>
      <c r="DK33" s="16">
        <v>44145</v>
      </c>
      <c r="DL33">
        <v>18345</v>
      </c>
      <c r="DM33">
        <v>60</v>
      </c>
      <c r="DN33" s="16">
        <v>44146</v>
      </c>
      <c r="DO33">
        <v>18542</v>
      </c>
      <c r="DP33">
        <v>65</v>
      </c>
      <c r="DQ33" s="16">
        <v>44147</v>
      </c>
      <c r="DR33">
        <v>18858</v>
      </c>
      <c r="DS33">
        <v>88</v>
      </c>
      <c r="DT33" s="16">
        <v>44148</v>
      </c>
      <c r="DU33">
        <v>19102</v>
      </c>
      <c r="DV33">
        <v>70</v>
      </c>
      <c r="DW33" s="16">
        <v>44149</v>
      </c>
      <c r="DX33">
        <v>19315</v>
      </c>
      <c r="DY33">
        <v>63</v>
      </c>
      <c r="DZ33" s="16">
        <v>44150</v>
      </c>
      <c r="EA33">
        <v>19419</v>
      </c>
      <c r="EB33">
        <v>56</v>
      </c>
      <c r="EC33" s="16">
        <v>44151</v>
      </c>
      <c r="ED33">
        <v>19647</v>
      </c>
      <c r="EE33">
        <v>98</v>
      </c>
      <c r="EF33" s="16">
        <v>44152</v>
      </c>
      <c r="EG33">
        <v>19935</v>
      </c>
      <c r="EH33">
        <v>73</v>
      </c>
      <c r="EI33" s="16">
        <v>44153</v>
      </c>
      <c r="EJ33">
        <v>20286</v>
      </c>
      <c r="EK33">
        <v>66</v>
      </c>
      <c r="EL33" s="16">
        <v>44154</v>
      </c>
      <c r="EM33">
        <v>20747</v>
      </c>
      <c r="EN33">
        <v>60</v>
      </c>
      <c r="EO33" s="16">
        <v>44155</v>
      </c>
      <c r="EP33">
        <v>21216</v>
      </c>
      <c r="EQ33">
        <v>66</v>
      </c>
      <c r="ER33" s="16">
        <v>44156</v>
      </c>
      <c r="ES33">
        <v>21639</v>
      </c>
      <c r="ET33">
        <v>75</v>
      </c>
      <c r="EU33" s="16">
        <v>44157</v>
      </c>
      <c r="EV33">
        <v>21936</v>
      </c>
      <c r="EW33">
        <v>66</v>
      </c>
      <c r="EX33" s="16">
        <v>44158</v>
      </c>
      <c r="EY33">
        <v>22289</v>
      </c>
      <c r="EZ33">
        <v>107</v>
      </c>
      <c r="FA33" s="16">
        <v>44159</v>
      </c>
      <c r="FB33">
        <v>22652</v>
      </c>
      <c r="FC33">
        <v>85</v>
      </c>
      <c r="FD33" s="16">
        <v>44160</v>
      </c>
      <c r="FE33">
        <v>23147</v>
      </c>
      <c r="FF33">
        <v>167</v>
      </c>
      <c r="FG33" s="16">
        <v>44161</v>
      </c>
      <c r="FH33">
        <v>23766</v>
      </c>
      <c r="FI33">
        <v>160</v>
      </c>
      <c r="FJ33" s="16">
        <v>44162</v>
      </c>
      <c r="FK33">
        <v>24307</v>
      </c>
      <c r="FL33">
        <v>158</v>
      </c>
      <c r="FM33" s="16">
        <v>44163</v>
      </c>
      <c r="FN33">
        <v>24629</v>
      </c>
      <c r="FO33">
        <v>116</v>
      </c>
      <c r="FP33" s="16">
        <v>44164</v>
      </c>
      <c r="FQ33">
        <v>24912</v>
      </c>
      <c r="FR33">
        <v>126</v>
      </c>
      <c r="FS33" s="16">
        <v>44165</v>
      </c>
      <c r="FT33">
        <v>25462</v>
      </c>
      <c r="FU33">
        <v>180</v>
      </c>
      <c r="FV33" s="16">
        <v>44166</v>
      </c>
      <c r="FW33">
        <v>25882</v>
      </c>
      <c r="FX33">
        <v>120</v>
      </c>
      <c r="FY33" s="16">
        <v>44167</v>
      </c>
      <c r="FZ33">
        <v>26422</v>
      </c>
      <c r="GA33">
        <v>208</v>
      </c>
      <c r="GB33" s="16">
        <v>44168</v>
      </c>
      <c r="GC33">
        <v>26758</v>
      </c>
      <c r="GD33">
        <v>135</v>
      </c>
      <c r="GE33" s="16">
        <v>44169</v>
      </c>
      <c r="GF33">
        <v>27217</v>
      </c>
      <c r="GG33">
        <v>108</v>
      </c>
      <c r="GH33" s="16">
        <v>44170</v>
      </c>
      <c r="GI33">
        <v>27631</v>
      </c>
      <c r="GJ33">
        <v>114</v>
      </c>
      <c r="GK33" s="16">
        <v>44171</v>
      </c>
      <c r="GL33">
        <v>27879</v>
      </c>
      <c r="GM33">
        <v>126</v>
      </c>
      <c r="GN33" s="16">
        <v>44172</v>
      </c>
      <c r="GO33">
        <v>28242</v>
      </c>
      <c r="GP33">
        <v>160</v>
      </c>
      <c r="GQ33" s="16">
        <v>44173</v>
      </c>
      <c r="GR33">
        <v>28732</v>
      </c>
      <c r="GS33">
        <v>162</v>
      </c>
      <c r="GT33" s="16">
        <v>44174</v>
      </c>
      <c r="GU33">
        <v>29572</v>
      </c>
      <c r="GV33">
        <v>190</v>
      </c>
      <c r="GW33" s="16">
        <v>44175</v>
      </c>
      <c r="GX33">
        <v>30072</v>
      </c>
      <c r="GY33">
        <v>197</v>
      </c>
      <c r="GZ33" s="16">
        <v>44176</v>
      </c>
      <c r="HA33">
        <v>30450</v>
      </c>
      <c r="HB33">
        <v>178</v>
      </c>
      <c r="HC33" s="16">
        <v>44177</v>
      </c>
      <c r="HD33">
        <v>30810</v>
      </c>
      <c r="HE33">
        <v>111</v>
      </c>
      <c r="HF33" s="16">
        <v>44178</v>
      </c>
      <c r="HG33">
        <v>31110</v>
      </c>
      <c r="HH33">
        <v>129</v>
      </c>
      <c r="HI33" s="16">
        <v>44179</v>
      </c>
      <c r="HJ33">
        <v>31459</v>
      </c>
      <c r="HK33">
        <v>154</v>
      </c>
      <c r="HL33" s="16">
        <v>44180</v>
      </c>
      <c r="HM33">
        <v>31870</v>
      </c>
      <c r="HN33">
        <v>111</v>
      </c>
      <c r="HO33" s="16">
        <v>44181</v>
      </c>
      <c r="HP33">
        <v>32228</v>
      </c>
      <c r="HQ33">
        <v>109</v>
      </c>
      <c r="HR33" s="16">
        <v>44182</v>
      </c>
      <c r="HS33">
        <v>32582</v>
      </c>
      <c r="HT33">
        <v>125</v>
      </c>
      <c r="HU33" s="16">
        <v>44183</v>
      </c>
      <c r="HV33">
        <v>32853</v>
      </c>
      <c r="HW33">
        <v>111</v>
      </c>
      <c r="HX33" s="16">
        <v>44184</v>
      </c>
      <c r="HY33">
        <v>33162</v>
      </c>
      <c r="HZ33">
        <v>63</v>
      </c>
      <c r="IA33" s="16">
        <v>44185</v>
      </c>
      <c r="IB33">
        <v>33414</v>
      </c>
      <c r="IC33">
        <v>111</v>
      </c>
      <c r="ID33" s="16">
        <v>44186</v>
      </c>
      <c r="IE33">
        <v>33717</v>
      </c>
      <c r="IF33">
        <v>130</v>
      </c>
      <c r="IG33" s="16">
        <v>44187</v>
      </c>
      <c r="IH33">
        <v>34083</v>
      </c>
      <c r="II33">
        <v>130</v>
      </c>
      <c r="IJ33" s="16">
        <v>44188</v>
      </c>
      <c r="IK33">
        <v>34447</v>
      </c>
      <c r="IL33">
        <v>140</v>
      </c>
      <c r="IM33" s="16">
        <v>44189</v>
      </c>
      <c r="IN33">
        <v>34648</v>
      </c>
      <c r="IO33">
        <v>86</v>
      </c>
      <c r="IP33">
        <v>44190</v>
      </c>
      <c r="IQ33">
        <v>34821</v>
      </c>
      <c r="IR33">
        <v>99</v>
      </c>
      <c r="IS33">
        <v>44191</v>
      </c>
      <c r="IT33">
        <v>34977</v>
      </c>
      <c r="IU33">
        <v>79</v>
      </c>
      <c r="IV33">
        <v>44192</v>
      </c>
      <c r="IW33">
        <v>35137</v>
      </c>
      <c r="IX33">
        <v>97</v>
      </c>
      <c r="IY33">
        <v>44193</v>
      </c>
      <c r="IZ33">
        <v>35420</v>
      </c>
      <c r="JA33">
        <v>168</v>
      </c>
      <c r="JB33">
        <v>44197</v>
      </c>
      <c r="JC33">
        <v>35858</v>
      </c>
      <c r="JD33">
        <v>0</v>
      </c>
      <c r="JE33">
        <v>44201</v>
      </c>
      <c r="JF33">
        <v>36772</v>
      </c>
      <c r="JG33">
        <v>0</v>
      </c>
      <c r="JH33">
        <v>44202</v>
      </c>
      <c r="JI33">
        <v>37771</v>
      </c>
      <c r="JJ33">
        <v>77</v>
      </c>
      <c r="JK33">
        <v>44203</v>
      </c>
      <c r="JL33">
        <v>38067</v>
      </c>
      <c r="JM33">
        <v>152</v>
      </c>
      <c r="JN33">
        <v>44204</v>
      </c>
      <c r="JO33">
        <v>38392</v>
      </c>
      <c r="JP33">
        <v>135</v>
      </c>
      <c r="JQ33">
        <v>44206</v>
      </c>
      <c r="JR33">
        <v>38590</v>
      </c>
      <c r="JS33">
        <v>0</v>
      </c>
      <c r="JT33">
        <v>44206</v>
      </c>
      <c r="JU33">
        <v>38790</v>
      </c>
      <c r="JV33">
        <v>84</v>
      </c>
      <c r="JW33">
        <v>44208</v>
      </c>
      <c r="JX33">
        <v>39011</v>
      </c>
      <c r="JY33">
        <v>0</v>
      </c>
      <c r="JZ33">
        <v>44220</v>
      </c>
      <c r="KA33">
        <v>39593</v>
      </c>
      <c r="KB33">
        <v>0</v>
      </c>
      <c r="KC33">
        <v>44220</v>
      </c>
      <c r="KD33">
        <v>42772</v>
      </c>
      <c r="KE33">
        <v>104</v>
      </c>
      <c r="KF33">
        <v>44221</v>
      </c>
      <c r="KG33">
        <v>43120</v>
      </c>
      <c r="KH33">
        <v>167</v>
      </c>
      <c r="KI33">
        <v>44223</v>
      </c>
      <c r="KJ33">
        <v>43616</v>
      </c>
      <c r="KK33">
        <v>0</v>
      </c>
      <c r="KL33">
        <v>44224</v>
      </c>
      <c r="KM33">
        <v>44402</v>
      </c>
      <c r="KN33">
        <v>167</v>
      </c>
      <c r="KO33">
        <v>44228</v>
      </c>
      <c r="KP33">
        <v>44871</v>
      </c>
      <c r="KQ33">
        <v>0</v>
      </c>
      <c r="KR33">
        <v>44229</v>
      </c>
      <c r="KS33">
        <v>46049</v>
      </c>
      <c r="KT33">
        <v>43</v>
      </c>
      <c r="KU33">
        <v>44230</v>
      </c>
      <c r="KV33">
        <v>46493</v>
      </c>
      <c r="KW33">
        <v>59</v>
      </c>
      <c r="KX33">
        <v>44232</v>
      </c>
      <c r="KY33">
        <v>46894</v>
      </c>
      <c r="KZ33">
        <v>0</v>
      </c>
      <c r="LA33">
        <v>44233</v>
      </c>
      <c r="LB33">
        <v>47616</v>
      </c>
      <c r="LC33">
        <v>42</v>
      </c>
      <c r="LD33">
        <v>44234</v>
      </c>
      <c r="LE33">
        <v>47969</v>
      </c>
      <c r="LF33">
        <v>30</v>
      </c>
      <c r="LG33">
        <v>44236</v>
      </c>
      <c r="LH33">
        <v>48407</v>
      </c>
      <c r="LI33">
        <v>0</v>
      </c>
      <c r="LJ33">
        <v>44236</v>
      </c>
      <c r="LK33">
        <v>48807</v>
      </c>
      <c r="LL33">
        <v>176</v>
      </c>
      <c r="LM33">
        <v>44238</v>
      </c>
      <c r="LN33">
        <v>49165</v>
      </c>
      <c r="LO33">
        <v>0</v>
      </c>
      <c r="LP33">
        <v>44239</v>
      </c>
      <c r="LQ33">
        <v>50007</v>
      </c>
      <c r="LR33">
        <v>207</v>
      </c>
      <c r="LS33">
        <v>44240</v>
      </c>
      <c r="LT33">
        <v>50319</v>
      </c>
      <c r="LU33">
        <v>120</v>
      </c>
    </row>
    <row r="34" spans="1:523" s="10" customFormat="1">
      <c r="A34" t="str">
        <f t="shared" ca="1" si="0"/>
        <v>14.2</v>
      </c>
      <c r="B34" s="9">
        <f t="shared" ca="1" si="1"/>
        <v>44241</v>
      </c>
      <c r="C34" s="10">
        <f t="shared" ca="1" si="2"/>
        <v>50662</v>
      </c>
      <c r="D34" s="10">
        <f t="shared" ca="1" si="3"/>
        <v>157</v>
      </c>
      <c r="E34" s="10">
        <f t="shared" ca="1" si="4"/>
        <v>157</v>
      </c>
      <c r="F34" s="10">
        <f t="shared" ca="1" si="5"/>
        <v>0</v>
      </c>
      <c r="J34" s="9"/>
      <c r="K34" s="14"/>
      <c r="M34" s="17">
        <v>44241</v>
      </c>
      <c r="N34" s="10">
        <v>50319</v>
      </c>
      <c r="O34" s="10">
        <v>0</v>
      </c>
      <c r="P34" s="17">
        <v>44241</v>
      </c>
      <c r="Q34" s="10">
        <v>50319</v>
      </c>
      <c r="R34" s="10">
        <v>0</v>
      </c>
      <c r="S34" s="17">
        <v>44112</v>
      </c>
      <c r="T34" s="10">
        <v>11345</v>
      </c>
      <c r="U34" s="10">
        <v>0</v>
      </c>
      <c r="V34" s="17">
        <v>44113</v>
      </c>
      <c r="W34" s="10">
        <v>11580</v>
      </c>
      <c r="X34" s="10">
        <v>0</v>
      </c>
      <c r="Y34" s="17">
        <v>44114</v>
      </c>
      <c r="Z34" s="10">
        <v>11849</v>
      </c>
      <c r="AA34" s="10">
        <v>0</v>
      </c>
      <c r="AB34" s="17">
        <v>44115</v>
      </c>
      <c r="AC34" s="10">
        <v>11998</v>
      </c>
      <c r="AD34" s="10">
        <v>0</v>
      </c>
      <c r="AE34" s="17">
        <v>44116</v>
      </c>
      <c r="AF34" s="10">
        <v>12212</v>
      </c>
      <c r="AG34" s="10">
        <v>0</v>
      </c>
      <c r="AH34" s="17">
        <v>44117</v>
      </c>
      <c r="AI34" s="10">
        <v>12499</v>
      </c>
      <c r="AJ34" s="10">
        <v>0</v>
      </c>
      <c r="AK34" s="17">
        <v>44118</v>
      </c>
      <c r="AL34" s="10">
        <v>12703</v>
      </c>
      <c r="AM34" s="10">
        <v>0</v>
      </c>
      <c r="AN34" s="17">
        <v>44119</v>
      </c>
      <c r="AO34" s="10">
        <v>12944</v>
      </c>
      <c r="AP34" s="10">
        <v>0</v>
      </c>
      <c r="AQ34" s="17">
        <v>44120</v>
      </c>
      <c r="AR34" s="10">
        <v>13133</v>
      </c>
      <c r="AS34" s="10">
        <v>0</v>
      </c>
      <c r="AT34" s="17">
        <v>44121</v>
      </c>
      <c r="AU34" s="10">
        <v>13293</v>
      </c>
      <c r="AV34" s="10">
        <v>0</v>
      </c>
      <c r="AW34" s="17">
        <v>44122</v>
      </c>
      <c r="AX34" s="10">
        <v>13424</v>
      </c>
      <c r="AY34" s="10">
        <v>0</v>
      </c>
      <c r="AZ34" s="17">
        <v>44123</v>
      </c>
      <c r="BA34" s="10">
        <v>13555</v>
      </c>
      <c r="BB34" s="10">
        <v>0</v>
      </c>
      <c r="BC34" s="17">
        <v>44124</v>
      </c>
      <c r="BD34" s="10">
        <v>13849</v>
      </c>
      <c r="BE34" s="10">
        <v>0</v>
      </c>
      <c r="BF34" s="17">
        <v>44125</v>
      </c>
      <c r="BG34" s="10">
        <v>14071</v>
      </c>
      <c r="BH34" s="10">
        <v>0</v>
      </c>
      <c r="BI34" s="17">
        <v>44126</v>
      </c>
      <c r="BJ34" s="10">
        <v>14255</v>
      </c>
      <c r="BK34" s="10">
        <v>0</v>
      </c>
      <c r="BL34" s="17">
        <v>44127</v>
      </c>
      <c r="BM34" s="10">
        <v>14474</v>
      </c>
      <c r="BN34" s="10">
        <v>0</v>
      </c>
      <c r="BO34" s="17">
        <v>44128</v>
      </c>
      <c r="BP34" s="10">
        <v>14652</v>
      </c>
      <c r="BQ34" s="10">
        <v>0</v>
      </c>
      <c r="BR34" s="17">
        <v>44129</v>
      </c>
      <c r="BS34" s="10">
        <v>14848</v>
      </c>
      <c r="BT34" s="10">
        <v>0</v>
      </c>
      <c r="BU34" s="17">
        <v>44131</v>
      </c>
      <c r="BV34" s="10">
        <v>14970</v>
      </c>
      <c r="BW34" s="10">
        <v>0</v>
      </c>
      <c r="BX34" s="17">
        <v>44132</v>
      </c>
      <c r="BY34" s="10">
        <v>15378</v>
      </c>
      <c r="BZ34" s="10">
        <v>0</v>
      </c>
      <c r="CA34" s="17">
        <v>44133</v>
      </c>
      <c r="CB34" s="10">
        <v>15566</v>
      </c>
      <c r="CC34" s="10">
        <v>0</v>
      </c>
      <c r="CD34" s="17">
        <v>44134</v>
      </c>
      <c r="CE34" s="10">
        <v>15910</v>
      </c>
      <c r="CF34" s="10">
        <v>0</v>
      </c>
      <c r="CG34" s="17">
        <v>44135</v>
      </c>
      <c r="CH34" s="10">
        <v>16113</v>
      </c>
      <c r="CI34" s="10">
        <v>0</v>
      </c>
      <c r="CJ34" s="17">
        <v>44136</v>
      </c>
      <c r="CK34" s="10">
        <v>16291</v>
      </c>
      <c r="CL34" s="10">
        <v>0</v>
      </c>
      <c r="CM34" s="17">
        <v>44137</v>
      </c>
      <c r="CN34" s="10">
        <v>16400</v>
      </c>
      <c r="CO34" s="10">
        <v>0</v>
      </c>
      <c r="CP34" s="17">
        <v>44138</v>
      </c>
      <c r="CQ34" s="10">
        <v>16637</v>
      </c>
      <c r="CR34" s="10">
        <v>0</v>
      </c>
      <c r="CS34" s="17">
        <v>44139</v>
      </c>
      <c r="CT34" s="10">
        <v>16930</v>
      </c>
      <c r="CU34" s="10">
        <v>1</v>
      </c>
      <c r="CV34" s="17">
        <v>44140</v>
      </c>
      <c r="CW34" s="10">
        <v>17119</v>
      </c>
      <c r="CX34" s="10">
        <v>0</v>
      </c>
      <c r="CY34" s="17">
        <v>44142</v>
      </c>
      <c r="CZ34" s="10">
        <v>17385</v>
      </c>
      <c r="DA34" s="10">
        <v>0</v>
      </c>
      <c r="DB34" s="17">
        <v>44143</v>
      </c>
      <c r="DC34" s="10">
        <v>17797</v>
      </c>
      <c r="DD34" s="10">
        <v>0</v>
      </c>
      <c r="DE34" s="17">
        <v>44144</v>
      </c>
      <c r="DF34" s="10">
        <v>17887</v>
      </c>
      <c r="DG34" s="10">
        <v>0</v>
      </c>
      <c r="DH34" s="17">
        <v>44145</v>
      </c>
      <c r="DI34" s="10">
        <v>18107</v>
      </c>
      <c r="DJ34" s="10">
        <v>0</v>
      </c>
      <c r="DK34" s="17">
        <v>44146</v>
      </c>
      <c r="DL34" s="10">
        <v>18345</v>
      </c>
      <c r="DM34" s="10">
        <v>0</v>
      </c>
      <c r="DN34" s="17">
        <v>44147</v>
      </c>
      <c r="DO34" s="10">
        <v>18542</v>
      </c>
      <c r="DP34" s="10">
        <v>0</v>
      </c>
      <c r="DQ34" s="17">
        <v>44148</v>
      </c>
      <c r="DR34" s="10">
        <v>18858</v>
      </c>
      <c r="DS34" s="10">
        <v>0</v>
      </c>
      <c r="DT34" s="17">
        <v>44149</v>
      </c>
      <c r="DU34" s="10">
        <v>19102</v>
      </c>
      <c r="DV34" s="10">
        <v>0</v>
      </c>
      <c r="DW34" s="17">
        <v>44150</v>
      </c>
      <c r="DX34" s="10">
        <v>19315</v>
      </c>
      <c r="DY34" s="10">
        <v>0</v>
      </c>
      <c r="DZ34" s="17">
        <v>44151</v>
      </c>
      <c r="EA34" s="10">
        <v>19419</v>
      </c>
      <c r="EB34" s="10">
        <v>0</v>
      </c>
      <c r="EC34" s="17">
        <v>44152</v>
      </c>
      <c r="ED34" s="10">
        <v>19647</v>
      </c>
      <c r="EE34" s="10">
        <v>0</v>
      </c>
      <c r="EF34" s="17">
        <v>44153</v>
      </c>
      <c r="EG34" s="10">
        <v>19935</v>
      </c>
      <c r="EH34" s="10">
        <v>0</v>
      </c>
      <c r="EI34" s="17">
        <v>44154</v>
      </c>
      <c r="EJ34" s="10">
        <v>20286</v>
      </c>
      <c r="EK34" s="10">
        <v>0</v>
      </c>
      <c r="EL34" s="17">
        <v>44155</v>
      </c>
      <c r="EM34" s="10">
        <v>20747</v>
      </c>
      <c r="EN34" s="10">
        <v>0</v>
      </c>
      <c r="EO34" s="17">
        <v>44156</v>
      </c>
      <c r="EP34" s="10">
        <v>21216</v>
      </c>
      <c r="EQ34" s="10">
        <v>0</v>
      </c>
      <c r="ER34" s="17">
        <v>44157</v>
      </c>
      <c r="ES34" s="10">
        <v>21639</v>
      </c>
      <c r="ET34" s="10">
        <v>0</v>
      </c>
      <c r="EU34" s="17">
        <v>44158</v>
      </c>
      <c r="EV34" s="10">
        <v>21936</v>
      </c>
      <c r="EW34" s="10">
        <v>0</v>
      </c>
      <c r="EX34" s="17">
        <v>44159</v>
      </c>
      <c r="EY34" s="10">
        <v>22289</v>
      </c>
      <c r="EZ34" s="10">
        <v>0</v>
      </c>
      <c r="FA34" s="17">
        <v>44160</v>
      </c>
      <c r="FB34" s="10">
        <v>22652</v>
      </c>
      <c r="FC34" s="10">
        <v>0</v>
      </c>
      <c r="FD34" s="17">
        <v>44161</v>
      </c>
      <c r="FE34" s="10">
        <v>23148</v>
      </c>
      <c r="FF34" s="10">
        <v>1</v>
      </c>
      <c r="FG34" s="17">
        <v>44162</v>
      </c>
      <c r="FH34" s="10">
        <v>23766</v>
      </c>
      <c r="FI34" s="10">
        <v>0</v>
      </c>
      <c r="FJ34" s="17">
        <v>44163</v>
      </c>
      <c r="FK34" s="10">
        <v>24307</v>
      </c>
      <c r="FL34" s="10">
        <v>0</v>
      </c>
      <c r="FM34" s="17">
        <v>44164</v>
      </c>
      <c r="FN34" s="10">
        <v>24629</v>
      </c>
      <c r="FO34" s="10">
        <v>0</v>
      </c>
      <c r="FP34" s="17">
        <v>44165</v>
      </c>
      <c r="FQ34" s="10">
        <v>24912</v>
      </c>
      <c r="FR34" s="10">
        <v>0</v>
      </c>
      <c r="FS34" s="17">
        <v>44166</v>
      </c>
      <c r="FT34" s="10">
        <v>25462</v>
      </c>
      <c r="FU34" s="10">
        <v>0</v>
      </c>
      <c r="FV34" s="17">
        <v>44167</v>
      </c>
      <c r="FW34" s="10">
        <v>25882</v>
      </c>
      <c r="FX34" s="10">
        <v>0</v>
      </c>
      <c r="FY34" s="17">
        <v>44168</v>
      </c>
      <c r="FZ34" s="10">
        <v>26422</v>
      </c>
      <c r="GA34" s="10">
        <v>0</v>
      </c>
      <c r="GB34" s="17">
        <v>44169</v>
      </c>
      <c r="GC34" s="10">
        <v>26758</v>
      </c>
      <c r="GD34" s="10">
        <v>0</v>
      </c>
      <c r="GE34" s="17">
        <v>44170</v>
      </c>
      <c r="GF34" s="10">
        <v>27218</v>
      </c>
      <c r="GG34" s="10">
        <v>1</v>
      </c>
      <c r="GH34" s="17">
        <v>44171</v>
      </c>
      <c r="GI34" s="10">
        <v>27631</v>
      </c>
      <c r="GJ34" s="10">
        <v>0</v>
      </c>
      <c r="GK34" s="17">
        <v>44172</v>
      </c>
      <c r="GL34" s="10">
        <v>27881</v>
      </c>
      <c r="GM34" s="10">
        <v>2</v>
      </c>
      <c r="GN34" s="17">
        <v>44173</v>
      </c>
      <c r="GO34" s="10">
        <v>28242</v>
      </c>
      <c r="GP34" s="10">
        <v>0</v>
      </c>
      <c r="GQ34" s="17">
        <v>44174</v>
      </c>
      <c r="GR34" s="10">
        <v>28732</v>
      </c>
      <c r="GS34" s="10">
        <v>0</v>
      </c>
      <c r="GT34" s="17">
        <v>44175</v>
      </c>
      <c r="GU34" s="10">
        <v>29572</v>
      </c>
      <c r="GV34" s="10">
        <v>0</v>
      </c>
      <c r="GW34" s="17">
        <v>44176</v>
      </c>
      <c r="GX34" s="10">
        <v>30073</v>
      </c>
      <c r="GY34" s="10">
        <v>1</v>
      </c>
      <c r="GZ34" s="17">
        <v>44177</v>
      </c>
      <c r="HA34" s="10">
        <v>30450</v>
      </c>
      <c r="HB34" s="10">
        <v>0</v>
      </c>
      <c r="HC34" s="17">
        <v>44178</v>
      </c>
      <c r="HD34" s="10">
        <v>30810</v>
      </c>
      <c r="HE34" s="10">
        <v>0</v>
      </c>
      <c r="HF34" s="17">
        <v>44179</v>
      </c>
      <c r="HG34" s="10">
        <v>31110</v>
      </c>
      <c r="HH34" s="10">
        <v>0</v>
      </c>
      <c r="HI34" s="17">
        <v>44180</v>
      </c>
      <c r="HJ34" s="10">
        <v>31459</v>
      </c>
      <c r="HK34" s="10">
        <v>0</v>
      </c>
      <c r="HL34" s="17">
        <v>44181</v>
      </c>
      <c r="HM34" s="10">
        <v>31870</v>
      </c>
      <c r="HN34" s="10">
        <v>0</v>
      </c>
      <c r="HO34" s="17">
        <v>44182</v>
      </c>
      <c r="HP34" s="10">
        <v>32228</v>
      </c>
      <c r="HQ34" s="10">
        <v>0</v>
      </c>
      <c r="HR34" s="17">
        <v>44183</v>
      </c>
      <c r="HS34" s="10">
        <v>32582</v>
      </c>
      <c r="HT34" s="10">
        <v>0</v>
      </c>
      <c r="HU34" s="17">
        <v>44184</v>
      </c>
      <c r="HV34" s="10">
        <v>32853</v>
      </c>
      <c r="HW34" s="10">
        <v>0</v>
      </c>
      <c r="HX34" s="17">
        <v>44185</v>
      </c>
      <c r="HY34" s="10">
        <v>33162</v>
      </c>
      <c r="HZ34" s="10">
        <v>0</v>
      </c>
      <c r="IA34" s="17">
        <v>44186</v>
      </c>
      <c r="IB34" s="10">
        <v>33414</v>
      </c>
      <c r="IC34" s="10">
        <v>0</v>
      </c>
      <c r="ID34" s="17">
        <v>44187</v>
      </c>
      <c r="IE34" s="10">
        <v>33717</v>
      </c>
      <c r="IF34" s="10">
        <v>0</v>
      </c>
      <c r="IG34" s="17">
        <v>44188</v>
      </c>
      <c r="IH34" s="10">
        <v>34084</v>
      </c>
      <c r="II34" s="10">
        <v>1</v>
      </c>
      <c r="IJ34" s="17">
        <v>44189</v>
      </c>
      <c r="IK34" s="10">
        <v>34447</v>
      </c>
      <c r="IL34" s="10">
        <v>0</v>
      </c>
      <c r="IM34" s="17">
        <v>44190</v>
      </c>
      <c r="IN34" s="10">
        <v>34648</v>
      </c>
      <c r="IO34" s="10">
        <v>0</v>
      </c>
      <c r="IP34" s="10">
        <v>44191</v>
      </c>
      <c r="IQ34" s="10">
        <v>34821</v>
      </c>
      <c r="IR34" s="10">
        <v>0</v>
      </c>
      <c r="IS34" s="10">
        <v>44192</v>
      </c>
      <c r="IT34" s="10">
        <v>34977</v>
      </c>
      <c r="IU34" s="10">
        <v>0</v>
      </c>
      <c r="IV34" s="10">
        <v>44193</v>
      </c>
      <c r="IW34" s="10">
        <v>35137</v>
      </c>
      <c r="IX34" s="10">
        <v>0</v>
      </c>
      <c r="IY34" s="10">
        <v>44194</v>
      </c>
      <c r="IZ34" s="10">
        <v>35420</v>
      </c>
      <c r="JA34" s="10">
        <v>0</v>
      </c>
      <c r="JB34" s="10">
        <v>44198</v>
      </c>
      <c r="JC34" s="10">
        <v>35858</v>
      </c>
      <c r="JD34" s="10">
        <v>0</v>
      </c>
      <c r="JE34" s="10">
        <v>44202</v>
      </c>
      <c r="JF34" s="10">
        <v>36772</v>
      </c>
      <c r="JG34" s="10">
        <v>0</v>
      </c>
      <c r="JH34" s="10">
        <v>44203</v>
      </c>
      <c r="JI34" s="10">
        <v>37772</v>
      </c>
      <c r="JJ34" s="10">
        <v>1</v>
      </c>
      <c r="JK34" s="10">
        <v>44204</v>
      </c>
      <c r="JL34" s="10">
        <v>38068</v>
      </c>
      <c r="JM34" s="10">
        <v>1</v>
      </c>
      <c r="JN34" s="10">
        <v>44205</v>
      </c>
      <c r="JO34" s="10">
        <v>38392</v>
      </c>
      <c r="JP34" s="10">
        <v>0</v>
      </c>
      <c r="JQ34" s="10">
        <v>44207</v>
      </c>
      <c r="JR34" s="10">
        <v>38590</v>
      </c>
      <c r="JS34" s="10">
        <v>0</v>
      </c>
      <c r="JT34" s="10">
        <v>44207</v>
      </c>
      <c r="JU34" s="10">
        <v>38790</v>
      </c>
      <c r="JV34" s="10">
        <v>0</v>
      </c>
      <c r="JW34" s="10">
        <v>44209</v>
      </c>
      <c r="JX34" s="10">
        <v>39011</v>
      </c>
      <c r="JY34" s="10">
        <v>0</v>
      </c>
      <c r="JZ34" s="10">
        <v>44221</v>
      </c>
      <c r="KA34" s="10">
        <v>39593</v>
      </c>
      <c r="KB34" s="10">
        <v>0</v>
      </c>
      <c r="KC34" s="10">
        <v>44221</v>
      </c>
      <c r="KD34" s="10">
        <v>42772</v>
      </c>
      <c r="KE34" s="10">
        <v>0</v>
      </c>
      <c r="KF34" s="10">
        <v>44222</v>
      </c>
      <c r="KG34" s="10">
        <v>43120</v>
      </c>
      <c r="KH34" s="10">
        <v>0</v>
      </c>
      <c r="KI34" s="10">
        <v>44224</v>
      </c>
      <c r="KJ34" s="10">
        <v>43616</v>
      </c>
      <c r="KK34" s="10">
        <v>0</v>
      </c>
      <c r="KL34" s="10">
        <v>44225</v>
      </c>
      <c r="KM34" s="10">
        <v>44402</v>
      </c>
      <c r="KN34" s="10">
        <v>0</v>
      </c>
      <c r="KO34" s="10">
        <v>44229</v>
      </c>
      <c r="KP34" s="10">
        <v>44871</v>
      </c>
      <c r="KQ34" s="10">
        <v>0</v>
      </c>
      <c r="KR34" s="10">
        <v>44230</v>
      </c>
      <c r="KS34" s="10">
        <v>46049</v>
      </c>
      <c r="KT34" s="10">
        <v>0</v>
      </c>
      <c r="KU34" s="10">
        <v>44231</v>
      </c>
      <c r="KV34" s="10">
        <v>46493</v>
      </c>
      <c r="KW34" s="10">
        <v>0</v>
      </c>
      <c r="KX34" s="10">
        <v>44233</v>
      </c>
      <c r="KY34" s="10">
        <v>46894</v>
      </c>
      <c r="KZ34" s="10">
        <v>0</v>
      </c>
      <c r="LA34" s="10">
        <v>44234</v>
      </c>
      <c r="LB34" s="10">
        <v>47616</v>
      </c>
      <c r="LC34" s="10">
        <v>0</v>
      </c>
      <c r="LD34" s="10">
        <v>44235</v>
      </c>
      <c r="LE34" s="10">
        <v>47969</v>
      </c>
      <c r="LF34" s="10">
        <v>0</v>
      </c>
      <c r="LG34" s="10">
        <v>44237</v>
      </c>
      <c r="LH34" s="10">
        <v>48407</v>
      </c>
      <c r="LI34" s="10">
        <v>0</v>
      </c>
      <c r="LJ34" s="10">
        <v>44237</v>
      </c>
      <c r="LK34" s="10">
        <v>48807</v>
      </c>
      <c r="LL34" s="10">
        <v>0</v>
      </c>
      <c r="LM34" s="10">
        <v>44239</v>
      </c>
      <c r="LN34" s="10">
        <v>49165</v>
      </c>
      <c r="LO34" s="10">
        <v>0</v>
      </c>
      <c r="LP34" s="10">
        <v>44240</v>
      </c>
      <c r="LQ34" s="10">
        <v>50007</v>
      </c>
      <c r="LR34" s="10">
        <v>0</v>
      </c>
      <c r="LS34" s="10">
        <v>44241</v>
      </c>
      <c r="LT34" s="10">
        <v>50319</v>
      </c>
      <c r="LU34" s="10">
        <v>0</v>
      </c>
    </row>
    <row r="35" spans="1:523">
      <c r="A35" t="str">
        <f t="shared" ca="1" si="0"/>
        <v>Ma 15</v>
      </c>
      <c r="B35" s="12">
        <f ca="1">FLOOR(NOW(),1)</f>
        <v>44242</v>
      </c>
      <c r="C35" s="11">
        <f t="shared" ca="1" si="2"/>
        <v>50662</v>
      </c>
      <c r="D35" s="11">
        <f t="shared" ca="1" si="3"/>
        <v>0</v>
      </c>
      <c r="E35" s="11">
        <f t="shared" ca="1" si="4"/>
        <v>0</v>
      </c>
      <c r="F35" s="11">
        <f t="shared" ca="1" si="5"/>
        <v>0</v>
      </c>
      <c r="M35" s="16">
        <v>44242</v>
      </c>
      <c r="N35">
        <v>50319</v>
      </c>
      <c r="O35">
        <v>0</v>
      </c>
      <c r="P35" s="16">
        <v>44242</v>
      </c>
      <c r="Q35">
        <v>50319</v>
      </c>
      <c r="R35">
        <v>0</v>
      </c>
      <c r="S35" s="16">
        <v>44113</v>
      </c>
      <c r="T35">
        <v>11345</v>
      </c>
      <c r="U35">
        <v>0</v>
      </c>
      <c r="V35" s="16">
        <v>44114</v>
      </c>
      <c r="W35">
        <v>11580</v>
      </c>
      <c r="X35">
        <v>0</v>
      </c>
      <c r="Y35" s="16">
        <v>44115</v>
      </c>
      <c r="Z35">
        <v>11849</v>
      </c>
      <c r="AA35">
        <v>0</v>
      </c>
      <c r="AB35" s="16">
        <v>44116</v>
      </c>
      <c r="AC35">
        <v>11998</v>
      </c>
      <c r="AD35">
        <v>0</v>
      </c>
      <c r="AE35" s="16">
        <v>44117</v>
      </c>
      <c r="AF35">
        <v>12212</v>
      </c>
      <c r="AG35">
        <v>0</v>
      </c>
      <c r="AH35" s="16">
        <v>44118</v>
      </c>
      <c r="AI35">
        <v>12499</v>
      </c>
      <c r="AJ35">
        <v>0</v>
      </c>
      <c r="AK35" s="16">
        <v>44119</v>
      </c>
      <c r="AL35">
        <v>12703</v>
      </c>
      <c r="AM35">
        <v>0</v>
      </c>
      <c r="AN35" s="16">
        <v>44120</v>
      </c>
      <c r="AO35">
        <v>12944</v>
      </c>
      <c r="AP35">
        <v>0</v>
      </c>
      <c r="AQ35" s="16">
        <v>44121</v>
      </c>
      <c r="AR35">
        <v>13133</v>
      </c>
      <c r="AS35">
        <v>0</v>
      </c>
      <c r="AT35" s="16">
        <v>44122</v>
      </c>
      <c r="AU35">
        <v>13293</v>
      </c>
      <c r="AV35">
        <v>0</v>
      </c>
      <c r="AW35" s="16">
        <v>44123</v>
      </c>
      <c r="AX35">
        <v>13424</v>
      </c>
      <c r="AY35">
        <v>0</v>
      </c>
      <c r="AZ35" s="16">
        <v>44124</v>
      </c>
      <c r="BA35">
        <v>13555</v>
      </c>
      <c r="BB35">
        <v>0</v>
      </c>
      <c r="BC35" s="16">
        <v>44125</v>
      </c>
      <c r="BD35">
        <v>13849</v>
      </c>
      <c r="BE35">
        <v>0</v>
      </c>
      <c r="BF35" s="16">
        <v>44126</v>
      </c>
      <c r="BG35">
        <v>14071</v>
      </c>
      <c r="BH35">
        <v>0</v>
      </c>
      <c r="BI35" s="16">
        <v>44127</v>
      </c>
      <c r="BJ35">
        <v>14255</v>
      </c>
      <c r="BK35">
        <v>0</v>
      </c>
      <c r="BL35" s="16">
        <v>44128</v>
      </c>
      <c r="BM35">
        <v>14474</v>
      </c>
      <c r="BN35">
        <v>0</v>
      </c>
      <c r="BO35" s="16">
        <v>44129</v>
      </c>
      <c r="BP35">
        <v>14652</v>
      </c>
      <c r="BQ35">
        <v>0</v>
      </c>
      <c r="BR35" s="16">
        <v>44130</v>
      </c>
      <c r="BS35">
        <v>14848</v>
      </c>
      <c r="BT35">
        <v>0</v>
      </c>
      <c r="BU35" s="16">
        <v>44132</v>
      </c>
      <c r="BV35">
        <v>14970</v>
      </c>
      <c r="BW35">
        <v>0</v>
      </c>
      <c r="BX35" s="16">
        <v>44133</v>
      </c>
      <c r="BY35">
        <v>15378</v>
      </c>
      <c r="BZ35">
        <v>0</v>
      </c>
      <c r="CA35" s="16">
        <v>44134</v>
      </c>
      <c r="CB35">
        <v>15566</v>
      </c>
      <c r="CC35">
        <v>0</v>
      </c>
      <c r="CD35" s="16">
        <v>44135</v>
      </c>
      <c r="CE35">
        <v>15910</v>
      </c>
      <c r="CF35">
        <v>0</v>
      </c>
      <c r="CG35" s="16">
        <v>44136</v>
      </c>
      <c r="CH35">
        <v>16113</v>
      </c>
      <c r="CI35">
        <v>0</v>
      </c>
      <c r="CJ35" s="16">
        <v>44137</v>
      </c>
      <c r="CK35">
        <v>16291</v>
      </c>
      <c r="CL35">
        <v>0</v>
      </c>
      <c r="CM35" s="16">
        <v>44138</v>
      </c>
      <c r="CN35">
        <v>16400</v>
      </c>
      <c r="CO35">
        <v>0</v>
      </c>
      <c r="CP35" s="16">
        <v>44139</v>
      </c>
      <c r="CQ35">
        <v>16637</v>
      </c>
      <c r="CR35">
        <v>0</v>
      </c>
      <c r="CS35" s="16">
        <v>44140</v>
      </c>
      <c r="CT35">
        <v>16930</v>
      </c>
      <c r="CU35">
        <v>0</v>
      </c>
      <c r="CV35" s="16">
        <v>44141</v>
      </c>
      <c r="CW35">
        <v>17119</v>
      </c>
      <c r="CX35">
        <v>0</v>
      </c>
      <c r="CY35" s="16">
        <v>44143</v>
      </c>
      <c r="CZ35">
        <v>17385</v>
      </c>
      <c r="DA35">
        <v>0</v>
      </c>
      <c r="DB35" s="16">
        <v>44144</v>
      </c>
      <c r="DC35">
        <v>17797</v>
      </c>
      <c r="DD35">
        <v>0</v>
      </c>
      <c r="DE35" s="16">
        <v>44145</v>
      </c>
      <c r="DF35">
        <v>17887</v>
      </c>
      <c r="DG35">
        <v>0</v>
      </c>
      <c r="DH35" s="16">
        <v>44146</v>
      </c>
      <c r="DI35">
        <v>18107</v>
      </c>
      <c r="DJ35">
        <v>0</v>
      </c>
      <c r="DK35" s="16">
        <v>44147</v>
      </c>
      <c r="DL35">
        <v>18345</v>
      </c>
      <c r="DM35">
        <v>0</v>
      </c>
      <c r="DN35" s="16">
        <v>44148</v>
      </c>
      <c r="DO35">
        <v>18542</v>
      </c>
      <c r="DP35">
        <v>0</v>
      </c>
      <c r="DQ35" s="16">
        <v>44149</v>
      </c>
      <c r="DR35">
        <v>18858</v>
      </c>
      <c r="DS35">
        <v>0</v>
      </c>
      <c r="DT35" s="16">
        <v>44150</v>
      </c>
      <c r="DU35">
        <v>19102</v>
      </c>
      <c r="DV35">
        <v>0</v>
      </c>
      <c r="DW35" s="16">
        <v>44151</v>
      </c>
      <c r="DX35">
        <v>19315</v>
      </c>
      <c r="DY35">
        <v>0</v>
      </c>
      <c r="DZ35" s="16">
        <v>44152</v>
      </c>
      <c r="EA35">
        <v>19419</v>
      </c>
      <c r="EB35">
        <v>0</v>
      </c>
      <c r="EC35" s="16">
        <v>44153</v>
      </c>
      <c r="ED35">
        <v>19647</v>
      </c>
      <c r="EE35">
        <v>0</v>
      </c>
      <c r="EF35" s="16">
        <v>44154</v>
      </c>
      <c r="EG35">
        <v>19935</v>
      </c>
      <c r="EH35">
        <v>0</v>
      </c>
      <c r="EI35" s="16">
        <v>44155</v>
      </c>
      <c r="EJ35">
        <v>20286</v>
      </c>
      <c r="EK35">
        <v>0</v>
      </c>
      <c r="EL35" s="16">
        <v>44156</v>
      </c>
      <c r="EM35">
        <v>20747</v>
      </c>
      <c r="EN35">
        <v>0</v>
      </c>
      <c r="EO35" s="16">
        <v>44157</v>
      </c>
      <c r="EP35">
        <v>21216</v>
      </c>
      <c r="EQ35">
        <v>0</v>
      </c>
      <c r="ER35" s="16">
        <v>44158</v>
      </c>
      <c r="ES35">
        <v>21639</v>
      </c>
      <c r="ET35">
        <v>0</v>
      </c>
      <c r="EU35" s="16">
        <v>44159</v>
      </c>
      <c r="EV35">
        <v>21936</v>
      </c>
      <c r="EW35">
        <v>0</v>
      </c>
      <c r="EX35" s="16">
        <v>44160</v>
      </c>
      <c r="EY35">
        <v>22289</v>
      </c>
      <c r="EZ35">
        <v>0</v>
      </c>
      <c r="FA35" s="16">
        <v>44161</v>
      </c>
      <c r="FB35">
        <v>22652</v>
      </c>
      <c r="FC35">
        <v>0</v>
      </c>
      <c r="FD35" s="16">
        <v>44162</v>
      </c>
      <c r="FE35">
        <v>23148</v>
      </c>
      <c r="FF35">
        <v>0</v>
      </c>
      <c r="FG35" s="16">
        <v>44163</v>
      </c>
      <c r="FH35">
        <v>23766</v>
      </c>
      <c r="FI35">
        <v>0</v>
      </c>
      <c r="FJ35" s="16">
        <v>44164</v>
      </c>
      <c r="FK35">
        <v>24307</v>
      </c>
      <c r="FL35">
        <v>0</v>
      </c>
      <c r="FM35" s="16">
        <v>44165</v>
      </c>
      <c r="FN35">
        <v>24629</v>
      </c>
      <c r="FO35">
        <v>0</v>
      </c>
      <c r="FP35" s="16">
        <v>44166</v>
      </c>
      <c r="FQ35">
        <v>24912</v>
      </c>
      <c r="FR35">
        <v>0</v>
      </c>
      <c r="FS35" s="16">
        <v>44167</v>
      </c>
      <c r="FT35">
        <v>25462</v>
      </c>
      <c r="FU35">
        <v>0</v>
      </c>
      <c r="FV35" s="16">
        <v>44168</v>
      </c>
      <c r="FW35">
        <v>25882</v>
      </c>
      <c r="FX35">
        <v>0</v>
      </c>
      <c r="FY35" s="16">
        <v>44169</v>
      </c>
      <c r="FZ35">
        <v>26422</v>
      </c>
      <c r="GA35">
        <v>0</v>
      </c>
      <c r="GB35" s="16">
        <v>44170</v>
      </c>
      <c r="GC35">
        <v>26758</v>
      </c>
      <c r="GD35">
        <v>0</v>
      </c>
      <c r="GE35" s="16">
        <v>44171</v>
      </c>
      <c r="GF35">
        <v>27218</v>
      </c>
      <c r="GG35">
        <v>0</v>
      </c>
      <c r="GH35" s="16">
        <v>44172</v>
      </c>
      <c r="GI35">
        <v>27631</v>
      </c>
      <c r="GJ35">
        <v>0</v>
      </c>
      <c r="GK35" s="16">
        <v>44173</v>
      </c>
      <c r="GL35">
        <v>27881</v>
      </c>
      <c r="GM35">
        <v>0</v>
      </c>
      <c r="GN35" s="16">
        <v>44174</v>
      </c>
      <c r="GO35">
        <v>28242</v>
      </c>
      <c r="GP35">
        <v>0</v>
      </c>
      <c r="GQ35" s="16">
        <v>44175</v>
      </c>
      <c r="GR35">
        <v>28732</v>
      </c>
      <c r="GS35">
        <v>0</v>
      </c>
      <c r="GT35" s="16">
        <v>44176</v>
      </c>
      <c r="GU35">
        <v>29572</v>
      </c>
      <c r="GV35">
        <v>0</v>
      </c>
      <c r="GW35" s="16">
        <v>44177</v>
      </c>
      <c r="GX35">
        <v>30073</v>
      </c>
      <c r="GY35">
        <v>0</v>
      </c>
      <c r="GZ35" s="16">
        <v>44178</v>
      </c>
      <c r="HA35">
        <v>30450</v>
      </c>
      <c r="HB35">
        <v>0</v>
      </c>
      <c r="HC35" s="16">
        <v>44179</v>
      </c>
      <c r="HD35">
        <v>30810</v>
      </c>
      <c r="HE35">
        <v>0</v>
      </c>
      <c r="HF35" s="16">
        <v>44180</v>
      </c>
      <c r="HG35">
        <v>31110</v>
      </c>
      <c r="HH35">
        <v>0</v>
      </c>
      <c r="HI35" s="16">
        <v>44181</v>
      </c>
      <c r="HJ35">
        <v>31459</v>
      </c>
      <c r="HK35">
        <v>0</v>
      </c>
      <c r="HL35" s="16">
        <v>44182</v>
      </c>
      <c r="HM35">
        <v>31870</v>
      </c>
      <c r="HN35">
        <v>0</v>
      </c>
      <c r="HO35" s="16">
        <v>44183</v>
      </c>
      <c r="HP35">
        <v>32228</v>
      </c>
      <c r="HQ35">
        <v>0</v>
      </c>
      <c r="HR35" s="16">
        <v>44184</v>
      </c>
      <c r="HS35">
        <v>32582</v>
      </c>
      <c r="HT35">
        <v>0</v>
      </c>
      <c r="HU35" s="16">
        <v>44185</v>
      </c>
      <c r="HV35">
        <v>32853</v>
      </c>
      <c r="HW35">
        <v>0</v>
      </c>
      <c r="HX35" s="16">
        <v>44186</v>
      </c>
      <c r="HY35">
        <v>33162</v>
      </c>
      <c r="HZ35">
        <v>0</v>
      </c>
      <c r="IA35" s="16">
        <v>44187</v>
      </c>
      <c r="IB35">
        <v>33414</v>
      </c>
      <c r="IC35">
        <v>0</v>
      </c>
      <c r="ID35" s="16">
        <v>44188</v>
      </c>
      <c r="IE35">
        <v>33717</v>
      </c>
      <c r="IF35">
        <v>0</v>
      </c>
      <c r="IG35" s="16">
        <v>44189</v>
      </c>
      <c r="IH35">
        <v>34084</v>
      </c>
      <c r="II35">
        <v>0</v>
      </c>
      <c r="IJ35" s="16">
        <v>44190</v>
      </c>
      <c r="IK35">
        <v>34447</v>
      </c>
      <c r="IL35">
        <v>0</v>
      </c>
      <c r="IM35" s="16">
        <v>44191</v>
      </c>
      <c r="IN35">
        <v>34648</v>
      </c>
      <c r="IO35">
        <v>0</v>
      </c>
      <c r="IP35">
        <v>44192</v>
      </c>
      <c r="IQ35">
        <v>34821</v>
      </c>
      <c r="IR35">
        <v>0</v>
      </c>
      <c r="IS35">
        <v>44193</v>
      </c>
      <c r="IT35">
        <v>34977</v>
      </c>
      <c r="IU35">
        <v>0</v>
      </c>
      <c r="IV35">
        <v>44194</v>
      </c>
      <c r="IW35">
        <v>35137</v>
      </c>
      <c r="IX35">
        <v>0</v>
      </c>
      <c r="IY35">
        <v>44195</v>
      </c>
      <c r="IZ35">
        <v>35420</v>
      </c>
      <c r="JA35">
        <v>0</v>
      </c>
      <c r="JB35">
        <v>44199</v>
      </c>
      <c r="JC35">
        <v>35858</v>
      </c>
      <c r="JD35">
        <v>0</v>
      </c>
      <c r="JE35">
        <v>44203</v>
      </c>
      <c r="JF35">
        <v>36772</v>
      </c>
      <c r="JG35">
        <v>0</v>
      </c>
      <c r="JH35">
        <v>44204</v>
      </c>
      <c r="JI35">
        <v>37772</v>
      </c>
      <c r="JJ35">
        <v>0</v>
      </c>
      <c r="JK35">
        <v>44205</v>
      </c>
      <c r="JL35">
        <v>38068</v>
      </c>
      <c r="JM35">
        <v>0</v>
      </c>
      <c r="JN35">
        <v>44206</v>
      </c>
      <c r="JO35">
        <v>38392</v>
      </c>
      <c r="JP35">
        <v>0</v>
      </c>
      <c r="JQ35">
        <v>44208</v>
      </c>
      <c r="JR35">
        <v>38590</v>
      </c>
      <c r="JS35">
        <v>0</v>
      </c>
      <c r="JT35">
        <v>44208</v>
      </c>
      <c r="JU35">
        <v>38790</v>
      </c>
      <c r="JV35">
        <v>0</v>
      </c>
      <c r="JW35">
        <v>44210</v>
      </c>
      <c r="JX35">
        <v>39011</v>
      </c>
      <c r="JY35">
        <v>0</v>
      </c>
      <c r="JZ35">
        <v>44222</v>
      </c>
      <c r="KA35">
        <v>39593</v>
      </c>
      <c r="KB35">
        <v>0</v>
      </c>
      <c r="KC35">
        <v>44222</v>
      </c>
      <c r="KD35">
        <v>42772</v>
      </c>
      <c r="KE35">
        <v>0</v>
      </c>
      <c r="KF35">
        <v>44223</v>
      </c>
      <c r="KG35">
        <v>43120</v>
      </c>
      <c r="KH35">
        <v>0</v>
      </c>
      <c r="KI35">
        <v>44225</v>
      </c>
      <c r="KJ35">
        <v>43616</v>
      </c>
      <c r="KK35">
        <v>0</v>
      </c>
      <c r="KL35">
        <v>44226</v>
      </c>
      <c r="KM35">
        <v>44402</v>
      </c>
      <c r="KN35">
        <v>0</v>
      </c>
      <c r="KO35">
        <v>44230</v>
      </c>
      <c r="KP35">
        <v>44871</v>
      </c>
      <c r="KQ35">
        <v>0</v>
      </c>
      <c r="KR35">
        <v>44231</v>
      </c>
      <c r="KS35">
        <v>46049</v>
      </c>
      <c r="KT35">
        <v>0</v>
      </c>
      <c r="KU35">
        <v>44232</v>
      </c>
      <c r="KV35">
        <v>46493</v>
      </c>
      <c r="KW35">
        <v>0</v>
      </c>
      <c r="KX35">
        <v>44234</v>
      </c>
      <c r="KY35">
        <v>46894</v>
      </c>
      <c r="KZ35">
        <v>0</v>
      </c>
      <c r="LA35">
        <v>44235</v>
      </c>
      <c r="LB35">
        <v>47616</v>
      </c>
      <c r="LC35">
        <v>0</v>
      </c>
      <c r="LD35">
        <v>44236</v>
      </c>
      <c r="LE35">
        <v>47969</v>
      </c>
      <c r="LF35">
        <v>0</v>
      </c>
      <c r="LG35">
        <v>44238</v>
      </c>
      <c r="LH35">
        <v>48407</v>
      </c>
      <c r="LI35">
        <v>0</v>
      </c>
      <c r="LJ35">
        <v>44238</v>
      </c>
      <c r="LK35">
        <v>48807</v>
      </c>
      <c r="LL35">
        <v>0</v>
      </c>
      <c r="LM35">
        <v>44240</v>
      </c>
      <c r="LN35">
        <v>49165</v>
      </c>
      <c r="LO35">
        <v>0</v>
      </c>
      <c r="LP35">
        <v>44241</v>
      </c>
      <c r="LQ35">
        <v>50007</v>
      </c>
      <c r="LR35">
        <v>0</v>
      </c>
      <c r="LS35">
        <v>44242</v>
      </c>
      <c r="LT35">
        <v>50319</v>
      </c>
      <c r="LU35">
        <v>0</v>
      </c>
    </row>
    <row r="36" spans="1:523" s="24" customFormat="1">
      <c r="P36" s="24">
        <f>P35</f>
        <v>44242</v>
      </c>
      <c r="S36" s="24">
        <f>S35</f>
        <v>44113</v>
      </c>
      <c r="V36" s="24">
        <f>V35</f>
        <v>44114</v>
      </c>
      <c r="Y36" s="24">
        <f>Y35</f>
        <v>44115</v>
      </c>
      <c r="AB36" s="24">
        <f>AB35</f>
        <v>44116</v>
      </c>
      <c r="AE36" s="24">
        <f>AE35</f>
        <v>44117</v>
      </c>
      <c r="AH36" s="24">
        <f>AH35</f>
        <v>44118</v>
      </c>
      <c r="AK36" s="24">
        <f>AK35</f>
        <v>44119</v>
      </c>
      <c r="AN36" s="24">
        <f>AN35</f>
        <v>44120</v>
      </c>
      <c r="AQ36" s="24">
        <f>AQ35</f>
        <v>44121</v>
      </c>
      <c r="AT36" s="24">
        <f>AT35</f>
        <v>44122</v>
      </c>
      <c r="AW36" s="24">
        <f>AW35</f>
        <v>44123</v>
      </c>
      <c r="AZ36" s="24">
        <f>AZ35</f>
        <v>44124</v>
      </c>
      <c r="BC36" s="24">
        <f>BC35</f>
        <v>44125</v>
      </c>
      <c r="BF36" s="24">
        <f>BF35</f>
        <v>44126</v>
      </c>
      <c r="BI36" s="24">
        <f>BI35</f>
        <v>44127</v>
      </c>
      <c r="BL36" s="24">
        <f>BL35</f>
        <v>44128</v>
      </c>
      <c r="BO36" s="24">
        <f>BO35</f>
        <v>44129</v>
      </c>
      <c r="BR36" s="24">
        <f>BR35</f>
        <v>44130</v>
      </c>
      <c r="BU36" s="24">
        <f>BU35</f>
        <v>44132</v>
      </c>
      <c r="BX36" s="24">
        <f>BX35</f>
        <v>44133</v>
      </c>
      <c r="CA36" s="24">
        <f>CA35</f>
        <v>44134</v>
      </c>
      <c r="CD36" s="24">
        <f>CD35</f>
        <v>44135</v>
      </c>
      <c r="CG36" s="24">
        <f>CG35</f>
        <v>44136</v>
      </c>
      <c r="CJ36" s="24">
        <f>CJ35</f>
        <v>44137</v>
      </c>
      <c r="CM36" s="24">
        <f>CM35</f>
        <v>44138</v>
      </c>
      <c r="CP36" s="24">
        <f>CP35</f>
        <v>44139</v>
      </c>
      <c r="CS36" s="24">
        <f>CS35</f>
        <v>44140</v>
      </c>
      <c r="CV36" s="24">
        <f>CV35</f>
        <v>44141</v>
      </c>
      <c r="CY36" s="24">
        <f>CY35</f>
        <v>44143</v>
      </c>
      <c r="DB36" s="24">
        <f>DB35</f>
        <v>44144</v>
      </c>
      <c r="DE36" s="24">
        <f>DE35</f>
        <v>44145</v>
      </c>
      <c r="DH36" s="24">
        <f>DH35</f>
        <v>44146</v>
      </c>
      <c r="DK36" s="24">
        <f>DK35</f>
        <v>44147</v>
      </c>
      <c r="DN36" s="24">
        <f>DN35</f>
        <v>44148</v>
      </c>
      <c r="DQ36" s="24">
        <f>DQ35</f>
        <v>44149</v>
      </c>
      <c r="DT36" s="24">
        <f>DT35</f>
        <v>44150</v>
      </c>
      <c r="DW36" s="24">
        <f>DW35</f>
        <v>44151</v>
      </c>
      <c r="DZ36" s="24">
        <f>DZ35</f>
        <v>44152</v>
      </c>
      <c r="EC36" s="24">
        <f>EC35</f>
        <v>44153</v>
      </c>
      <c r="EF36" s="24">
        <f>EF35</f>
        <v>44154</v>
      </c>
      <c r="EI36" s="24">
        <f>EI35</f>
        <v>44155</v>
      </c>
      <c r="EL36" s="24">
        <f>EL35</f>
        <v>44156</v>
      </c>
      <c r="EO36" s="24">
        <f>EO35</f>
        <v>44157</v>
      </c>
      <c r="ER36" s="24">
        <f>ER35</f>
        <v>44158</v>
      </c>
      <c r="EU36" s="24">
        <f>EU35</f>
        <v>44159</v>
      </c>
      <c r="EX36" s="24">
        <f>EX35</f>
        <v>44160</v>
      </c>
      <c r="FA36" s="24">
        <f>FA35</f>
        <v>44161</v>
      </c>
      <c r="FD36" s="24">
        <f>FD35</f>
        <v>44162</v>
      </c>
      <c r="FG36" s="24">
        <f>FG35</f>
        <v>44163</v>
      </c>
      <c r="FJ36" s="24">
        <f>FJ35</f>
        <v>44164</v>
      </c>
      <c r="FM36" s="24">
        <f>FM35</f>
        <v>44165</v>
      </c>
      <c r="FP36" s="24">
        <f>FP35</f>
        <v>44166</v>
      </c>
      <c r="FS36" s="24">
        <f>FS35</f>
        <v>44167</v>
      </c>
      <c r="FV36" s="24">
        <f>FV35</f>
        <v>44168</v>
      </c>
      <c r="FY36" s="24">
        <f>FY35</f>
        <v>44169</v>
      </c>
      <c r="GB36" s="24">
        <f>GB35</f>
        <v>44170</v>
      </c>
      <c r="GE36" s="24">
        <f>GE35</f>
        <v>44171</v>
      </c>
      <c r="GH36" s="24">
        <f>GH35</f>
        <v>44172</v>
      </c>
      <c r="GK36" s="24">
        <f>GK35</f>
        <v>44173</v>
      </c>
      <c r="GN36" s="24">
        <f>GN35</f>
        <v>44174</v>
      </c>
      <c r="GQ36" s="24">
        <f>GQ35</f>
        <v>44175</v>
      </c>
      <c r="GT36" s="24">
        <f>GT35</f>
        <v>44176</v>
      </c>
      <c r="GW36" s="24">
        <f>GW35</f>
        <v>44177</v>
      </c>
      <c r="GZ36" s="24">
        <f>GZ35</f>
        <v>44178</v>
      </c>
      <c r="HC36" s="24">
        <f>HC35</f>
        <v>44179</v>
      </c>
      <c r="HF36" s="24">
        <f>HF35</f>
        <v>44180</v>
      </c>
      <c r="HI36" s="24">
        <f>HI35</f>
        <v>44181</v>
      </c>
      <c r="HL36" s="24">
        <f>HL35</f>
        <v>44182</v>
      </c>
      <c r="HO36" s="24">
        <f>HO35</f>
        <v>44183</v>
      </c>
      <c r="HR36" s="24">
        <f>HR35</f>
        <v>44184</v>
      </c>
      <c r="HU36" s="24">
        <f>HU35</f>
        <v>44185</v>
      </c>
      <c r="HX36" s="24">
        <f>HX35</f>
        <v>44186</v>
      </c>
      <c r="IA36" s="24">
        <f>IA35</f>
        <v>44187</v>
      </c>
      <c r="ID36" s="24">
        <f>ID35</f>
        <v>44188</v>
      </c>
      <c r="IG36" s="24">
        <f>IG35</f>
        <v>44189</v>
      </c>
      <c r="IJ36" s="24">
        <f>IJ35</f>
        <v>44190</v>
      </c>
      <c r="IM36" s="24">
        <f>IM35</f>
        <v>44191</v>
      </c>
      <c r="IP36" s="24">
        <f>IP35</f>
        <v>44192</v>
      </c>
      <c r="IS36" s="24">
        <f>IS35</f>
        <v>44193</v>
      </c>
      <c r="IV36" s="24">
        <f>IV35</f>
        <v>44194</v>
      </c>
      <c r="IY36" s="24">
        <f>IY35</f>
        <v>44195</v>
      </c>
      <c r="JB36" s="24">
        <f>JB35</f>
        <v>44199</v>
      </c>
      <c r="JE36" s="24">
        <f>JE35</f>
        <v>44203</v>
      </c>
      <c r="JH36" s="24">
        <f>JH35</f>
        <v>44204</v>
      </c>
      <c r="JK36" s="24">
        <f>JK35</f>
        <v>44205</v>
      </c>
      <c r="JN36" s="24">
        <f>JN35</f>
        <v>44206</v>
      </c>
      <c r="JQ36" s="24">
        <f>JQ35</f>
        <v>44208</v>
      </c>
      <c r="JT36" s="24">
        <f>JT35</f>
        <v>44208</v>
      </c>
      <c r="JW36" s="24">
        <f>JW35</f>
        <v>44210</v>
      </c>
      <c r="JZ36" s="24">
        <f>JZ35</f>
        <v>44222</v>
      </c>
      <c r="KC36" s="24">
        <f>KC35</f>
        <v>44222</v>
      </c>
      <c r="KF36" s="24">
        <f>KF35</f>
        <v>44223</v>
      </c>
      <c r="KI36" s="24">
        <f>KI35</f>
        <v>44225</v>
      </c>
      <c r="KL36" s="24">
        <f>KL35</f>
        <v>44226</v>
      </c>
      <c r="KO36" s="24">
        <f>KO35</f>
        <v>44230</v>
      </c>
      <c r="KR36" s="24">
        <f>KR35</f>
        <v>44231</v>
      </c>
      <c r="KU36" s="24">
        <f>KU35</f>
        <v>44232</v>
      </c>
      <c r="KX36" s="24">
        <f>KX35</f>
        <v>44234</v>
      </c>
      <c r="LA36" s="24">
        <f>LA35</f>
        <v>44235</v>
      </c>
      <c r="LD36" s="24">
        <f>LD35</f>
        <v>44236</v>
      </c>
      <c r="LG36" s="24">
        <f>LG35</f>
        <v>44238</v>
      </c>
      <c r="LJ36" s="24">
        <f>LJ35</f>
        <v>44238</v>
      </c>
      <c r="LM36" s="24">
        <f>LM35</f>
        <v>44240</v>
      </c>
      <c r="LP36" s="24">
        <f>LP35</f>
        <v>44241</v>
      </c>
      <c r="LS36" s="24">
        <f>LS35</f>
        <v>44242</v>
      </c>
      <c r="LV36" s="24">
        <f>LV35</f>
        <v>0</v>
      </c>
      <c r="LY36" s="24">
        <f>LY35</f>
        <v>0</v>
      </c>
      <c r="MB36" s="24">
        <f>MB35</f>
        <v>0</v>
      </c>
      <c r="ME36" s="24">
        <f>ME35</f>
        <v>0</v>
      </c>
      <c r="MH36" s="24">
        <f>MH35</f>
        <v>0</v>
      </c>
      <c r="MK36" s="24">
        <f>MK35</f>
        <v>0</v>
      </c>
      <c r="MN36" s="24">
        <f>MN35</f>
        <v>0</v>
      </c>
      <c r="MQ36" s="24">
        <f>MQ35</f>
        <v>0</v>
      </c>
      <c r="MT36" s="24">
        <f>MT35</f>
        <v>0</v>
      </c>
      <c r="MW36" s="24">
        <f>MW35</f>
        <v>0</v>
      </c>
      <c r="MZ36" s="24">
        <f>MZ35</f>
        <v>0</v>
      </c>
      <c r="NC36" s="24">
        <f>NC35</f>
        <v>0</v>
      </c>
      <c r="NF36" s="24">
        <f>NF35</f>
        <v>0</v>
      </c>
      <c r="NI36" s="24">
        <f>NI35</f>
        <v>0</v>
      </c>
      <c r="NL36" s="24">
        <f>NL35</f>
        <v>0</v>
      </c>
      <c r="NO36" s="24">
        <f>NO35</f>
        <v>0</v>
      </c>
      <c r="NR36" s="24">
        <f>NR35</f>
        <v>0</v>
      </c>
      <c r="NU36" s="24">
        <f>NU35</f>
        <v>0</v>
      </c>
      <c r="NX36" s="24">
        <f>NX35</f>
        <v>0</v>
      </c>
      <c r="OA36" s="24">
        <f>OA35</f>
        <v>0</v>
      </c>
      <c r="OD36" s="24">
        <f>OD35</f>
        <v>0</v>
      </c>
      <c r="OG36" s="24">
        <f>OG35</f>
        <v>0</v>
      </c>
      <c r="OJ36" s="24">
        <f>OJ35</f>
        <v>0</v>
      </c>
      <c r="OM36" s="24">
        <f>OM35</f>
        <v>0</v>
      </c>
      <c r="OP36" s="24">
        <f>OP35</f>
        <v>0</v>
      </c>
      <c r="OS36" s="24">
        <f>OS35</f>
        <v>0</v>
      </c>
      <c r="OV36" s="24">
        <f>OV35</f>
        <v>0</v>
      </c>
      <c r="OY36" s="24">
        <f>OY35</f>
        <v>0</v>
      </c>
      <c r="PB36" s="24">
        <f>PB35</f>
        <v>0</v>
      </c>
      <c r="PE36" s="24">
        <f>PE35</f>
        <v>0</v>
      </c>
      <c r="PH36" s="24">
        <f>PH35</f>
        <v>0</v>
      </c>
      <c r="PK36" s="24">
        <f>PK35</f>
        <v>0</v>
      </c>
      <c r="PN36" s="24">
        <f>PN35</f>
        <v>0</v>
      </c>
      <c r="PQ36" s="24">
        <f>PQ35</f>
        <v>0</v>
      </c>
      <c r="PT36" s="24">
        <f>PT35</f>
        <v>0</v>
      </c>
      <c r="PW36" s="24">
        <f>PW35</f>
        <v>0</v>
      </c>
      <c r="PZ36" s="24">
        <f>PZ35</f>
        <v>0</v>
      </c>
      <c r="QC36" s="24">
        <f>QC35</f>
        <v>0</v>
      </c>
      <c r="QF36" s="24">
        <f>QF35</f>
        <v>0</v>
      </c>
      <c r="QI36" s="24">
        <f>QI35</f>
        <v>0</v>
      </c>
      <c r="QL36" s="24">
        <f>QL35</f>
        <v>0</v>
      </c>
      <c r="QO36" s="24">
        <f>QO35</f>
        <v>0</v>
      </c>
      <c r="QR36" s="24">
        <f>QR35</f>
        <v>0</v>
      </c>
      <c r="QU36" s="24">
        <f>QU35</f>
        <v>0</v>
      </c>
      <c r="QX36" s="24">
        <f>QX35</f>
        <v>0</v>
      </c>
      <c r="RA36" s="24">
        <f>RA35</f>
        <v>0</v>
      </c>
      <c r="RD36" s="24">
        <f>RD35</f>
        <v>0</v>
      </c>
      <c r="RG36" s="24">
        <f>RG35</f>
        <v>0</v>
      </c>
      <c r="RJ36" s="24">
        <f>RJ35</f>
        <v>0</v>
      </c>
      <c r="RM36" s="24">
        <f>RM35</f>
        <v>0</v>
      </c>
      <c r="RP36" s="24">
        <f>RP35</f>
        <v>0</v>
      </c>
      <c r="RS36" s="24">
        <f>RS35</f>
        <v>0</v>
      </c>
      <c r="RV36" s="24">
        <f>RV35</f>
        <v>0</v>
      </c>
      <c r="RY36" s="24">
        <f>RY35</f>
        <v>0</v>
      </c>
      <c r="SB36" s="24">
        <f>SB35</f>
        <v>0</v>
      </c>
      <c r="SE36" s="24">
        <f>SE35</f>
        <v>0</v>
      </c>
      <c r="SH36" s="24">
        <f>SH35</f>
        <v>0</v>
      </c>
      <c r="SK36" s="24">
        <f>SK35</f>
        <v>0</v>
      </c>
      <c r="SN36" s="24">
        <f>SN35</f>
        <v>0</v>
      </c>
      <c r="SQ36" s="24">
        <f>SQ35</f>
        <v>0</v>
      </c>
      <c r="ST36" s="24">
        <f>ST35</f>
        <v>0</v>
      </c>
      <c r="SW36" s="24">
        <f>SW35</f>
        <v>0</v>
      </c>
      <c r="SZ36" s="24">
        <f>SZ35</f>
        <v>0</v>
      </c>
      <c r="TC36" s="24">
        <f>TC35</f>
        <v>0</v>
      </c>
    </row>
    <row r="37" spans="1:523" s="25" customFormat="1">
      <c r="A37" s="25">
        <v>1</v>
      </c>
      <c r="B37" s="25">
        <v>2</v>
      </c>
      <c r="C37" s="25">
        <v>3</v>
      </c>
      <c r="D37" s="25">
        <v>4</v>
      </c>
      <c r="E37" s="25">
        <v>5</v>
      </c>
      <c r="F37" s="25">
        <v>6</v>
      </c>
      <c r="G37" s="25">
        <v>7</v>
      </c>
      <c r="H37" s="25">
        <v>8</v>
      </c>
      <c r="I37" s="25">
        <v>9</v>
      </c>
      <c r="J37" s="25">
        <v>10</v>
      </c>
      <c r="K37" s="25">
        <v>11</v>
      </c>
      <c r="L37" s="25">
        <v>12</v>
      </c>
      <c r="N37" s="25" t="s">
        <v>353</v>
      </c>
      <c r="P37" s="25">
        <f ca="1">C35-N35</f>
        <v>343</v>
      </c>
      <c r="R37" s="25" t="s">
        <v>354</v>
      </c>
      <c r="S37" s="25">
        <f>W35-T35</f>
        <v>235</v>
      </c>
      <c r="U37" s="24"/>
      <c r="V37" s="25">
        <f>Z35-W35</f>
        <v>269</v>
      </c>
      <c r="X37" s="24"/>
      <c r="Y37" s="25">
        <f>AC35-Z35</f>
        <v>149</v>
      </c>
      <c r="AA37" s="24"/>
      <c r="AB37" s="26">
        <f>AF35-AC35</f>
        <v>214</v>
      </c>
      <c r="AD37" s="24"/>
      <c r="AE37" s="25">
        <f>AI35-AF35</f>
        <v>287</v>
      </c>
      <c r="AG37" s="24"/>
      <c r="AH37" s="25">
        <f>AL35-AI35</f>
        <v>204</v>
      </c>
      <c r="AJ37" s="24"/>
      <c r="AK37" s="25">
        <f>AO35-AL35</f>
        <v>241</v>
      </c>
      <c r="AM37" s="24"/>
      <c r="AN37" s="25">
        <f>AR35-AO35</f>
        <v>189</v>
      </c>
      <c r="AP37" s="24"/>
      <c r="AQ37" s="25">
        <f>AU35-AR35</f>
        <v>160</v>
      </c>
      <c r="AS37" s="24"/>
      <c r="AT37" s="25">
        <f>AX35-AU35</f>
        <v>131</v>
      </c>
      <c r="AV37" s="24"/>
      <c r="AW37" s="26">
        <f>BA35-AX35</f>
        <v>131</v>
      </c>
      <c r="AY37" s="24"/>
      <c r="AZ37" s="25">
        <f>BD35-BA35</f>
        <v>294</v>
      </c>
      <c r="BB37" s="24"/>
      <c r="BC37" s="25">
        <f>BG35-BD35</f>
        <v>222</v>
      </c>
      <c r="BF37" s="25">
        <f>BJ35-BG35</f>
        <v>184</v>
      </c>
      <c r="BH37" s="24"/>
      <c r="BI37" s="25">
        <f>BM35-BJ35</f>
        <v>219</v>
      </c>
      <c r="BK37" s="24"/>
      <c r="BL37" s="25">
        <f>BP35-BM35</f>
        <v>178</v>
      </c>
      <c r="BO37" s="25">
        <f>BS35-BP35</f>
        <v>196</v>
      </c>
      <c r="BR37" s="25">
        <f>BV35-BS35</f>
        <v>122</v>
      </c>
      <c r="BU37" s="25">
        <f>BY35-BV35</f>
        <v>408</v>
      </c>
      <c r="BX37" s="25">
        <f>CB35-BY35</f>
        <v>188</v>
      </c>
      <c r="CA37" s="25">
        <f>CE35-CB35</f>
        <v>344</v>
      </c>
      <c r="CD37" s="25">
        <f>CH35-CE35</f>
        <v>203</v>
      </c>
      <c r="CG37" s="25">
        <f>CK35-CH35</f>
        <v>178</v>
      </c>
      <c r="CJ37" s="25">
        <f>CN35-CK35</f>
        <v>109</v>
      </c>
      <c r="CL37" s="24"/>
      <c r="CM37" s="25">
        <f>CQ35-CN35</f>
        <v>237</v>
      </c>
      <c r="CO37" s="24"/>
      <c r="CP37" s="25">
        <f>CT35-CQ35</f>
        <v>293</v>
      </c>
      <c r="CR37" s="24"/>
      <c r="CS37" s="26">
        <f>CW35-CT35</f>
        <v>189</v>
      </c>
      <c r="CU37" s="24"/>
      <c r="CV37" s="25">
        <f>CZ35-CW35</f>
        <v>266</v>
      </c>
      <c r="CX37" s="24"/>
      <c r="CY37" s="25">
        <f>DC35-CZ35</f>
        <v>412</v>
      </c>
      <c r="DA37" s="24"/>
      <c r="DB37" s="25">
        <f>DF35-DC35</f>
        <v>90</v>
      </c>
      <c r="DD37" s="24"/>
      <c r="DE37" s="25">
        <f>DI35-DF35</f>
        <v>220</v>
      </c>
      <c r="DG37" s="24"/>
      <c r="DH37" s="25">
        <f>DL35-DI35</f>
        <v>238</v>
      </c>
      <c r="DJ37" s="24"/>
      <c r="DK37" s="25">
        <f>DO35-DL35</f>
        <v>197</v>
      </c>
      <c r="DM37" s="24"/>
      <c r="DN37" s="26">
        <f>DR35-DO35</f>
        <v>316</v>
      </c>
      <c r="DP37" s="24"/>
      <c r="DQ37" s="25">
        <f>DU35-DR35</f>
        <v>244</v>
      </c>
      <c r="DS37" s="24"/>
      <c r="DT37" s="25">
        <f>DX35-DU35</f>
        <v>213</v>
      </c>
      <c r="DW37" s="25">
        <f>EA35-DX35</f>
        <v>104</v>
      </c>
      <c r="DY37" s="24"/>
      <c r="DZ37" s="25">
        <f>ED35-EA35</f>
        <v>228</v>
      </c>
      <c r="EB37" s="24"/>
      <c r="EC37" s="25">
        <f>EG35-ED35</f>
        <v>288</v>
      </c>
      <c r="EF37" s="25">
        <f>EJ35-EG35</f>
        <v>351</v>
      </c>
      <c r="EI37" s="25">
        <f>EM35-EJ35</f>
        <v>461</v>
      </c>
      <c r="EL37" s="25">
        <f>EP35-EM35</f>
        <v>469</v>
      </c>
      <c r="EO37" s="25">
        <f>ES35-EP35</f>
        <v>423</v>
      </c>
      <c r="ER37" s="25">
        <f>EV35-ES35</f>
        <v>297</v>
      </c>
      <c r="EU37" s="25">
        <f>EY35-EV35</f>
        <v>353</v>
      </c>
      <c r="EX37" s="25">
        <f>FB35-EY35</f>
        <v>363</v>
      </c>
      <c r="FA37" s="25">
        <f>FE35-FB35</f>
        <v>496</v>
      </c>
      <c r="FD37" s="25">
        <f>FH35-FE35</f>
        <v>618</v>
      </c>
      <c r="FG37" s="25">
        <f>FK35-FH35</f>
        <v>541</v>
      </c>
      <c r="FJ37" s="25">
        <f>FN35-FK35</f>
        <v>322</v>
      </c>
      <c r="FM37" s="25">
        <f>FQ35-FN35</f>
        <v>283</v>
      </c>
      <c r="FP37" s="25">
        <f>FT35-FQ35</f>
        <v>550</v>
      </c>
      <c r="FS37" s="25">
        <f>FW35-FT35</f>
        <v>420</v>
      </c>
      <c r="FV37" s="25">
        <f>FZ35-FW35</f>
        <v>540</v>
      </c>
      <c r="FY37" s="25">
        <f>GC35-FZ35</f>
        <v>336</v>
      </c>
      <c r="GB37" s="25">
        <f>GF35-GC35</f>
        <v>460</v>
      </c>
      <c r="GE37" s="25">
        <f>GI35-GF35</f>
        <v>413</v>
      </c>
      <c r="GH37" s="25">
        <f>GL35-GI35</f>
        <v>250</v>
      </c>
      <c r="GK37" s="25">
        <f>GO35-GL35</f>
        <v>361</v>
      </c>
      <c r="GN37" s="25">
        <f>GR35-GO35</f>
        <v>490</v>
      </c>
      <c r="GQ37" s="25">
        <f>GU35-GR35</f>
        <v>840</v>
      </c>
      <c r="GT37" s="25">
        <f>GX35-GU35</f>
        <v>501</v>
      </c>
      <c r="GW37" s="25">
        <f>HA35-GX35</f>
        <v>377</v>
      </c>
      <c r="GZ37" s="25">
        <f>HD35-HA35</f>
        <v>360</v>
      </c>
      <c r="HC37" s="25">
        <f>HG35-HD35</f>
        <v>300</v>
      </c>
      <c r="HF37" s="25">
        <f>HJ35-HG35</f>
        <v>349</v>
      </c>
      <c r="HI37" s="25">
        <f>HM35-HJ35</f>
        <v>411</v>
      </c>
      <c r="HL37" s="25">
        <f>HP35-HM35</f>
        <v>358</v>
      </c>
      <c r="HO37" s="25">
        <f>HS35-HP35</f>
        <v>354</v>
      </c>
      <c r="HR37" s="25">
        <f>HV35-HS35</f>
        <v>271</v>
      </c>
      <c r="HU37" s="25">
        <f>HY35-HV35</f>
        <v>309</v>
      </c>
      <c r="HX37" s="25">
        <f>IB35-HY35</f>
        <v>252</v>
      </c>
      <c r="IA37" s="25">
        <f>IE35-IB35</f>
        <v>303</v>
      </c>
      <c r="ID37" s="25">
        <f>IH35-IE35</f>
        <v>367</v>
      </c>
      <c r="IG37" s="25">
        <f>IK35-IH35</f>
        <v>363</v>
      </c>
      <c r="IJ37" s="25">
        <f>IN35-IK35</f>
        <v>201</v>
      </c>
      <c r="IM37" s="25">
        <f>IQ35-IN35</f>
        <v>173</v>
      </c>
      <c r="IP37" s="25">
        <f>IT35-IQ35</f>
        <v>156</v>
      </c>
      <c r="IS37" s="25">
        <f>IW35-IT35</f>
        <v>160</v>
      </c>
      <c r="IV37" s="25">
        <f>IZ35-IW35</f>
        <v>283</v>
      </c>
      <c r="IY37" s="25">
        <f>JC35-IZ35</f>
        <v>438</v>
      </c>
      <c r="JB37" s="25">
        <f>JF35-JC35</f>
        <v>914</v>
      </c>
      <c r="JE37" s="25">
        <f>JI35-JF35</f>
        <v>1000</v>
      </c>
      <c r="JH37" s="25">
        <f>JL35-JI35</f>
        <v>296</v>
      </c>
      <c r="JK37" s="25">
        <f>JO35-JL35</f>
        <v>324</v>
      </c>
      <c r="JM37" s="24"/>
      <c r="JN37" s="25">
        <f>JR35-JO35</f>
        <v>198</v>
      </c>
      <c r="JP37" s="24"/>
      <c r="JQ37" s="25">
        <f>JU35-JR35</f>
        <v>200</v>
      </c>
      <c r="JS37" s="24"/>
      <c r="JT37" s="26">
        <f>JX35-JU35</f>
        <v>221</v>
      </c>
      <c r="JV37" s="24"/>
      <c r="JW37" s="25">
        <f>KA35-JX35</f>
        <v>582</v>
      </c>
      <c r="JY37" s="24"/>
      <c r="JZ37" s="25">
        <f>KD35-KA35</f>
        <v>3179</v>
      </c>
      <c r="KB37" s="24"/>
      <c r="KC37" s="25">
        <f>KG35-KD35</f>
        <v>348</v>
      </c>
      <c r="KE37" s="24"/>
      <c r="KF37" s="25">
        <f>KJ35-KG35</f>
        <v>496</v>
      </c>
      <c r="KH37" s="24"/>
      <c r="KI37" s="25">
        <f>KM35-KJ35</f>
        <v>786</v>
      </c>
      <c r="KK37" s="24"/>
      <c r="KL37" s="25">
        <f>KP35-KM35</f>
        <v>469</v>
      </c>
      <c r="KN37" s="24"/>
      <c r="KO37" s="26">
        <f>KS35-KP35</f>
        <v>1178</v>
      </c>
      <c r="KQ37" s="24"/>
      <c r="KR37" s="25">
        <f>KV35-KS35</f>
        <v>444</v>
      </c>
      <c r="KT37" s="24"/>
      <c r="KU37" s="25">
        <f>KY35-KV35</f>
        <v>401</v>
      </c>
      <c r="KX37" s="25">
        <f>LB35-KY35</f>
        <v>722</v>
      </c>
      <c r="KZ37" s="24"/>
      <c r="LA37" s="25">
        <f>LE35-LB35</f>
        <v>353</v>
      </c>
      <c r="LC37" s="24"/>
      <c r="LD37" s="25">
        <f>LH35-LE35</f>
        <v>438</v>
      </c>
      <c r="LG37" s="25">
        <f>LK35-LH35</f>
        <v>400</v>
      </c>
      <c r="LJ37" s="25">
        <f>LN35-LK35</f>
        <v>358</v>
      </c>
      <c r="LM37" s="25">
        <f>LQ35-LN35</f>
        <v>842</v>
      </c>
      <c r="LP37" s="25">
        <f>LT35-LQ35</f>
        <v>312</v>
      </c>
      <c r="LS37" s="25">
        <f>LW35-LT35</f>
        <v>-50319</v>
      </c>
      <c r="LV37" s="25">
        <f>LZ35-LW35</f>
        <v>0</v>
      </c>
      <c r="LY37" s="25">
        <f>MC35-LZ35</f>
        <v>0</v>
      </c>
      <c r="MB37" s="25">
        <f>MF35-MC35</f>
        <v>0</v>
      </c>
      <c r="MD37" s="24"/>
      <c r="ME37" s="25">
        <f>MI35-MF35</f>
        <v>0</v>
      </c>
      <c r="MG37" s="24"/>
      <c r="MH37" s="25">
        <f>ML35-MI35</f>
        <v>0</v>
      </c>
      <c r="MJ37" s="24"/>
      <c r="MK37" s="26">
        <f>MO35-ML35</f>
        <v>0</v>
      </c>
      <c r="MM37" s="24"/>
      <c r="MN37" s="25">
        <f>MR35-MO35</f>
        <v>0</v>
      </c>
      <c r="MP37" s="24"/>
      <c r="MQ37" s="25">
        <f>MU35-MR35</f>
        <v>0</v>
      </c>
      <c r="MS37" s="24"/>
      <c r="MT37" s="25">
        <f>MX35-MU35</f>
        <v>0</v>
      </c>
      <c r="MV37" s="24"/>
      <c r="MW37" s="25">
        <f>NA35-MX35</f>
        <v>0</v>
      </c>
      <c r="MY37" s="24"/>
      <c r="MZ37" s="25">
        <f>ND35-NA35</f>
        <v>0</v>
      </c>
      <c r="NB37" s="24"/>
      <c r="NC37" s="25">
        <f>NG35-ND35</f>
        <v>0</v>
      </c>
      <c r="NE37" s="24"/>
      <c r="NF37" s="26">
        <f>NJ35-NG35</f>
        <v>0</v>
      </c>
      <c r="NH37" s="24"/>
      <c r="NI37" s="25">
        <f>NM35-NJ35</f>
        <v>0</v>
      </c>
      <c r="NK37" s="24"/>
      <c r="NL37" s="25">
        <f>NP35-NM35</f>
        <v>0</v>
      </c>
      <c r="NO37" s="25">
        <f>NS35-NP35</f>
        <v>0</v>
      </c>
      <c r="NQ37" s="24"/>
      <c r="NR37" s="25">
        <f>NV35-NS35</f>
        <v>0</v>
      </c>
      <c r="NT37" s="24"/>
      <c r="NU37" s="25">
        <f>NY35-NV35</f>
        <v>0</v>
      </c>
      <c r="NX37" s="25">
        <f>OB35-NY35</f>
        <v>0</v>
      </c>
      <c r="OA37" s="25">
        <f>OE35-OB35</f>
        <v>0</v>
      </c>
      <c r="OD37" s="25">
        <f>OH35-OE35</f>
        <v>0</v>
      </c>
      <c r="OG37" s="25">
        <f>OK35-OH35</f>
        <v>0</v>
      </c>
      <c r="OJ37" s="25">
        <f>ON35-OK35</f>
        <v>0</v>
      </c>
      <c r="OM37" s="25">
        <f>OQ35-ON35</f>
        <v>0</v>
      </c>
      <c r="OP37" s="25">
        <f>OT35-OQ35</f>
        <v>0</v>
      </c>
      <c r="OS37" s="25">
        <f>OW35-OT35</f>
        <v>0</v>
      </c>
      <c r="OV37" s="25">
        <f>OZ35-OW35</f>
        <v>0</v>
      </c>
      <c r="OY37" s="25">
        <f>PC35-OZ35</f>
        <v>0</v>
      </c>
      <c r="PB37" s="25">
        <f>PF35-PC35</f>
        <v>0</v>
      </c>
      <c r="PE37" s="25">
        <f>PI35-PF35</f>
        <v>0</v>
      </c>
      <c r="PH37" s="25">
        <f>PL35-PI35</f>
        <v>0</v>
      </c>
      <c r="PK37" s="25">
        <f>PO35-PL35</f>
        <v>0</v>
      </c>
      <c r="PN37" s="25">
        <f>PR35-PO35</f>
        <v>0</v>
      </c>
      <c r="PQ37" s="25">
        <f>PU35-PR35</f>
        <v>0</v>
      </c>
      <c r="PT37" s="25">
        <f>PX35-PU35</f>
        <v>0</v>
      </c>
      <c r="PW37" s="25">
        <f>QA35-PX35</f>
        <v>0</v>
      </c>
      <c r="PZ37" s="25">
        <f>QD35-QA35</f>
        <v>0</v>
      </c>
      <c r="QC37" s="25">
        <f>QG35-QD35</f>
        <v>0</v>
      </c>
      <c r="QF37" s="25">
        <f>QJ35-QG35</f>
        <v>0</v>
      </c>
      <c r="QI37" s="25">
        <f>QM35-QJ35</f>
        <v>0</v>
      </c>
      <c r="QL37" s="25">
        <f>QP35-QM35</f>
        <v>0</v>
      </c>
      <c r="QO37" s="25">
        <f>QS35-QP35</f>
        <v>0</v>
      </c>
      <c r="QR37" s="25">
        <f>QV35-QS35</f>
        <v>0</v>
      </c>
      <c r="QU37" s="25">
        <f>QY35-QV35</f>
        <v>0</v>
      </c>
      <c r="QX37" s="25">
        <f>RB35-QY35</f>
        <v>0</v>
      </c>
      <c r="RA37" s="25">
        <f>RE35-RB35</f>
        <v>0</v>
      </c>
      <c r="RD37" s="25">
        <f>RH35-RE35</f>
        <v>0</v>
      </c>
      <c r="RG37" s="25">
        <f>RK35-RH35</f>
        <v>0</v>
      </c>
      <c r="RJ37" s="25">
        <f>RN35-RK35</f>
        <v>0</v>
      </c>
      <c r="RM37" s="25">
        <f>RQ35-RN35</f>
        <v>0</v>
      </c>
      <c r="RP37" s="25">
        <f>RT35-RQ35</f>
        <v>0</v>
      </c>
      <c r="RS37" s="25">
        <f>RW35-RT35</f>
        <v>0</v>
      </c>
      <c r="RV37" s="25">
        <f>RZ35-RW35</f>
        <v>0</v>
      </c>
      <c r="RY37" s="25">
        <f>SC35-RZ35</f>
        <v>0</v>
      </c>
      <c r="SB37" s="25">
        <f>SF35-SC35</f>
        <v>0</v>
      </c>
      <c r="SE37" s="25">
        <f>SI35-SF35</f>
        <v>0</v>
      </c>
      <c r="SH37" s="25">
        <f>SL35-SI35</f>
        <v>0</v>
      </c>
      <c r="SK37" s="25">
        <f>SO35-SL35</f>
        <v>0</v>
      </c>
      <c r="SN37" s="25">
        <f>SR35-SO35</f>
        <v>0</v>
      </c>
      <c r="SQ37" s="25">
        <f>SU35-SR35</f>
        <v>0</v>
      </c>
      <c r="ST37" s="25">
        <f>SX35-SU35</f>
        <v>0</v>
      </c>
      <c r="SW37" s="25">
        <f>TA35-SX35</f>
        <v>0</v>
      </c>
      <c r="SZ37" s="25">
        <f>TD35-TA35</f>
        <v>0</v>
      </c>
      <c r="TC37" s="25">
        <f>TG35-TD35</f>
        <v>0</v>
      </c>
    </row>
    <row r="38" spans="1:523">
      <c r="N38" t="s">
        <v>360</v>
      </c>
      <c r="P38">
        <f ca="1">MAX(37:37)</f>
        <v>3179</v>
      </c>
      <c r="S38" s="16" t="str">
        <f>IF(WEEKDAY(S36,2)=1,"Mo","")</f>
        <v/>
      </c>
      <c r="V38" s="16" t="str">
        <f>IF(WEEKDAY(V36,2)=1,"Ma","")</f>
        <v/>
      </c>
      <c r="Y38" s="16" t="str">
        <f>IF(WEEKDAY(Y36,2)=1,"Ma","")</f>
        <v/>
      </c>
      <c r="AB38" s="16" t="str">
        <f>IF(WEEKDAY(AB36,2)=1,"Ma","")</f>
        <v>Ma</v>
      </c>
      <c r="DW38" s="16" t="str">
        <f>IF(WEEKDAY(DW36,2)=1,"Ma","")</f>
        <v>Ma</v>
      </c>
      <c r="DZ38" s="16" t="str">
        <f>IF(WEEKDAY(DZ36,2)=1,"Ma","")</f>
        <v/>
      </c>
      <c r="EC38" s="16" t="str">
        <f>IF(WEEKDAY(EC36,2)=1,"Ma","")</f>
        <v/>
      </c>
      <c r="EF38" s="16" t="str">
        <f>IF(WEEKDAY(EF36,2)=1,"Ma","")</f>
        <v/>
      </c>
      <c r="EI38" s="16" t="str">
        <f>IF(WEEKDAY(EI36,2)=1,"Ma","")</f>
        <v/>
      </c>
      <c r="EL38" s="16" t="str">
        <f>IF(WEEKDAY(EL36,2)=1,"Ma","")</f>
        <v/>
      </c>
      <c r="EO38" s="16" t="str">
        <f>IF(WEEKDAY(EO36,2)=1,"Ma","")</f>
        <v/>
      </c>
      <c r="ER38" s="27" t="str">
        <f>IF(WEEKDAY(ER36,2)=1,"Ma","")</f>
        <v>Ma</v>
      </c>
      <c r="EU38" s="16" t="str">
        <f>IF(WEEKDAY(EU36,2)=1,"Ma","")</f>
        <v/>
      </c>
      <c r="EX38" s="16" t="str">
        <f>IF(WEEKDAY(EX36,2)=1,"Ma","")</f>
        <v/>
      </c>
      <c r="FA38" s="16" t="str">
        <f>IF(WEEKDAY(FA36,2)=1,"Ma","")</f>
        <v/>
      </c>
      <c r="FD38" s="16" t="str">
        <f>IF(WEEKDAY(FD36,2)=1,"Ma","")</f>
        <v/>
      </c>
      <c r="FG38" s="16" t="str">
        <f>IF(WEEKDAY(FG36,2)=1,"Ma","")</f>
        <v/>
      </c>
      <c r="FJ38" s="16" t="str">
        <f>IF(WEEKDAY(FJ36,2)=1,"Ma","")</f>
        <v/>
      </c>
      <c r="FM38" s="16" t="str">
        <f>IF(WEEKDAY(FM36,2)=1,"Ma","")</f>
        <v>Ma</v>
      </c>
      <c r="FP38" s="16" t="str">
        <f>IF(WEEKDAY(FP36,2)=1,"Ma","")</f>
        <v/>
      </c>
      <c r="FS38" s="16" t="str">
        <f>IF(WEEKDAY(FS36,2)=1,"Ma","")</f>
        <v/>
      </c>
      <c r="FV38" s="16" t="str">
        <f>IF(WEEKDAY(FV36,2)=1,"Ma","")</f>
        <v/>
      </c>
      <c r="FY38" s="16" t="str">
        <f>IF(WEEKDAY(FY36,2)=1,"Ma","")</f>
        <v/>
      </c>
      <c r="GB38" s="27" t="str">
        <f>IF(WEEKDAY(GB36,2)=1,"Ma","")</f>
        <v/>
      </c>
      <c r="GE38" s="16" t="str">
        <f>IF(WEEKDAY(GE36,2)=1,"Ma","")</f>
        <v/>
      </c>
      <c r="GH38" s="16" t="str">
        <f>IF(WEEKDAY(GH36,2)=1,"Ma","")</f>
        <v>Ma</v>
      </c>
      <c r="GK38" s="16" t="str">
        <f>IF(WEEKDAY(GK36,2)=1,"Ma","")</f>
        <v/>
      </c>
      <c r="GN38" s="16" t="str">
        <f>IF(WEEKDAY(GN36,2)=1,"Ma","")</f>
        <v/>
      </c>
      <c r="GQ38" s="16" t="str">
        <f>IF(WEEKDAY(GQ36,2)=1,"Ma","")</f>
        <v/>
      </c>
      <c r="GT38" s="16" t="str">
        <f>IF(WEEKDAY(GT36,2)=1,"Ma","")</f>
        <v/>
      </c>
      <c r="GW38" s="16" t="str">
        <f>IF(WEEKDAY(GW36,2)=1,"Ma","")</f>
        <v/>
      </c>
      <c r="GZ38" s="16" t="str">
        <f>IF(WEEKDAY(GZ36,2)=1,"Ma","")</f>
        <v/>
      </c>
      <c r="HC38" s="16" t="str">
        <f>IF(WEEKDAY(HC36,2)=1,"Ma","")</f>
        <v>Ma</v>
      </c>
      <c r="HF38" s="16" t="str">
        <f>IF(WEEKDAY(HF36,2)=1,"Ma","")</f>
        <v/>
      </c>
      <c r="HI38" s="16" t="str">
        <f>IF(WEEKDAY(HI36,2)=1,"Ma","")</f>
        <v/>
      </c>
      <c r="HL38" s="16" t="str">
        <f>IF(WEEKDAY(HL36,2)=1,"Ma","")</f>
        <v/>
      </c>
      <c r="HO38" s="16" t="str">
        <f>IF(WEEKDAY(HO36,2)=1,"Ma","")</f>
        <v/>
      </c>
      <c r="HR38" s="27" t="str">
        <f>IF(WEEKDAY(HR36,2)=1,"Ma","")</f>
        <v/>
      </c>
      <c r="HU38" s="16" t="str">
        <f>IF(WEEKDAY(HU36,2)=1,"Ma","")</f>
        <v/>
      </c>
      <c r="HX38" s="16" t="str">
        <f>IF(WEEKDAY(HX36,2)=1,"Ma","")</f>
        <v>Ma</v>
      </c>
      <c r="IA38" s="16" t="str">
        <f>IF(WEEKDAY(IA36,2)=1,"Ma","")</f>
        <v/>
      </c>
      <c r="ID38" s="16" t="str">
        <f>IF(WEEKDAY(ID36,2)=1,"Ma","")</f>
        <v/>
      </c>
      <c r="IG38" s="16" t="str">
        <f>IF(WEEKDAY(IG36,2)=1,"Ma","")</f>
        <v/>
      </c>
      <c r="IJ38" s="16" t="str">
        <f>IF(WEEKDAY(IJ36,2)=1,"Ma","")</f>
        <v/>
      </c>
      <c r="IM38" s="16" t="str">
        <f>IF(WEEKDAY(IM36,2)=1,"Ma","")</f>
        <v/>
      </c>
      <c r="IP38" s="16" t="str">
        <f>IF(WEEKDAY(IP36,2)=1,"Ma","")</f>
        <v/>
      </c>
      <c r="IS38" s="16" t="str">
        <f>IF(WEEKDAY(IS36,2)=1,"Ma","")</f>
        <v>Ma</v>
      </c>
      <c r="IV38" s="16" t="str">
        <f>IF(WEEKDAY(IV36,2)=1,"Ma","")</f>
        <v/>
      </c>
      <c r="IY38" s="16" t="str">
        <f>IF(WEEKDAY(IY36,2)=1,"Ma","")</f>
        <v/>
      </c>
      <c r="JB38" s="16" t="str">
        <f>IF(WEEKDAY(JB36,2)=1,"Ma","")</f>
        <v/>
      </c>
      <c r="JE38" s="16" t="str">
        <f>IF(WEEKDAY(JE36,2)=1,"Ma","")</f>
        <v/>
      </c>
      <c r="JH38" s="16" t="str">
        <f>IF(WEEKDAY(JH36,2)=1,"Ma","")</f>
        <v/>
      </c>
      <c r="JK38" s="16" t="str">
        <f>IF(WEEKDAY(JK36,2)=1,"Mo","")</f>
        <v/>
      </c>
      <c r="JN38" s="16" t="str">
        <f>IF(WEEKDAY(JN36,2)=1,"Ma","")</f>
        <v/>
      </c>
      <c r="JQ38" s="16" t="str">
        <f>IF(WEEKDAY(JQ36,2)=1,"Ma","")</f>
        <v/>
      </c>
      <c r="JT38" s="16" t="str">
        <f>IF(WEEKDAY(JT36,2)=1,"Ma","")</f>
        <v/>
      </c>
      <c r="JW38" s="16" t="str">
        <f>IF(WEEKDAY(JW36,2)=1,"Ma","")</f>
        <v/>
      </c>
      <c r="JZ38" s="16" t="str">
        <f>IF(WEEKDAY(JZ36,2)=1,"Ma","")</f>
        <v/>
      </c>
      <c r="KC38" s="16" t="str">
        <f>IF(WEEKDAY(KC36,2)=1,"Ma","")</f>
        <v/>
      </c>
      <c r="KF38" s="16" t="str">
        <f>IF(WEEKDAY(KF36,2)=1,"Ma","")</f>
        <v/>
      </c>
      <c r="KI38" s="16" t="str">
        <f>IF(WEEKDAY(KI36,2)=1,"Ma","")</f>
        <v/>
      </c>
      <c r="KL38" s="16" t="str">
        <f>IF(WEEKDAY(KL36,2)=1,"Ma","")</f>
        <v/>
      </c>
      <c r="KO38" s="16" t="str">
        <f>IF(WEEKDAY(KO36,2)=1,"Ma","")</f>
        <v/>
      </c>
      <c r="KR38" s="16" t="str">
        <f>IF(WEEKDAY(KR36,2)=1,"Ma","")</f>
        <v/>
      </c>
      <c r="KU38" s="16" t="str">
        <f>IF(WEEKDAY(KU36,2)=1,"Ma","")</f>
        <v/>
      </c>
      <c r="KX38" s="16" t="str">
        <f>IF(WEEKDAY(KX36,2)=1,"Ma","")</f>
        <v/>
      </c>
      <c r="LA38" s="16" t="str">
        <f>IF(WEEKDAY(LA36,2)=1,"Ma","")</f>
        <v>Ma</v>
      </c>
      <c r="LD38" s="16" t="str">
        <f>IF(WEEKDAY(LD36,2)=1,"Ma","")</f>
        <v/>
      </c>
      <c r="LG38" s="16" t="str">
        <f>IF(WEEKDAY(LG36,2)=1,"Ma","")</f>
        <v/>
      </c>
      <c r="LJ38" s="16" t="str">
        <f>IF(WEEKDAY(LJ36,2)=1,"Ma","")</f>
        <v/>
      </c>
      <c r="LM38" s="16"/>
      <c r="LP38" s="16"/>
      <c r="LS38" s="16"/>
      <c r="LV38" s="16"/>
      <c r="LY38" s="16"/>
      <c r="MB38" s="16"/>
      <c r="NO38" s="16" t="str">
        <f>IF(WEEKDAY(NO36,2)=1,"Ma","")</f>
        <v/>
      </c>
      <c r="NR38" s="16" t="str">
        <f>IF(WEEKDAY(NR36,2)=1,"Ma","")</f>
        <v/>
      </c>
      <c r="NU38" s="16" t="str">
        <f>IF(WEEKDAY(NU36,2)=1,"Ma","")</f>
        <v/>
      </c>
      <c r="NX38" s="16" t="str">
        <f>IF(WEEKDAY(NX36,2)=1,"Ma","")</f>
        <v/>
      </c>
      <c r="OA38" s="16" t="str">
        <f>IF(WEEKDAY(OA36,2)=1,"Ma","")</f>
        <v/>
      </c>
      <c r="OD38" s="16" t="str">
        <f>IF(WEEKDAY(OD36,2)=1,"Ma","")</f>
        <v/>
      </c>
      <c r="OG38" s="16" t="str">
        <f>IF(WEEKDAY(OG36,2)=1,"Ma","")</f>
        <v/>
      </c>
      <c r="OJ38" s="27" t="str">
        <f>IF(WEEKDAY(OJ36,2)=1,"Ma","")</f>
        <v/>
      </c>
      <c r="OM38" s="16" t="str">
        <f>IF(WEEKDAY(OM36,2)=1,"Ma","")</f>
        <v/>
      </c>
      <c r="OP38" s="16" t="str">
        <f>IF(WEEKDAY(OP36,2)=1,"Ma","")</f>
        <v/>
      </c>
      <c r="OS38" s="16" t="str">
        <f>IF(WEEKDAY(OS36,2)=1,"Ma","")</f>
        <v/>
      </c>
      <c r="OV38" s="16" t="str">
        <f>IF(WEEKDAY(OV36,2)=1,"Ma","")</f>
        <v/>
      </c>
      <c r="OY38" s="16" t="str">
        <f>IF(WEEKDAY(OY36,2)=1,"Ma","")</f>
        <v/>
      </c>
      <c r="PB38" s="16" t="str">
        <f>IF(WEEKDAY(PB36,2)=1,"Ma","")</f>
        <v/>
      </c>
      <c r="PE38" s="16" t="str">
        <f>IF(WEEKDAY(PE36,2)=1,"Ma","")</f>
        <v/>
      </c>
      <c r="PH38" s="16" t="str">
        <f>IF(WEEKDAY(PH36,2)=1,"Ma","")</f>
        <v/>
      </c>
      <c r="PK38" s="16" t="str">
        <f>IF(WEEKDAY(PK36,2)=1,"Ma","")</f>
        <v/>
      </c>
      <c r="PN38" s="16" t="str">
        <f>IF(WEEKDAY(PN36,2)=1,"Ma","")</f>
        <v/>
      </c>
      <c r="PQ38" s="16" t="str">
        <f>IF(WEEKDAY(PQ36,2)=1,"Ma","")</f>
        <v/>
      </c>
      <c r="PT38" s="27" t="str">
        <f>IF(WEEKDAY(PT36,2)=1,"Ma","")</f>
        <v/>
      </c>
      <c r="PW38" s="16" t="str">
        <f>IF(WEEKDAY(PW36,2)=1,"Ma","")</f>
        <v/>
      </c>
      <c r="PZ38" s="16" t="str">
        <f>IF(WEEKDAY(PZ36,2)=1,"Ma","")</f>
        <v/>
      </c>
      <c r="QC38" s="16" t="str">
        <f>IF(WEEKDAY(QC36,2)=1,"Ma","")</f>
        <v/>
      </c>
      <c r="QF38" s="16" t="str">
        <f>IF(WEEKDAY(QF36,2)=1,"Ma","")</f>
        <v/>
      </c>
      <c r="QI38" s="16" t="str">
        <f>IF(WEEKDAY(QI36,2)=1,"Ma","")</f>
        <v/>
      </c>
      <c r="QL38" s="16" t="str">
        <f>IF(WEEKDAY(QL36,2)=1,"Ma","")</f>
        <v/>
      </c>
      <c r="QO38" s="16" t="str">
        <f>IF(WEEKDAY(QO36,2)=1,"Ma","")</f>
        <v/>
      </c>
      <c r="QR38" s="16" t="str">
        <f>IF(WEEKDAY(QR36,2)=1,"Ma","")</f>
        <v/>
      </c>
      <c r="QU38" s="16" t="str">
        <f>IF(WEEKDAY(QU36,2)=1,"Ma","")</f>
        <v/>
      </c>
      <c r="QX38" s="16" t="str">
        <f>IF(WEEKDAY(QX36,2)=1,"Ma","")</f>
        <v/>
      </c>
      <c r="RA38" s="16" t="str">
        <f>IF(WEEKDAY(RA36,2)=1,"Ma","")</f>
        <v/>
      </c>
      <c r="RD38" s="16" t="str">
        <f>IF(WEEKDAY(RD36,2)=1,"Ma","")</f>
        <v/>
      </c>
      <c r="RG38" s="16" t="str">
        <f>IF(WEEKDAY(RG36,2)=1,"Ma","")</f>
        <v/>
      </c>
      <c r="RJ38" s="27" t="str">
        <f>IF(WEEKDAY(RJ36,2)=1,"Ma","")</f>
        <v/>
      </c>
      <c r="RM38" s="16" t="str">
        <f>IF(WEEKDAY(RM36,2)=1,"Ma","")</f>
        <v/>
      </c>
      <c r="RP38" s="16" t="str">
        <f>IF(WEEKDAY(RP36,2)=1,"Ma","")</f>
        <v/>
      </c>
      <c r="RS38" s="16" t="str">
        <f>IF(WEEKDAY(RS36,2)=1,"Ma","")</f>
        <v/>
      </c>
      <c r="RV38" s="16" t="str">
        <f>IF(WEEKDAY(RV36,2)=1,"Ma","")</f>
        <v/>
      </c>
      <c r="RY38" s="16" t="str">
        <f>IF(WEEKDAY(RY36,2)=1,"Ma","")</f>
        <v/>
      </c>
      <c r="SB38" s="16" t="str">
        <f>IF(WEEKDAY(SB36,2)=1,"Ma","")</f>
        <v/>
      </c>
      <c r="SE38" s="16" t="str">
        <f>IF(WEEKDAY(SE36,2)=1,"Ma","")</f>
        <v/>
      </c>
      <c r="SH38" s="16" t="str">
        <f>IF(WEEKDAY(SH36,2)=1,"Ma","")</f>
        <v/>
      </c>
      <c r="SK38" s="16" t="str">
        <f>IF(WEEKDAY(SK36,2)=1,"Ma","")</f>
        <v/>
      </c>
      <c r="SN38" s="16" t="str">
        <f>IF(WEEKDAY(SN36,2)=1,"Ma","")</f>
        <v/>
      </c>
      <c r="SQ38" s="16" t="str">
        <f>IF(WEEKDAY(SQ36,2)=1,"Ma","")</f>
        <v/>
      </c>
      <c r="ST38" s="16" t="str">
        <f>IF(WEEKDAY(ST36,2)=1,"Ma","")</f>
        <v/>
      </c>
      <c r="SW38" s="16" t="str">
        <f>IF(WEEKDAY(SW36,2)=1,"Ma","")</f>
        <v/>
      </c>
      <c r="SZ38" s="16" t="str">
        <f>IF(WEEKDAY(SZ36,2)=1,"Ma","")</f>
        <v/>
      </c>
      <c r="TC38" s="16" t="str">
        <f>IF(WEEKDAY(TC36,2)=1,"Ma","")</f>
        <v/>
      </c>
    </row>
    <row r="39" spans="1:523">
      <c r="P39" s="20"/>
      <c r="S39" s="20"/>
    </row>
    <row r="40" spans="1:523">
      <c r="B40" s="21">
        <f>P36</f>
        <v>44242</v>
      </c>
      <c r="C40">
        <f ca="1">HLOOKUP(B40,$36:$37,2,FALSE)</f>
        <v>343</v>
      </c>
      <c r="D40" s="16"/>
      <c r="G40" s="16"/>
      <c r="J40" s="16"/>
      <c r="K40"/>
    </row>
    <row r="41" spans="1:523">
      <c r="B41" s="21">
        <f>B40-7</f>
        <v>44235</v>
      </c>
      <c r="C41">
        <f t="shared" ref="C41:C47" si="6">HLOOKUP(B41,$36:$37,2,FALSE)</f>
        <v>353</v>
      </c>
      <c r="D41" s="16"/>
      <c r="G41" s="16"/>
      <c r="J41" s="16"/>
      <c r="K41"/>
    </row>
    <row r="42" spans="1:523">
      <c r="B42" s="21">
        <f t="shared" ref="B42:B47" si="7">B41-7</f>
        <v>44228</v>
      </c>
      <c r="C42" t="e">
        <f t="shared" si="6"/>
        <v>#N/A</v>
      </c>
      <c r="D42" s="16"/>
      <c r="G42" s="16"/>
      <c r="J42" s="16"/>
      <c r="K42"/>
    </row>
    <row r="43" spans="1:523">
      <c r="B43" s="21">
        <f t="shared" si="7"/>
        <v>44221</v>
      </c>
      <c r="C43" t="e">
        <f t="shared" si="6"/>
        <v>#N/A</v>
      </c>
      <c r="D43" s="16"/>
      <c r="G43" s="16"/>
      <c r="J43" s="16"/>
      <c r="K43"/>
    </row>
    <row r="44" spans="1:523">
      <c r="B44" s="21">
        <f t="shared" si="7"/>
        <v>44214</v>
      </c>
      <c r="C44" t="e">
        <f t="shared" si="6"/>
        <v>#N/A</v>
      </c>
      <c r="D44" s="16"/>
      <c r="G44" s="16"/>
      <c r="J44" s="16"/>
      <c r="K44"/>
    </row>
    <row r="45" spans="1:523">
      <c r="B45" s="21">
        <f t="shared" si="7"/>
        <v>44207</v>
      </c>
      <c r="C45" t="e">
        <f t="shared" si="6"/>
        <v>#N/A</v>
      </c>
      <c r="D45" s="16"/>
      <c r="G45" s="16"/>
      <c r="J45" s="16"/>
      <c r="K45"/>
    </row>
    <row r="46" spans="1:523">
      <c r="B46" s="21">
        <f t="shared" si="7"/>
        <v>44200</v>
      </c>
      <c r="C46" t="e">
        <f t="shared" si="6"/>
        <v>#N/A</v>
      </c>
      <c r="D46" s="16"/>
      <c r="G46" s="16"/>
      <c r="J46" s="16"/>
      <c r="K46"/>
    </row>
    <row r="47" spans="1:523">
      <c r="B47" s="21">
        <f t="shared" si="7"/>
        <v>44193</v>
      </c>
      <c r="C47">
        <f t="shared" si="6"/>
        <v>160</v>
      </c>
      <c r="D47" s="16"/>
      <c r="G47" s="16"/>
      <c r="J47" s="16"/>
      <c r="K47"/>
    </row>
    <row r="48" spans="1:523">
      <c r="B48" s="16"/>
      <c r="D48" s="16"/>
      <c r="G48" s="16"/>
      <c r="J48" s="16"/>
      <c r="K48"/>
    </row>
    <row r="49" spans="2:33">
      <c r="B49" s="13" t="s">
        <v>7</v>
      </c>
      <c r="D49" s="16"/>
      <c r="F49" s="13" t="s">
        <v>7</v>
      </c>
      <c r="H49" s="16"/>
      <c r="J49" t="s">
        <v>7</v>
      </c>
      <c r="K49"/>
      <c r="L49" s="16"/>
      <c r="M49"/>
      <c r="N49" t="s">
        <v>7</v>
      </c>
      <c r="R49" t="s">
        <v>7</v>
      </c>
      <c r="S49"/>
      <c r="T49" s="16"/>
      <c r="V49" t="s">
        <v>7</v>
      </c>
      <c r="X49" s="16"/>
      <c r="Y49"/>
      <c r="Z49" t="s">
        <v>7</v>
      </c>
      <c r="AD49" t="s">
        <v>7</v>
      </c>
      <c r="AE49"/>
      <c r="AF49" s="16"/>
    </row>
    <row r="50" spans="2:33">
      <c r="B50" s="13">
        <f>(B40-4)+15/24</f>
        <v>44238.625</v>
      </c>
      <c r="C50">
        <f>DMAX(_xlnm.Database,"n",B49:B50)</f>
        <v>343</v>
      </c>
      <c r="D50" s="21">
        <f>B50</f>
        <v>44238.625</v>
      </c>
      <c r="E50">
        <f>C50</f>
        <v>343</v>
      </c>
      <c r="F50" s="13">
        <f>B50-1</f>
        <v>44237.625</v>
      </c>
      <c r="G50">
        <f>DMAX(_xlnm.Database,"n",F49:F50)</f>
        <v>383</v>
      </c>
      <c r="H50" s="21">
        <f>F50</f>
        <v>44237.625</v>
      </c>
      <c r="I50">
        <f>G50</f>
        <v>383</v>
      </c>
      <c r="J50" s="13">
        <f>F50-1</f>
        <v>44236.625</v>
      </c>
      <c r="K50">
        <f>DMAX(_xlnm.Database,"n",J49:J50)</f>
        <v>367</v>
      </c>
      <c r="L50" s="21">
        <f>J50</f>
        <v>44236.625</v>
      </c>
      <c r="M50">
        <f>K50</f>
        <v>367</v>
      </c>
      <c r="N50" s="22">
        <f>J50-1</f>
        <v>44235.625</v>
      </c>
      <c r="O50">
        <f>DMAX(_xlnm.Database,"n",N49:N50)</f>
        <v>458</v>
      </c>
      <c r="P50" s="21">
        <f>N50</f>
        <v>44235.625</v>
      </c>
      <c r="Q50">
        <f>O50</f>
        <v>458</v>
      </c>
      <c r="R50" s="22">
        <f>N50-1</f>
        <v>44234.625</v>
      </c>
      <c r="S50">
        <f>DMAX(_xlnm.Database,"n",R49:R50)</f>
        <v>262</v>
      </c>
      <c r="T50" s="21">
        <f>R50</f>
        <v>44234.625</v>
      </c>
      <c r="U50">
        <f>S50</f>
        <v>262</v>
      </c>
      <c r="V50" s="22">
        <f>R50-1</f>
        <v>44233.625</v>
      </c>
      <c r="W50">
        <f>DMAX(_xlnm.Database,"n",V49:V50)</f>
        <v>240</v>
      </c>
      <c r="X50" s="21">
        <f>V50</f>
        <v>44233.625</v>
      </c>
      <c r="Y50">
        <f>W50</f>
        <v>240</v>
      </c>
      <c r="Z50" s="22">
        <f>V50-1</f>
        <v>44232.625</v>
      </c>
      <c r="AA50">
        <f>DMAX(_xlnm.Database,"n",Z49:Z50)</f>
        <v>365</v>
      </c>
      <c r="AB50" s="21">
        <f>Z50</f>
        <v>44232.625</v>
      </c>
      <c r="AC50">
        <f>AA50</f>
        <v>365</v>
      </c>
      <c r="AD50" s="22">
        <f>Z50-1</f>
        <v>44231.625</v>
      </c>
      <c r="AE50">
        <f>DMAX(_xlnm.Database,"n",AD49:AD50)</f>
        <v>369</v>
      </c>
      <c r="AF50" s="21">
        <f>AD50</f>
        <v>44231.625</v>
      </c>
      <c r="AG50">
        <f>AE50</f>
        <v>369</v>
      </c>
    </row>
    <row r="51" spans="2:33">
      <c r="B51" s="13" t="s">
        <v>7</v>
      </c>
      <c r="D51" s="16">
        <f>D50-7</f>
        <v>44231.625</v>
      </c>
      <c r="E51">
        <f>C52</f>
        <v>369</v>
      </c>
      <c r="F51" s="13" t="s">
        <v>7</v>
      </c>
      <c r="H51" s="16">
        <f>H50-7</f>
        <v>44230.625</v>
      </c>
      <c r="I51">
        <f>G52</f>
        <v>437</v>
      </c>
      <c r="J51" s="13" t="s">
        <v>7</v>
      </c>
      <c r="K51"/>
      <c r="L51" s="16">
        <f>L50-7</f>
        <v>44229.625</v>
      </c>
      <c r="M51">
        <f>K52</f>
        <v>395</v>
      </c>
      <c r="N51" t="s">
        <v>7</v>
      </c>
      <c r="P51" s="16">
        <f>P50-7</f>
        <v>44228.625</v>
      </c>
      <c r="Q51">
        <f>O52</f>
        <v>531</v>
      </c>
      <c r="R51" t="s">
        <v>7</v>
      </c>
      <c r="S51"/>
      <c r="T51" s="16">
        <f>T50-7</f>
        <v>44227.625</v>
      </c>
      <c r="U51">
        <f>S52</f>
        <v>272</v>
      </c>
      <c r="V51" t="s">
        <v>7</v>
      </c>
      <c r="X51" s="16">
        <f>X50-7</f>
        <v>44226.625</v>
      </c>
      <c r="Y51">
        <f>W52</f>
        <v>232</v>
      </c>
      <c r="Z51" t="s">
        <v>7</v>
      </c>
      <c r="AB51" s="16">
        <f>AB50-7</f>
        <v>44225.625</v>
      </c>
      <c r="AC51">
        <f>AA52</f>
        <v>375</v>
      </c>
      <c r="AD51" t="s">
        <v>7</v>
      </c>
      <c r="AE51"/>
      <c r="AF51" s="16">
        <f>AF50-7</f>
        <v>44224.625</v>
      </c>
      <c r="AG51">
        <f>AE52</f>
        <v>435</v>
      </c>
    </row>
    <row r="52" spans="2:33">
      <c r="B52" s="13">
        <f>B50-7</f>
        <v>44231.625</v>
      </c>
      <c r="C52">
        <f>DMAX(_xlnm.Database,"n",B51:B52)</f>
        <v>369</v>
      </c>
      <c r="D52" s="16">
        <f t="shared" ref="D52:D59" si="8">D51-7</f>
        <v>44224.625</v>
      </c>
      <c r="E52">
        <f>C54</f>
        <v>435</v>
      </c>
      <c r="F52" s="13">
        <f>F50-7</f>
        <v>44230.625</v>
      </c>
      <c r="G52">
        <f>DMAX(_xlnm.Database,"n",F51:F52)</f>
        <v>437</v>
      </c>
      <c r="H52" s="16">
        <f t="shared" ref="H52:H59" si="9">H51-7</f>
        <v>44223.625</v>
      </c>
      <c r="I52">
        <f>G54</f>
        <v>383</v>
      </c>
      <c r="J52" s="13">
        <f>J50-7</f>
        <v>44229.625</v>
      </c>
      <c r="K52">
        <f>DMAX(_xlnm.Database,"n",J51:J52)</f>
        <v>395</v>
      </c>
      <c r="L52" s="16">
        <f t="shared" ref="L52:L59" si="10">L51-7</f>
        <v>44222.625</v>
      </c>
      <c r="M52">
        <f>K54</f>
        <v>399</v>
      </c>
      <c r="N52" s="22">
        <f>N50-7</f>
        <v>44228.625</v>
      </c>
      <c r="O52">
        <f>DMAX(_xlnm.Database,"n",N51:N52)</f>
        <v>531</v>
      </c>
      <c r="P52" s="16">
        <f t="shared" ref="P52:P59" si="11">P51-7</f>
        <v>44221.625</v>
      </c>
      <c r="Q52">
        <f>O54</f>
        <v>604</v>
      </c>
      <c r="R52" s="22">
        <f>R50-7</f>
        <v>44227.625</v>
      </c>
      <c r="S52">
        <f>DMAX(_xlnm.Database,"n",R51:R52)</f>
        <v>272</v>
      </c>
      <c r="T52" s="16">
        <f t="shared" ref="T52:T59" si="12">T51-7</f>
        <v>44220.625</v>
      </c>
      <c r="U52">
        <f>S54</f>
        <v>244</v>
      </c>
      <c r="V52" s="22">
        <f>V50-7</f>
        <v>44226.625</v>
      </c>
      <c r="W52">
        <f>DMAX(_xlnm.Database,"n",V51:V52)</f>
        <v>232</v>
      </c>
      <c r="X52" s="16">
        <f t="shared" ref="X52:X59" si="13">X51-7</f>
        <v>44219.625</v>
      </c>
      <c r="Y52">
        <f>W54</f>
        <v>168</v>
      </c>
      <c r="Z52" s="22">
        <f>Z50-7</f>
        <v>44225.625</v>
      </c>
      <c r="AA52">
        <f>DMAX(_xlnm.Database,"n",Z51:Z52)</f>
        <v>375</v>
      </c>
      <c r="AB52" s="16">
        <f t="shared" ref="AB52:AB59" si="14">AB51-7</f>
        <v>44218.625</v>
      </c>
      <c r="AC52">
        <f>AA54</f>
        <v>360</v>
      </c>
      <c r="AD52" s="22">
        <f>AD50-7</f>
        <v>44224.625</v>
      </c>
      <c r="AE52">
        <f>DMAX(_xlnm.Database,"n",AD51:AD52)</f>
        <v>435</v>
      </c>
      <c r="AF52" s="16">
        <f t="shared" ref="AF52:AF59" si="15">AF51-7</f>
        <v>44217.625</v>
      </c>
      <c r="AG52">
        <f>AE54</f>
        <v>376</v>
      </c>
    </row>
    <row r="53" spans="2:33">
      <c r="B53" s="13" t="s">
        <v>7</v>
      </c>
      <c r="D53" s="16">
        <f t="shared" si="8"/>
        <v>44217.625</v>
      </c>
      <c r="E53">
        <f>C56</f>
        <v>376</v>
      </c>
      <c r="F53" s="13" t="s">
        <v>7</v>
      </c>
      <c r="H53" s="16">
        <f t="shared" si="9"/>
        <v>44216.625</v>
      </c>
      <c r="I53">
        <f>G56</f>
        <v>406</v>
      </c>
      <c r="J53" s="13" t="s">
        <v>7</v>
      </c>
      <c r="K53"/>
      <c r="L53" s="16">
        <f t="shared" si="10"/>
        <v>44215.625</v>
      </c>
      <c r="M53">
        <f>K56</f>
        <v>342</v>
      </c>
      <c r="N53" t="s">
        <v>7</v>
      </c>
      <c r="P53" s="16">
        <f t="shared" si="11"/>
        <v>44214.625</v>
      </c>
      <c r="Q53">
        <f>O56</f>
        <v>447</v>
      </c>
      <c r="R53" t="s">
        <v>7</v>
      </c>
      <c r="S53"/>
      <c r="T53" s="16">
        <f t="shared" si="12"/>
        <v>44213.625</v>
      </c>
      <c r="U53">
        <f>S56</f>
        <v>195</v>
      </c>
      <c r="V53" t="s">
        <v>7</v>
      </c>
      <c r="X53" s="16">
        <f t="shared" si="13"/>
        <v>44212.625</v>
      </c>
      <c r="Y53">
        <f>W56</f>
        <v>168</v>
      </c>
      <c r="Z53" t="s">
        <v>7</v>
      </c>
      <c r="AB53" s="16">
        <f t="shared" si="14"/>
        <v>44211.625</v>
      </c>
      <c r="AC53">
        <f>AA56</f>
        <v>266</v>
      </c>
      <c r="AD53" t="s">
        <v>7</v>
      </c>
      <c r="AE53"/>
      <c r="AF53" s="16">
        <f t="shared" si="15"/>
        <v>44210.625</v>
      </c>
      <c r="AG53">
        <f>AE56</f>
        <v>249</v>
      </c>
    </row>
    <row r="54" spans="2:33">
      <c r="B54" s="13">
        <f>B52-7</f>
        <v>44224.625</v>
      </c>
      <c r="C54">
        <f>DMAX(_xlnm.Database,"n",B53:B54)</f>
        <v>435</v>
      </c>
      <c r="D54" s="16">
        <f t="shared" si="8"/>
        <v>44210.625</v>
      </c>
      <c r="E54">
        <f>C58</f>
        <v>249</v>
      </c>
      <c r="F54" s="13">
        <f>F52-7</f>
        <v>44223.625</v>
      </c>
      <c r="G54">
        <f>DMAX(_xlnm.Database,"n",F53:F54)</f>
        <v>383</v>
      </c>
      <c r="H54" s="16">
        <f t="shared" si="9"/>
        <v>44209.625</v>
      </c>
      <c r="I54">
        <f>G58</f>
        <v>258</v>
      </c>
      <c r="J54" s="13">
        <f>J52-7</f>
        <v>44222.625</v>
      </c>
      <c r="K54">
        <f>DMAX(_xlnm.Database,"n",J53:J54)</f>
        <v>399</v>
      </c>
      <c r="L54" s="16">
        <f t="shared" si="10"/>
        <v>44208.625</v>
      </c>
      <c r="M54">
        <f>K58</f>
        <v>229</v>
      </c>
      <c r="N54" s="22">
        <f>N52-7</f>
        <v>44221.625</v>
      </c>
      <c r="O54">
        <f>DMAX(_xlnm.Database,"n",N53:N54)</f>
        <v>604</v>
      </c>
      <c r="P54" s="16">
        <f t="shared" si="11"/>
        <v>44207.625</v>
      </c>
      <c r="Q54">
        <f>O58</f>
        <v>384</v>
      </c>
      <c r="R54" s="22">
        <f>R52-7</f>
        <v>44220.625</v>
      </c>
      <c r="S54">
        <f>DMAX(_xlnm.Database,"n",R53:R54)</f>
        <v>244</v>
      </c>
      <c r="T54" s="16">
        <f t="shared" si="12"/>
        <v>44206.625</v>
      </c>
      <c r="U54">
        <f>S58</f>
        <v>186</v>
      </c>
      <c r="V54" s="22">
        <f>V52-7</f>
        <v>44219.625</v>
      </c>
      <c r="W54">
        <f>DMAX(_xlnm.Database,"n",V53:V54)</f>
        <v>168</v>
      </c>
      <c r="X54" s="16">
        <f t="shared" si="13"/>
        <v>44205.625</v>
      </c>
      <c r="Y54">
        <f>W58</f>
        <v>194</v>
      </c>
      <c r="Z54" s="22">
        <f>Z52-7</f>
        <v>44218.625</v>
      </c>
      <c r="AA54">
        <f>DMAX(_xlnm.Database,"n",Z53:Z54)</f>
        <v>360</v>
      </c>
      <c r="AB54" s="16">
        <f t="shared" si="14"/>
        <v>44204.625</v>
      </c>
      <c r="AC54">
        <f>AA58</f>
        <v>251</v>
      </c>
      <c r="AD54" s="22">
        <f>AD52-7</f>
        <v>44217.625</v>
      </c>
      <c r="AE54">
        <f>DMAX(_xlnm.Database,"n",AD53:AD54)</f>
        <v>376</v>
      </c>
      <c r="AF54" s="16">
        <f t="shared" si="15"/>
        <v>44203.625</v>
      </c>
      <c r="AG54">
        <f>AE58</f>
        <v>331</v>
      </c>
    </row>
    <row r="55" spans="2:33">
      <c r="B55" s="13" t="s">
        <v>7</v>
      </c>
      <c r="D55" s="16">
        <f t="shared" si="8"/>
        <v>44203.625</v>
      </c>
      <c r="E55">
        <f>C60</f>
        <v>331</v>
      </c>
      <c r="F55" s="13" t="s">
        <v>7</v>
      </c>
      <c r="H55" s="16">
        <f t="shared" si="9"/>
        <v>44202.625</v>
      </c>
      <c r="I55">
        <f>G60</f>
        <v>209</v>
      </c>
      <c r="J55" s="13" t="s">
        <v>7</v>
      </c>
      <c r="K55"/>
      <c r="L55" s="16">
        <f t="shared" si="10"/>
        <v>44201.625</v>
      </c>
      <c r="M55">
        <f>K60</f>
        <v>262</v>
      </c>
      <c r="N55" t="s">
        <v>7</v>
      </c>
      <c r="P55" s="16">
        <f t="shared" si="11"/>
        <v>44200.625</v>
      </c>
      <c r="Q55">
        <f>O60</f>
        <v>398</v>
      </c>
      <c r="R55" t="s">
        <v>7</v>
      </c>
      <c r="S55"/>
      <c r="T55" s="16">
        <f t="shared" si="12"/>
        <v>44199.625</v>
      </c>
      <c r="U55">
        <f>S60</f>
        <v>169</v>
      </c>
      <c r="V55" t="s">
        <v>7</v>
      </c>
      <c r="X55" s="16">
        <f t="shared" si="13"/>
        <v>44198.625</v>
      </c>
      <c r="Y55">
        <f>W60</f>
        <v>206</v>
      </c>
      <c r="Z55" t="s">
        <v>7</v>
      </c>
      <c r="AB55" s="16">
        <f t="shared" si="14"/>
        <v>44197.625</v>
      </c>
      <c r="AC55">
        <f>AA60</f>
        <v>129</v>
      </c>
      <c r="AD55" t="s">
        <v>7</v>
      </c>
      <c r="AE55"/>
      <c r="AF55" s="16">
        <f t="shared" si="15"/>
        <v>44196.625</v>
      </c>
      <c r="AG55">
        <f>AE60</f>
        <v>253</v>
      </c>
    </row>
    <row r="56" spans="2:33">
      <c r="B56" s="13">
        <f>B54-7</f>
        <v>44217.625</v>
      </c>
      <c r="C56">
        <f>DMAX(_xlnm.Database,"n",B55:B56)</f>
        <v>376</v>
      </c>
      <c r="D56" s="16">
        <f t="shared" si="8"/>
        <v>44196.625</v>
      </c>
      <c r="E56">
        <f>C62</f>
        <v>253</v>
      </c>
      <c r="F56" s="13">
        <f>F54-7</f>
        <v>44216.625</v>
      </c>
      <c r="G56">
        <f>DMAX(_xlnm.Database,"n",F55:F56)</f>
        <v>406</v>
      </c>
      <c r="H56" s="16">
        <f t="shared" si="9"/>
        <v>44195.625</v>
      </c>
      <c r="I56">
        <f>G62</f>
        <v>256</v>
      </c>
      <c r="J56" s="13">
        <f>J54-7</f>
        <v>44215.625</v>
      </c>
      <c r="K56">
        <f>DMAX(_xlnm.Database,"n",J55:J56)</f>
        <v>342</v>
      </c>
      <c r="L56" s="16">
        <f t="shared" si="10"/>
        <v>44194.625</v>
      </c>
      <c r="M56">
        <f>K62</f>
        <v>307</v>
      </c>
      <c r="N56" s="22">
        <f>N54-7</f>
        <v>44214.625</v>
      </c>
      <c r="O56">
        <f>DMAX(_xlnm.Database,"n",N55:N56)</f>
        <v>447</v>
      </c>
      <c r="P56" s="16">
        <f t="shared" si="11"/>
        <v>44193.625</v>
      </c>
      <c r="Q56">
        <f>O62</f>
        <v>437</v>
      </c>
      <c r="R56" s="22">
        <f>R54-7</f>
        <v>44213.625</v>
      </c>
      <c r="S56">
        <f>DMAX(_xlnm.Database,"n",R55:R56)</f>
        <v>195</v>
      </c>
      <c r="T56" s="16">
        <f t="shared" si="12"/>
        <v>44192.625</v>
      </c>
      <c r="U56">
        <f>S62</f>
        <v>191</v>
      </c>
      <c r="V56" s="22">
        <f>V54-7</f>
        <v>44212.625</v>
      </c>
      <c r="W56">
        <f>DMAX(_xlnm.Database,"n",V55:V56)</f>
        <v>168</v>
      </c>
      <c r="X56" s="16">
        <f t="shared" si="13"/>
        <v>44191.625</v>
      </c>
      <c r="Y56">
        <f>W62</f>
        <v>183</v>
      </c>
      <c r="Z56" s="22">
        <f>Z54-7</f>
        <v>44211.625</v>
      </c>
      <c r="AA56">
        <f>DMAX(_xlnm.Database,"n",Z55:Z56)</f>
        <v>266</v>
      </c>
      <c r="AB56" s="16">
        <f t="shared" si="14"/>
        <v>44190.625</v>
      </c>
      <c r="AC56">
        <f>AA62</f>
        <v>157</v>
      </c>
      <c r="AD56" s="22">
        <f>AD54-7</f>
        <v>44210.625</v>
      </c>
      <c r="AE56">
        <f>DMAX(_xlnm.Database,"n",AD55:AD56)</f>
        <v>249</v>
      </c>
      <c r="AF56" s="16">
        <f t="shared" si="15"/>
        <v>44189.625</v>
      </c>
      <c r="AG56">
        <f>AE62</f>
        <v>138</v>
      </c>
    </row>
    <row r="57" spans="2:33">
      <c r="B57" s="13" t="s">
        <v>7</v>
      </c>
      <c r="D57" s="16">
        <f t="shared" si="8"/>
        <v>44189.625</v>
      </c>
      <c r="E57">
        <f>C64</f>
        <v>138</v>
      </c>
      <c r="F57" s="13" t="s">
        <v>7</v>
      </c>
      <c r="H57" s="16">
        <f t="shared" si="9"/>
        <v>44188.625</v>
      </c>
      <c r="I57">
        <f>G64</f>
        <v>277</v>
      </c>
      <c r="J57" s="13" t="s">
        <v>7</v>
      </c>
      <c r="K57"/>
      <c r="L57" s="16">
        <f t="shared" si="10"/>
        <v>44187.625</v>
      </c>
      <c r="M57">
        <f>K64</f>
        <v>334</v>
      </c>
      <c r="N57" t="s">
        <v>7</v>
      </c>
      <c r="P57" s="16">
        <f t="shared" si="11"/>
        <v>44186.625</v>
      </c>
      <c r="Q57">
        <f>O64</f>
        <v>376</v>
      </c>
      <c r="R57" t="s">
        <v>7</v>
      </c>
      <c r="S57"/>
      <c r="T57" s="16">
        <f t="shared" si="12"/>
        <v>44185.625</v>
      </c>
      <c r="U57">
        <f>S64</f>
        <v>244</v>
      </c>
      <c r="V57" t="s">
        <v>7</v>
      </c>
      <c r="X57" s="16">
        <f t="shared" si="13"/>
        <v>44184.625</v>
      </c>
      <c r="Y57">
        <f>W64</f>
        <v>190</v>
      </c>
      <c r="Z57" t="s">
        <v>7</v>
      </c>
      <c r="AB57" s="16">
        <f t="shared" si="14"/>
        <v>44183.625</v>
      </c>
      <c r="AC57">
        <f>AA64</f>
        <v>393</v>
      </c>
      <c r="AD57" t="s">
        <v>7</v>
      </c>
      <c r="AE57"/>
      <c r="AF57" s="16">
        <f t="shared" si="15"/>
        <v>44182.625</v>
      </c>
      <c r="AG57">
        <f>AE64</f>
        <v>323</v>
      </c>
    </row>
    <row r="58" spans="2:33">
      <c r="B58" s="13">
        <f>B56-7</f>
        <v>44210.625</v>
      </c>
      <c r="C58">
        <f>DMAX(_xlnm.Database,"n",B57:B58)</f>
        <v>249</v>
      </c>
      <c r="D58" s="16">
        <f>D57-7</f>
        <v>44182.625</v>
      </c>
      <c r="E58">
        <f>C66</f>
        <v>323</v>
      </c>
      <c r="F58" s="13">
        <f>F56-7</f>
        <v>44209.625</v>
      </c>
      <c r="G58">
        <f>DMAX(_xlnm.Database,"n",F57:F58)</f>
        <v>258</v>
      </c>
      <c r="H58" s="16">
        <f>H57-7</f>
        <v>44181.625</v>
      </c>
      <c r="I58">
        <f>G66</f>
        <v>352</v>
      </c>
      <c r="J58" s="13">
        <f>J56-7</f>
        <v>44208.625</v>
      </c>
      <c r="K58">
        <f>DMAX(_xlnm.Database,"n",J57:J58)</f>
        <v>229</v>
      </c>
      <c r="L58" s="16">
        <f>L57-7</f>
        <v>44180.625</v>
      </c>
      <c r="M58">
        <f>K66</f>
        <v>359</v>
      </c>
      <c r="N58" s="22">
        <f>N56-7</f>
        <v>44207.625</v>
      </c>
      <c r="O58">
        <f>DMAX(_xlnm.Database,"n",N57:N58)</f>
        <v>384</v>
      </c>
      <c r="P58" s="16">
        <f>P57-7</f>
        <v>44179.625</v>
      </c>
      <c r="Q58">
        <f>O66</f>
        <v>463</v>
      </c>
      <c r="R58" s="22">
        <f>R56-7</f>
        <v>44206.625</v>
      </c>
      <c r="S58">
        <f>DMAX(_xlnm.Database,"n",R57:R58)</f>
        <v>186</v>
      </c>
      <c r="T58" s="16">
        <f>T57-7</f>
        <v>44178.625</v>
      </c>
      <c r="U58">
        <f>S66</f>
        <v>276</v>
      </c>
      <c r="V58" s="22">
        <f>V56-7</f>
        <v>44205.625</v>
      </c>
      <c r="W58">
        <f>DMAX(_xlnm.Database,"n",V57:V58)</f>
        <v>194</v>
      </c>
      <c r="X58" s="16">
        <f>X57-7</f>
        <v>44177.625</v>
      </c>
      <c r="Y58">
        <f>W66</f>
        <v>250</v>
      </c>
      <c r="Z58" s="22">
        <f>Z56-7</f>
        <v>44204.625</v>
      </c>
      <c r="AA58">
        <f>DMAX(_xlnm.Database,"n",Z57:Z58)</f>
        <v>251</v>
      </c>
      <c r="AB58" s="16">
        <f>AB57-7</f>
        <v>44176.625</v>
      </c>
      <c r="AC58">
        <f>AA66</f>
        <v>445</v>
      </c>
      <c r="AD58" s="22">
        <f>AD56-7</f>
        <v>44203.625</v>
      </c>
      <c r="AE58">
        <f>DMAX(_xlnm.Database,"n",AD57:AD58)</f>
        <v>331</v>
      </c>
      <c r="AF58" s="16">
        <f>AF57-7</f>
        <v>44175.625</v>
      </c>
      <c r="AG58">
        <f>AE66</f>
        <v>407</v>
      </c>
    </row>
    <row r="59" spans="2:33">
      <c r="B59" s="13" t="s">
        <v>7</v>
      </c>
      <c r="D59" s="16">
        <f t="shared" si="8"/>
        <v>44175.625</v>
      </c>
      <c r="E59">
        <f>C68</f>
        <v>407</v>
      </c>
      <c r="F59" s="13" t="s">
        <v>7</v>
      </c>
      <c r="H59" s="16">
        <f t="shared" si="9"/>
        <v>44174.625</v>
      </c>
      <c r="I59">
        <f>G68</f>
        <v>462</v>
      </c>
      <c r="J59" s="13" t="s">
        <v>7</v>
      </c>
      <c r="K59"/>
      <c r="L59" s="16">
        <f t="shared" si="10"/>
        <v>44173.625</v>
      </c>
      <c r="M59">
        <f>K68</f>
        <v>478</v>
      </c>
      <c r="N59" t="s">
        <v>7</v>
      </c>
      <c r="P59" s="16">
        <f t="shared" si="11"/>
        <v>44172.625</v>
      </c>
      <c r="Q59">
        <f>O68</f>
        <v>587</v>
      </c>
      <c r="R59" t="s">
        <v>7</v>
      </c>
      <c r="S59"/>
      <c r="T59" s="16">
        <f t="shared" si="12"/>
        <v>44171.625</v>
      </c>
      <c r="U59">
        <f>S68</f>
        <v>283</v>
      </c>
      <c r="V59" t="s">
        <v>7</v>
      </c>
      <c r="X59" s="16">
        <f t="shared" si="13"/>
        <v>44170.625</v>
      </c>
      <c r="Y59">
        <f>W68</f>
        <v>251</v>
      </c>
      <c r="Z59" t="s">
        <v>7</v>
      </c>
      <c r="AB59" s="16">
        <f t="shared" si="14"/>
        <v>44169.625</v>
      </c>
      <c r="AC59">
        <f>AA68</f>
        <v>472</v>
      </c>
      <c r="AD59" t="s">
        <v>7</v>
      </c>
      <c r="AE59"/>
      <c r="AF59" s="16">
        <f t="shared" si="15"/>
        <v>44168.625</v>
      </c>
      <c r="AG59">
        <f>AE68</f>
        <v>477</v>
      </c>
    </row>
    <row r="60" spans="2:33">
      <c r="B60" s="13">
        <f>B58-7</f>
        <v>44203.625</v>
      </c>
      <c r="C60">
        <f>DMAX(_xlnm.Database,"n",B59:B60)</f>
        <v>331</v>
      </c>
      <c r="D60" s="16"/>
      <c r="F60" s="13">
        <f>F58-7</f>
        <v>44202.625</v>
      </c>
      <c r="G60">
        <f>DMAX(_xlnm.Database,"n",F59:F60)</f>
        <v>209</v>
      </c>
      <c r="H60" s="16"/>
      <c r="J60" s="13">
        <f>J58-7</f>
        <v>44201.625</v>
      </c>
      <c r="K60">
        <f>DMAX(_xlnm.Database,"n",J59:J60)</f>
        <v>262</v>
      </c>
      <c r="L60" s="16"/>
      <c r="M60"/>
      <c r="N60" s="22">
        <f>N58-7</f>
        <v>44200.625</v>
      </c>
      <c r="O60">
        <f>DMAX(_xlnm.Database,"n",N59:N60)</f>
        <v>398</v>
      </c>
      <c r="R60" s="22">
        <f>R58-7</f>
        <v>44199.625</v>
      </c>
      <c r="S60">
        <f>DMAX(_xlnm.Database,"n",R59:R60)</f>
        <v>169</v>
      </c>
      <c r="T60" s="16"/>
      <c r="V60" s="22">
        <f>V58-7</f>
        <v>44198.625</v>
      </c>
      <c r="W60">
        <f>DMAX(_xlnm.Database,"n",V59:V60)</f>
        <v>206</v>
      </c>
      <c r="X60" s="16"/>
      <c r="Y60"/>
      <c r="Z60" s="22">
        <f>Z58-7</f>
        <v>44197.625</v>
      </c>
      <c r="AA60">
        <f>DMAX(_xlnm.Database,"n",Z59:Z60)</f>
        <v>129</v>
      </c>
      <c r="AD60" s="22">
        <f>AD58-7</f>
        <v>44196.625</v>
      </c>
      <c r="AE60">
        <f>DMAX(_xlnm.Database,"n",AD59:AD60)</f>
        <v>253</v>
      </c>
      <c r="AF60" s="16"/>
    </row>
    <row r="61" spans="2:33">
      <c r="B61" s="13" t="s">
        <v>7</v>
      </c>
      <c r="D61" s="16"/>
      <c r="F61" s="13" t="s">
        <v>7</v>
      </c>
      <c r="H61" s="16"/>
      <c r="J61" s="13" t="s">
        <v>7</v>
      </c>
      <c r="K61"/>
      <c r="L61" s="16"/>
      <c r="M61"/>
      <c r="N61" t="s">
        <v>7</v>
      </c>
      <c r="R61" t="s">
        <v>7</v>
      </c>
      <c r="S61"/>
      <c r="T61" s="16"/>
      <c r="V61" t="s">
        <v>7</v>
      </c>
      <c r="X61" s="16"/>
      <c r="Y61"/>
      <c r="Z61" t="s">
        <v>7</v>
      </c>
      <c r="AD61" t="s">
        <v>7</v>
      </c>
      <c r="AE61"/>
      <c r="AF61" s="16"/>
    </row>
    <row r="62" spans="2:33">
      <c r="B62" s="13">
        <f>B60-7</f>
        <v>44196.625</v>
      </c>
      <c r="C62">
        <f>DMAX(_xlnm.Database,"n",B61:B62)</f>
        <v>253</v>
      </c>
      <c r="D62" s="16"/>
      <c r="F62" s="13">
        <f>F60-7</f>
        <v>44195.625</v>
      </c>
      <c r="G62">
        <f>DMAX(_xlnm.Database,"n",F61:F62)</f>
        <v>256</v>
      </c>
      <c r="H62" s="16"/>
      <c r="J62" s="13">
        <f>J60-7</f>
        <v>44194.625</v>
      </c>
      <c r="K62">
        <f>DMAX(_xlnm.Database,"n",J61:J62)</f>
        <v>307</v>
      </c>
      <c r="L62" s="16"/>
      <c r="M62"/>
      <c r="N62" s="22">
        <f>N60-7</f>
        <v>44193.625</v>
      </c>
      <c r="O62">
        <f>DMAX(_xlnm.Database,"n",N61:N62)</f>
        <v>437</v>
      </c>
      <c r="R62" s="22">
        <f>R60-7</f>
        <v>44192.625</v>
      </c>
      <c r="S62">
        <f>DMAX(_xlnm.Database,"n",R61:R62)</f>
        <v>191</v>
      </c>
      <c r="T62" s="16"/>
      <c r="V62" s="22">
        <f>V60-7</f>
        <v>44191.625</v>
      </c>
      <c r="W62">
        <f>DMAX(_xlnm.Database,"n",V61:V62)</f>
        <v>183</v>
      </c>
      <c r="X62" s="16"/>
      <c r="Y62"/>
      <c r="Z62" s="22">
        <f>Z60-7</f>
        <v>44190.625</v>
      </c>
      <c r="AA62">
        <f>DMAX(_xlnm.Database,"n",Z61:Z62)</f>
        <v>157</v>
      </c>
      <c r="AD62" s="22">
        <f>AD60-7</f>
        <v>44189.625</v>
      </c>
      <c r="AE62">
        <f>DMAX(_xlnm.Database,"n",AD61:AD62)</f>
        <v>138</v>
      </c>
      <c r="AF62" s="16"/>
    </row>
    <row r="63" spans="2:33">
      <c r="B63" s="13" t="s">
        <v>7</v>
      </c>
      <c r="D63" s="16"/>
      <c r="F63" s="13" t="s">
        <v>7</v>
      </c>
      <c r="H63" s="16"/>
      <c r="J63" s="13" t="s">
        <v>7</v>
      </c>
      <c r="K63"/>
      <c r="L63" s="16"/>
      <c r="M63"/>
      <c r="N63" t="s">
        <v>7</v>
      </c>
      <c r="R63" t="s">
        <v>7</v>
      </c>
      <c r="S63"/>
      <c r="T63" s="16"/>
      <c r="V63" t="s">
        <v>7</v>
      </c>
      <c r="X63" s="16"/>
      <c r="Y63"/>
      <c r="Z63" t="s">
        <v>7</v>
      </c>
      <c r="AD63" t="s">
        <v>7</v>
      </c>
      <c r="AE63"/>
      <c r="AF63" s="16"/>
    </row>
    <row r="64" spans="2:33">
      <c r="B64" s="13">
        <f>B62-7</f>
        <v>44189.625</v>
      </c>
      <c r="C64">
        <f>DMAX(_xlnm.Database,"n",B63:B64)</f>
        <v>138</v>
      </c>
      <c r="D64" s="16"/>
      <c r="F64" s="13">
        <f>F62-7</f>
        <v>44188.625</v>
      </c>
      <c r="G64">
        <f>DMAX(_xlnm.Database,"n",F63:F64)</f>
        <v>277</v>
      </c>
      <c r="H64" s="16"/>
      <c r="J64" s="13">
        <f>J62-7</f>
        <v>44187.625</v>
      </c>
      <c r="K64">
        <f>DMAX(_xlnm.Database,"n",J63:J64)</f>
        <v>334</v>
      </c>
      <c r="L64" s="16"/>
      <c r="M64"/>
      <c r="N64" s="22">
        <f>N62-7</f>
        <v>44186.625</v>
      </c>
      <c r="O64">
        <f>DMAX(_xlnm.Database,"n",N63:N64)</f>
        <v>376</v>
      </c>
      <c r="R64" s="22">
        <f>R62-7</f>
        <v>44185.625</v>
      </c>
      <c r="S64">
        <f>DMAX(_xlnm.Database,"n",R63:R64)</f>
        <v>244</v>
      </c>
      <c r="T64" s="16"/>
      <c r="V64" s="22">
        <f>V62-7</f>
        <v>44184.625</v>
      </c>
      <c r="W64">
        <f>DMAX(_xlnm.Database,"n",V63:V64)</f>
        <v>190</v>
      </c>
      <c r="X64" s="16"/>
      <c r="Y64"/>
      <c r="Z64" s="22">
        <f>Z62-7</f>
        <v>44183.625</v>
      </c>
      <c r="AA64">
        <f>DMAX(_xlnm.Database,"n",Z63:Z64)</f>
        <v>393</v>
      </c>
      <c r="AD64" s="22">
        <f>AD62-7</f>
        <v>44182.625</v>
      </c>
      <c r="AE64">
        <f>DMAX(_xlnm.Database,"n",AD63:AD64)</f>
        <v>323</v>
      </c>
      <c r="AF64" s="16"/>
    </row>
    <row r="65" spans="2:32">
      <c r="B65" s="13" t="s">
        <v>7</v>
      </c>
      <c r="D65" s="16"/>
      <c r="F65" s="13" t="s">
        <v>7</v>
      </c>
      <c r="H65" s="16"/>
      <c r="J65" s="13" t="s">
        <v>7</v>
      </c>
      <c r="K65"/>
      <c r="L65" s="16"/>
      <c r="M65"/>
      <c r="N65" t="s">
        <v>7</v>
      </c>
      <c r="R65" t="s">
        <v>7</v>
      </c>
      <c r="S65"/>
      <c r="T65" s="16"/>
      <c r="V65" t="s">
        <v>7</v>
      </c>
      <c r="X65" s="16"/>
      <c r="Y65"/>
      <c r="Z65" t="s">
        <v>7</v>
      </c>
      <c r="AD65" t="s">
        <v>7</v>
      </c>
      <c r="AE65"/>
      <c r="AF65" s="16"/>
    </row>
    <row r="66" spans="2:32">
      <c r="B66" s="13">
        <f>B64-7</f>
        <v>44182.625</v>
      </c>
      <c r="C66">
        <f>DMAX(_xlnm.Database,"n",B65:B66)</f>
        <v>323</v>
      </c>
      <c r="D66" s="16"/>
      <c r="F66" s="13">
        <f>F64-7</f>
        <v>44181.625</v>
      </c>
      <c r="G66">
        <f>DMAX(_xlnm.Database,"n",F65:F66)</f>
        <v>352</v>
      </c>
      <c r="H66" s="16"/>
      <c r="J66" s="13">
        <f>J64-7</f>
        <v>44180.625</v>
      </c>
      <c r="K66">
        <f>DMAX(_xlnm.Database,"n",J65:J66)</f>
        <v>359</v>
      </c>
      <c r="L66" s="16"/>
      <c r="M66"/>
      <c r="N66" s="22">
        <f>N64-7</f>
        <v>44179.625</v>
      </c>
      <c r="O66">
        <f>DMAX(_xlnm.Database,"n",N65:N66)</f>
        <v>463</v>
      </c>
      <c r="R66" s="22">
        <f>R64-7</f>
        <v>44178.625</v>
      </c>
      <c r="S66">
        <f>DMAX(_xlnm.Database,"n",R65:R66)</f>
        <v>276</v>
      </c>
      <c r="T66" s="16"/>
      <c r="V66" s="22">
        <f>V64-7</f>
        <v>44177.625</v>
      </c>
      <c r="W66">
        <f>DMAX(_xlnm.Database,"n",V65:V66)</f>
        <v>250</v>
      </c>
      <c r="X66" s="16"/>
      <c r="Y66"/>
      <c r="Z66" s="22">
        <f>Z64-7</f>
        <v>44176.625</v>
      </c>
      <c r="AA66">
        <f>DMAX(_xlnm.Database,"n",Z65:Z66)</f>
        <v>445</v>
      </c>
      <c r="AD66" s="22">
        <f>AD64-7</f>
        <v>44175.625</v>
      </c>
      <c r="AE66">
        <f>DMAX(_xlnm.Database,"n",AD65:AD66)</f>
        <v>407</v>
      </c>
      <c r="AF66" s="16"/>
    </row>
    <row r="67" spans="2:32">
      <c r="B67" s="13" t="s">
        <v>7</v>
      </c>
      <c r="D67" s="16"/>
      <c r="F67" s="13" t="s">
        <v>7</v>
      </c>
      <c r="H67" s="16"/>
      <c r="J67" s="13" t="s">
        <v>7</v>
      </c>
      <c r="K67"/>
      <c r="L67" s="16"/>
      <c r="M67"/>
      <c r="N67" t="s">
        <v>7</v>
      </c>
      <c r="R67" t="s">
        <v>7</v>
      </c>
      <c r="S67"/>
      <c r="T67" s="16"/>
      <c r="V67" t="s">
        <v>7</v>
      </c>
      <c r="X67" s="16"/>
      <c r="Y67"/>
      <c r="Z67" t="s">
        <v>7</v>
      </c>
      <c r="AD67" t="s">
        <v>7</v>
      </c>
      <c r="AE67"/>
      <c r="AF67" s="16"/>
    </row>
    <row r="68" spans="2:32">
      <c r="B68" s="13">
        <f>B66-7</f>
        <v>44175.625</v>
      </c>
      <c r="C68">
        <f>DMAX(_xlnm.Database,"n",B67:B68)</f>
        <v>407</v>
      </c>
      <c r="D68" s="16"/>
      <c r="F68" s="13">
        <f>F66-7</f>
        <v>44174.625</v>
      </c>
      <c r="G68">
        <f>DMAX(_xlnm.Database,"n",F67:F68)</f>
        <v>462</v>
      </c>
      <c r="H68" s="16"/>
      <c r="J68" s="13">
        <f>J66-7</f>
        <v>44173.625</v>
      </c>
      <c r="K68">
        <f>DMAX(_xlnm.Database,"n",J67:J68)</f>
        <v>478</v>
      </c>
      <c r="L68" s="16"/>
      <c r="M68"/>
      <c r="N68" s="22">
        <f>N66-7</f>
        <v>44172.625</v>
      </c>
      <c r="O68">
        <f>DMAX(_xlnm.Database,"n",N67:N68)</f>
        <v>587</v>
      </c>
      <c r="R68" s="22">
        <f>R66-7</f>
        <v>44171.625</v>
      </c>
      <c r="S68">
        <f>DMAX(_xlnm.Database,"n",R67:R68)</f>
        <v>283</v>
      </c>
      <c r="T68" s="16"/>
      <c r="V68" s="22">
        <f>V66-7</f>
        <v>44170.625</v>
      </c>
      <c r="W68">
        <f>DMAX(_xlnm.Database,"n",V67:V68)</f>
        <v>251</v>
      </c>
      <c r="X68" s="16"/>
      <c r="Y68"/>
      <c r="Z68" s="22">
        <f>Z66-7</f>
        <v>44169.625</v>
      </c>
      <c r="AA68">
        <f>DMAX(_xlnm.Database,"n",Z67:Z68)</f>
        <v>472</v>
      </c>
      <c r="AD68" s="22">
        <f>AD66-7</f>
        <v>44168.625</v>
      </c>
      <c r="AE68">
        <f>DMAX(_xlnm.Database,"n",AD67:AD68)</f>
        <v>477</v>
      </c>
      <c r="AF68" s="16"/>
    </row>
    <row r="69" spans="2:32">
      <c r="D69" s="16"/>
      <c r="G69" s="16"/>
      <c r="J69" s="16"/>
      <c r="K69"/>
    </row>
    <row r="70" spans="2:32">
      <c r="D70" s="16"/>
      <c r="G70" s="16"/>
      <c r="J70" s="16"/>
      <c r="K70"/>
    </row>
    <row r="71" spans="2:32">
      <c r="D71" s="16"/>
      <c r="G71" s="16"/>
      <c r="J71" s="16"/>
      <c r="K71"/>
    </row>
    <row r="72" spans="2:32">
      <c r="D72" s="16"/>
      <c r="G72" s="16"/>
      <c r="J72" s="16"/>
      <c r="K72"/>
    </row>
    <row r="73" spans="2:32">
      <c r="D73" s="16"/>
      <c r="F73" s="30" t="s">
        <v>7</v>
      </c>
      <c r="H73" s="16"/>
      <c r="J73" s="16"/>
      <c r="K73"/>
    </row>
    <row r="74" spans="2:32">
      <c r="D74" s="16"/>
      <c r="F74" s="30">
        <f>B50</f>
        <v>44238.625</v>
      </c>
      <c r="G74">
        <f>DMAX(_xlnm.Database,"n",F73:F74)</f>
        <v>343</v>
      </c>
      <c r="H74" s="21">
        <f>F74</f>
        <v>44238.625</v>
      </c>
      <c r="I74">
        <f>G74</f>
        <v>343</v>
      </c>
      <c r="J74" s="16"/>
      <c r="K74"/>
    </row>
    <row r="75" spans="2:32">
      <c r="D75" s="16"/>
      <c r="F75" s="30" t="s">
        <v>7</v>
      </c>
      <c r="H75" s="16">
        <f>H74-1</f>
        <v>44237.625</v>
      </c>
      <c r="I75">
        <f>G76</f>
        <v>383</v>
      </c>
      <c r="J75" s="16"/>
      <c r="K75"/>
    </row>
    <row r="76" spans="2:32">
      <c r="D76" s="16"/>
      <c r="F76" s="30">
        <f>F74-1</f>
        <v>44237.625</v>
      </c>
      <c r="G76">
        <f>DMAX(_xlnm.Database,"n",F75:F76)</f>
        <v>383</v>
      </c>
      <c r="H76" s="16">
        <f t="shared" ref="H76:H110" si="16">H75-1</f>
        <v>44236.625</v>
      </c>
      <c r="I76">
        <f>G78</f>
        <v>367</v>
      </c>
      <c r="J76" s="16"/>
      <c r="K76"/>
    </row>
    <row r="77" spans="2:32">
      <c r="D77" s="16"/>
      <c r="F77" s="30" t="s">
        <v>7</v>
      </c>
      <c r="H77" s="16">
        <f t="shared" si="16"/>
        <v>44235.625</v>
      </c>
      <c r="I77">
        <f>G80</f>
        <v>458</v>
      </c>
      <c r="J77" s="16"/>
      <c r="K77"/>
    </row>
    <row r="78" spans="2:32">
      <c r="D78" s="16"/>
      <c r="F78" s="30">
        <f>F76-1</f>
        <v>44236.625</v>
      </c>
      <c r="G78">
        <f>DMAX(_xlnm.Database,"n",F77:F78)</f>
        <v>367</v>
      </c>
      <c r="H78" s="16">
        <f t="shared" si="16"/>
        <v>44234.625</v>
      </c>
      <c r="I78">
        <f>G82</f>
        <v>262</v>
      </c>
      <c r="J78" s="16"/>
      <c r="K78"/>
    </row>
    <row r="79" spans="2:32">
      <c r="D79" s="16"/>
      <c r="F79" s="30" t="s">
        <v>7</v>
      </c>
      <c r="H79" s="16">
        <f t="shared" si="16"/>
        <v>44233.625</v>
      </c>
      <c r="I79">
        <f>G84</f>
        <v>240</v>
      </c>
      <c r="J79" s="16"/>
      <c r="K79"/>
    </row>
    <row r="80" spans="2:32">
      <c r="D80" s="16"/>
      <c r="F80" s="30">
        <f>F78-1</f>
        <v>44235.625</v>
      </c>
      <c r="G80">
        <f>DMAX(_xlnm.Database,"n",F79:F80)</f>
        <v>458</v>
      </c>
      <c r="H80" s="16">
        <f t="shared" si="16"/>
        <v>44232.625</v>
      </c>
      <c r="I80">
        <f>G86</f>
        <v>365</v>
      </c>
      <c r="J80" s="16"/>
      <c r="K80"/>
    </row>
    <row r="81" spans="4:11">
      <c r="D81" s="16"/>
      <c r="F81" s="30" t="s">
        <v>7</v>
      </c>
      <c r="H81" s="16">
        <f t="shared" si="16"/>
        <v>44231.625</v>
      </c>
      <c r="I81">
        <f>G88</f>
        <v>369</v>
      </c>
      <c r="J81" s="16"/>
      <c r="K81"/>
    </row>
    <row r="82" spans="4:11">
      <c r="D82" s="16"/>
      <c r="F82" s="30">
        <f>F80-1</f>
        <v>44234.625</v>
      </c>
      <c r="G82">
        <f>DMAX(_xlnm.Database,"n",F81:F82)</f>
        <v>262</v>
      </c>
      <c r="H82" s="16">
        <f t="shared" si="16"/>
        <v>44230.625</v>
      </c>
      <c r="I82">
        <f>G90</f>
        <v>437</v>
      </c>
      <c r="J82" s="16"/>
      <c r="K82"/>
    </row>
    <row r="83" spans="4:11">
      <c r="D83" s="16"/>
      <c r="F83" s="30" t="s">
        <v>7</v>
      </c>
      <c r="H83" s="16">
        <f t="shared" si="16"/>
        <v>44229.625</v>
      </c>
      <c r="I83">
        <f>G92</f>
        <v>395</v>
      </c>
      <c r="J83" s="16"/>
      <c r="K83"/>
    </row>
    <row r="84" spans="4:11">
      <c r="D84" s="16"/>
      <c r="F84" s="30">
        <f>F82-1</f>
        <v>44233.625</v>
      </c>
      <c r="G84">
        <f>DMAX(_xlnm.Database,"n",F83:F84)</f>
        <v>240</v>
      </c>
      <c r="H84" s="16">
        <f t="shared" si="16"/>
        <v>44228.625</v>
      </c>
      <c r="I84">
        <f>G94</f>
        <v>531</v>
      </c>
      <c r="J84" s="16"/>
      <c r="K84"/>
    </row>
    <row r="85" spans="4:11">
      <c r="D85" s="16"/>
      <c r="F85" s="30" t="s">
        <v>7</v>
      </c>
      <c r="H85" s="16">
        <f t="shared" si="16"/>
        <v>44227.625</v>
      </c>
      <c r="I85">
        <f>G96</f>
        <v>272</v>
      </c>
      <c r="J85" s="16"/>
      <c r="K85"/>
    </row>
    <row r="86" spans="4:11">
      <c r="D86" s="16"/>
      <c r="F86" s="30">
        <f>F84-1</f>
        <v>44232.625</v>
      </c>
      <c r="G86">
        <f>DMAX(_xlnm.Database,"n",F85:F86)</f>
        <v>365</v>
      </c>
      <c r="H86" s="16">
        <f t="shared" si="16"/>
        <v>44226.625</v>
      </c>
      <c r="I86">
        <f>G98</f>
        <v>232</v>
      </c>
      <c r="J86" s="16"/>
      <c r="K86"/>
    </row>
    <row r="87" spans="4:11">
      <c r="D87" s="16"/>
      <c r="F87" s="30" t="s">
        <v>7</v>
      </c>
      <c r="H87" s="16">
        <f t="shared" si="16"/>
        <v>44225.625</v>
      </c>
      <c r="I87">
        <f>G100</f>
        <v>375</v>
      </c>
      <c r="J87" s="16"/>
      <c r="K87"/>
    </row>
    <row r="88" spans="4:11">
      <c r="D88" s="16"/>
      <c r="F88" s="30">
        <f>F86-1</f>
        <v>44231.625</v>
      </c>
      <c r="G88">
        <f>DMAX(_xlnm.Database,"n",F87:F88)</f>
        <v>369</v>
      </c>
      <c r="H88" s="16">
        <f t="shared" si="16"/>
        <v>44224.625</v>
      </c>
      <c r="I88">
        <f>G102</f>
        <v>435</v>
      </c>
      <c r="J88" s="16"/>
      <c r="K88"/>
    </row>
    <row r="89" spans="4:11">
      <c r="D89" s="16"/>
      <c r="F89" s="30" t="s">
        <v>7</v>
      </c>
      <c r="H89" s="16">
        <f t="shared" si="16"/>
        <v>44223.625</v>
      </c>
      <c r="I89">
        <f>G104</f>
        <v>383</v>
      </c>
      <c r="J89" s="16"/>
      <c r="K89"/>
    </row>
    <row r="90" spans="4:11">
      <c r="D90" s="16"/>
      <c r="F90" s="30">
        <f>F88-1</f>
        <v>44230.625</v>
      </c>
      <c r="G90">
        <f>DMAX(_xlnm.Database,"n",F89:F90)</f>
        <v>437</v>
      </c>
      <c r="H90" s="16">
        <f t="shared" si="16"/>
        <v>44222.625</v>
      </c>
      <c r="I90">
        <f>G106</f>
        <v>399</v>
      </c>
      <c r="J90" s="16"/>
      <c r="K90"/>
    </row>
    <row r="91" spans="4:11">
      <c r="D91" s="16"/>
      <c r="F91" s="30" t="s">
        <v>7</v>
      </c>
      <c r="H91" s="16">
        <f t="shared" si="16"/>
        <v>44221.625</v>
      </c>
      <c r="I91">
        <f>G108</f>
        <v>604</v>
      </c>
      <c r="J91" s="16"/>
      <c r="K91"/>
    </row>
    <row r="92" spans="4:11">
      <c r="D92" s="16"/>
      <c r="F92" s="30">
        <f>F90-1</f>
        <v>44229.625</v>
      </c>
      <c r="G92">
        <f>DMAX(_xlnm.Database,"n",F91:F92)</f>
        <v>395</v>
      </c>
      <c r="H92" s="16">
        <f t="shared" si="16"/>
        <v>44220.625</v>
      </c>
      <c r="I92">
        <f>G110</f>
        <v>244</v>
      </c>
      <c r="J92" s="16"/>
      <c r="K92"/>
    </row>
    <row r="93" spans="4:11">
      <c r="D93" s="16"/>
      <c r="F93" s="30" t="s">
        <v>7</v>
      </c>
      <c r="H93" s="16">
        <f t="shared" si="16"/>
        <v>44219.625</v>
      </c>
      <c r="I93">
        <f>G112</f>
        <v>168</v>
      </c>
      <c r="J93" s="16"/>
      <c r="K93"/>
    </row>
    <row r="94" spans="4:11">
      <c r="D94" s="16"/>
      <c r="F94" s="30">
        <f>F92-1</f>
        <v>44228.625</v>
      </c>
      <c r="G94">
        <f>DMAX(_xlnm.Database,"n",F93:F94)</f>
        <v>531</v>
      </c>
      <c r="H94" s="16">
        <f t="shared" si="16"/>
        <v>44218.625</v>
      </c>
      <c r="I94">
        <f>G114</f>
        <v>360</v>
      </c>
      <c r="J94" s="16"/>
      <c r="K94"/>
    </row>
    <row r="95" spans="4:11">
      <c r="D95" s="16"/>
      <c r="F95" s="30" t="s">
        <v>7</v>
      </c>
      <c r="H95" s="16">
        <f t="shared" si="16"/>
        <v>44217.625</v>
      </c>
      <c r="I95">
        <f>G116</f>
        <v>376</v>
      </c>
      <c r="J95" s="16"/>
      <c r="K95"/>
    </row>
    <row r="96" spans="4:11">
      <c r="D96" s="16"/>
      <c r="F96" s="30">
        <f>F94-1</f>
        <v>44227.625</v>
      </c>
      <c r="G96">
        <f>DMAX(_xlnm.Database,"n",F95:F96)</f>
        <v>272</v>
      </c>
      <c r="H96" s="16">
        <f t="shared" si="16"/>
        <v>44216.625</v>
      </c>
      <c r="I96">
        <f>G118</f>
        <v>406</v>
      </c>
      <c r="J96" s="16"/>
      <c r="K96"/>
    </row>
    <row r="97" spans="4:11">
      <c r="D97" s="16"/>
      <c r="F97" s="30" t="s">
        <v>7</v>
      </c>
      <c r="H97" s="16">
        <f t="shared" si="16"/>
        <v>44215.625</v>
      </c>
      <c r="I97">
        <f>G120</f>
        <v>342</v>
      </c>
      <c r="J97" s="16"/>
      <c r="K97"/>
    </row>
    <row r="98" spans="4:11">
      <c r="D98" s="16"/>
      <c r="F98" s="30">
        <f>F96-1</f>
        <v>44226.625</v>
      </c>
      <c r="G98">
        <f>DMAX(_xlnm.Database,"n",F97:F98)</f>
        <v>232</v>
      </c>
      <c r="H98" s="16">
        <f t="shared" si="16"/>
        <v>44214.625</v>
      </c>
      <c r="I98">
        <f>G122</f>
        <v>447</v>
      </c>
      <c r="J98" s="16"/>
      <c r="K98"/>
    </row>
    <row r="99" spans="4:11">
      <c r="D99" s="16"/>
      <c r="F99" s="30" t="s">
        <v>7</v>
      </c>
      <c r="H99" s="16">
        <f t="shared" si="16"/>
        <v>44213.625</v>
      </c>
      <c r="I99">
        <f>G124</f>
        <v>195</v>
      </c>
      <c r="J99" s="16"/>
      <c r="K99"/>
    </row>
    <row r="100" spans="4:11">
      <c r="D100" s="16"/>
      <c r="F100" s="30">
        <f>F98-1</f>
        <v>44225.625</v>
      </c>
      <c r="G100">
        <f>DMAX(_xlnm.Database,"n",F99:F100)</f>
        <v>375</v>
      </c>
      <c r="H100" s="16">
        <f t="shared" si="16"/>
        <v>44212.625</v>
      </c>
      <c r="I100">
        <f>G126</f>
        <v>168</v>
      </c>
      <c r="J100" s="16"/>
      <c r="K100"/>
    </row>
    <row r="101" spans="4:11">
      <c r="D101" s="16"/>
      <c r="F101" s="30" t="s">
        <v>7</v>
      </c>
      <c r="H101" s="16">
        <f t="shared" si="16"/>
        <v>44211.625</v>
      </c>
      <c r="I101">
        <f>G128</f>
        <v>266</v>
      </c>
      <c r="J101" s="16"/>
      <c r="K101"/>
    </row>
    <row r="102" spans="4:11">
      <c r="D102" s="16"/>
      <c r="F102" s="30">
        <f>F100-1</f>
        <v>44224.625</v>
      </c>
      <c r="G102">
        <f>DMAX(_xlnm.Database,"n",F101:F102)</f>
        <v>435</v>
      </c>
      <c r="H102" s="16">
        <f t="shared" si="16"/>
        <v>44210.625</v>
      </c>
      <c r="I102">
        <f>G130</f>
        <v>249</v>
      </c>
      <c r="J102" s="16"/>
      <c r="K102"/>
    </row>
    <row r="103" spans="4:11">
      <c r="D103" s="16"/>
      <c r="F103" s="30" t="s">
        <v>7</v>
      </c>
      <c r="H103" s="16">
        <f t="shared" si="16"/>
        <v>44209.625</v>
      </c>
      <c r="I103">
        <f>G132</f>
        <v>258</v>
      </c>
      <c r="J103" s="16"/>
      <c r="K103"/>
    </row>
    <row r="104" spans="4:11">
      <c r="D104" s="16"/>
      <c r="F104" s="30">
        <f>F102-1</f>
        <v>44223.625</v>
      </c>
      <c r="G104">
        <f>DMAX(_xlnm.Database,"n",F103:F104)</f>
        <v>383</v>
      </c>
      <c r="H104" s="16">
        <f t="shared" si="16"/>
        <v>44208.625</v>
      </c>
      <c r="I104">
        <f>G134</f>
        <v>229</v>
      </c>
      <c r="J104" s="16"/>
      <c r="K104"/>
    </row>
    <row r="105" spans="4:11">
      <c r="D105" s="16"/>
      <c r="F105" s="30" t="s">
        <v>7</v>
      </c>
      <c r="H105" s="16">
        <f t="shared" si="16"/>
        <v>44207.625</v>
      </c>
      <c r="I105">
        <f>G136</f>
        <v>384</v>
      </c>
      <c r="J105" s="16"/>
      <c r="K105"/>
    </row>
    <row r="106" spans="4:11">
      <c r="D106" s="16"/>
      <c r="F106" s="30">
        <f>F104-1</f>
        <v>44222.625</v>
      </c>
      <c r="G106">
        <f>DMAX(_xlnm.Database,"n",F105:F106)</f>
        <v>399</v>
      </c>
      <c r="H106" s="16">
        <f t="shared" si="16"/>
        <v>44206.625</v>
      </c>
      <c r="I106">
        <f>G138</f>
        <v>186</v>
      </c>
      <c r="J106" s="16"/>
      <c r="K106"/>
    </row>
    <row r="107" spans="4:11">
      <c r="D107" s="16"/>
      <c r="F107" s="30" t="s">
        <v>7</v>
      </c>
      <c r="H107" s="16">
        <f t="shared" si="16"/>
        <v>44205.625</v>
      </c>
      <c r="I107">
        <f>G140</f>
        <v>194</v>
      </c>
      <c r="J107" s="16"/>
      <c r="K107"/>
    </row>
    <row r="108" spans="4:11">
      <c r="D108" s="16"/>
      <c r="F108" s="30">
        <f>F106-1</f>
        <v>44221.625</v>
      </c>
      <c r="G108">
        <f>DMAX(_xlnm.Database,"n",F107:F108)</f>
        <v>604</v>
      </c>
      <c r="H108" s="16">
        <f t="shared" si="16"/>
        <v>44204.625</v>
      </c>
      <c r="I108">
        <f>G142</f>
        <v>251</v>
      </c>
      <c r="J108" s="16"/>
      <c r="K108"/>
    </row>
    <row r="109" spans="4:11">
      <c r="D109" s="16"/>
      <c r="F109" s="30" t="s">
        <v>7</v>
      </c>
      <c r="H109" s="16">
        <f t="shared" si="16"/>
        <v>44203.625</v>
      </c>
      <c r="I109">
        <f>G144</f>
        <v>331</v>
      </c>
      <c r="J109" s="16"/>
      <c r="K109"/>
    </row>
    <row r="110" spans="4:11">
      <c r="D110" s="16"/>
      <c r="F110" s="30">
        <f>F108-1</f>
        <v>44220.625</v>
      </c>
      <c r="G110">
        <f>DMAX(_xlnm.Database,"n",F109:F110)</f>
        <v>244</v>
      </c>
      <c r="H110" s="16">
        <f t="shared" si="16"/>
        <v>44202.625</v>
      </c>
      <c r="I110">
        <f>G146</f>
        <v>209</v>
      </c>
      <c r="J110" s="16"/>
      <c r="K110"/>
    </row>
    <row r="111" spans="4:11">
      <c r="D111" s="16"/>
      <c r="F111" s="30" t="s">
        <v>7</v>
      </c>
      <c r="J111" s="16"/>
      <c r="K111"/>
    </row>
    <row r="112" spans="4:11">
      <c r="D112" s="16"/>
      <c r="F112" s="30">
        <f>F110-1</f>
        <v>44219.625</v>
      </c>
      <c r="G112">
        <f>DMAX(_xlnm.Database,"n",F111:F112)</f>
        <v>168</v>
      </c>
      <c r="J112" s="16"/>
      <c r="K112"/>
    </row>
    <row r="113" spans="4:11">
      <c r="D113" s="16"/>
      <c r="F113" s="30" t="s">
        <v>7</v>
      </c>
      <c r="J113" s="16"/>
      <c r="K113"/>
    </row>
    <row r="114" spans="4:11">
      <c r="D114" s="16"/>
      <c r="F114" s="30">
        <f>F112-1</f>
        <v>44218.625</v>
      </c>
      <c r="G114">
        <f>DMAX(_xlnm.Database,"n",F113:F114)</f>
        <v>360</v>
      </c>
      <c r="J114" s="16"/>
      <c r="K114"/>
    </row>
    <row r="115" spans="4:11">
      <c r="D115" s="16"/>
      <c r="F115" s="30" t="s">
        <v>7</v>
      </c>
      <c r="J115" s="16"/>
      <c r="K115"/>
    </row>
    <row r="116" spans="4:11">
      <c r="D116" s="16"/>
      <c r="F116" s="30">
        <f>F114-1</f>
        <v>44217.625</v>
      </c>
      <c r="G116">
        <f>DMAX(_xlnm.Database,"n",F115:F116)</f>
        <v>376</v>
      </c>
      <c r="J116" s="16"/>
      <c r="K116"/>
    </row>
    <row r="117" spans="4:11">
      <c r="D117" s="16"/>
      <c r="F117" s="30" t="s">
        <v>7</v>
      </c>
      <c r="J117" s="16"/>
      <c r="K117"/>
    </row>
    <row r="118" spans="4:11">
      <c r="D118" s="16"/>
      <c r="F118" s="30">
        <f>F116-1</f>
        <v>44216.625</v>
      </c>
      <c r="G118">
        <f>DMAX(_xlnm.Database,"n",F117:F118)</f>
        <v>406</v>
      </c>
      <c r="J118" s="16"/>
      <c r="K118"/>
    </row>
    <row r="119" spans="4:11">
      <c r="D119" s="16"/>
      <c r="F119" s="30" t="s">
        <v>7</v>
      </c>
      <c r="J119" s="16"/>
      <c r="K119"/>
    </row>
    <row r="120" spans="4:11">
      <c r="D120" s="16"/>
      <c r="F120" s="30">
        <f>F118-1</f>
        <v>44215.625</v>
      </c>
      <c r="G120">
        <f>DMAX(_xlnm.Database,"n",F119:F120)</f>
        <v>342</v>
      </c>
      <c r="J120" s="16"/>
      <c r="K120"/>
    </row>
    <row r="121" spans="4:11">
      <c r="D121" s="16"/>
      <c r="F121" s="30" t="s">
        <v>7</v>
      </c>
      <c r="J121" s="16"/>
      <c r="K121"/>
    </row>
    <row r="122" spans="4:11">
      <c r="D122" s="16"/>
      <c r="F122" s="30">
        <f>F120-1</f>
        <v>44214.625</v>
      </c>
      <c r="G122">
        <f>DMAX(_xlnm.Database,"n",F121:F122)</f>
        <v>447</v>
      </c>
      <c r="J122" s="16"/>
      <c r="K122"/>
    </row>
    <row r="123" spans="4:11">
      <c r="D123" s="16"/>
      <c r="F123" s="30" t="s">
        <v>7</v>
      </c>
      <c r="J123" s="16"/>
      <c r="K123"/>
    </row>
    <row r="124" spans="4:11">
      <c r="D124" s="16"/>
      <c r="F124" s="30">
        <f>F122-1</f>
        <v>44213.625</v>
      </c>
      <c r="G124">
        <f>DMAX(_xlnm.Database,"n",F123:F124)</f>
        <v>195</v>
      </c>
      <c r="J124" s="16"/>
      <c r="K124"/>
    </row>
    <row r="125" spans="4:11">
      <c r="D125" s="16"/>
      <c r="F125" s="30" t="s">
        <v>7</v>
      </c>
      <c r="J125" s="16"/>
      <c r="K125"/>
    </row>
    <row r="126" spans="4:11">
      <c r="D126" s="16"/>
      <c r="F126" s="30">
        <f>F124-1</f>
        <v>44212.625</v>
      </c>
      <c r="G126">
        <f>DMAX(_xlnm.Database,"n",F125:F126)</f>
        <v>168</v>
      </c>
      <c r="J126" s="16"/>
      <c r="K126"/>
    </row>
    <row r="127" spans="4:11">
      <c r="D127" s="16"/>
      <c r="F127" s="30" t="s">
        <v>7</v>
      </c>
      <c r="J127" s="16"/>
      <c r="K127"/>
    </row>
    <row r="128" spans="4:11">
      <c r="D128" s="16"/>
      <c r="F128" s="30">
        <f>F126-1</f>
        <v>44211.625</v>
      </c>
      <c r="G128">
        <f>DMAX(_xlnm.Database,"n",F127:F128)</f>
        <v>266</v>
      </c>
      <c r="J128" s="16"/>
      <c r="K128"/>
    </row>
    <row r="129" spans="4:11">
      <c r="D129" s="16"/>
      <c r="F129" s="30" t="s">
        <v>7</v>
      </c>
      <c r="J129" s="16"/>
      <c r="K129"/>
    </row>
    <row r="130" spans="4:11">
      <c r="D130" s="16"/>
      <c r="F130" s="30">
        <f>F128-1</f>
        <v>44210.625</v>
      </c>
      <c r="G130">
        <f>DMAX(_xlnm.Database,"n",F129:F130)</f>
        <v>249</v>
      </c>
      <c r="J130" s="16"/>
      <c r="K130"/>
    </row>
    <row r="131" spans="4:11">
      <c r="D131" s="16"/>
      <c r="F131" s="30" t="s">
        <v>7</v>
      </c>
      <c r="J131" s="16"/>
      <c r="K131"/>
    </row>
    <row r="132" spans="4:11">
      <c r="D132" s="16"/>
      <c r="F132" s="30">
        <f>F130-1</f>
        <v>44209.625</v>
      </c>
      <c r="G132">
        <f>DMAX(_xlnm.Database,"n",F131:F132)</f>
        <v>258</v>
      </c>
      <c r="J132" s="16"/>
      <c r="K132"/>
    </row>
    <row r="133" spans="4:11">
      <c r="D133" s="16"/>
      <c r="F133" s="30" t="s">
        <v>7</v>
      </c>
      <c r="J133" s="16"/>
      <c r="K133"/>
    </row>
    <row r="134" spans="4:11">
      <c r="D134" s="16"/>
      <c r="F134" s="30">
        <f>F132-1</f>
        <v>44208.625</v>
      </c>
      <c r="G134">
        <f>DMAX(_xlnm.Database,"n",F133:F134)</f>
        <v>229</v>
      </c>
      <c r="J134" s="16"/>
      <c r="K134"/>
    </row>
    <row r="135" spans="4:11">
      <c r="D135" s="16"/>
      <c r="F135" s="30" t="s">
        <v>7</v>
      </c>
      <c r="J135" s="16"/>
      <c r="K135"/>
    </row>
    <row r="136" spans="4:11">
      <c r="D136" s="16"/>
      <c r="F136" s="30">
        <f>F134-1</f>
        <v>44207.625</v>
      </c>
      <c r="G136">
        <f>DMAX(_xlnm.Database,"n",F135:F136)</f>
        <v>384</v>
      </c>
      <c r="J136" s="16"/>
      <c r="K136"/>
    </row>
    <row r="137" spans="4:11">
      <c r="D137" s="16"/>
      <c r="F137" s="30" t="s">
        <v>7</v>
      </c>
      <c r="J137" s="16"/>
      <c r="K137"/>
    </row>
    <row r="138" spans="4:11">
      <c r="D138" s="16"/>
      <c r="F138" s="30">
        <f>F136-1</f>
        <v>44206.625</v>
      </c>
      <c r="G138">
        <f>DMAX(_xlnm.Database,"n",F137:F138)</f>
        <v>186</v>
      </c>
      <c r="J138" s="16"/>
      <c r="K138"/>
    </row>
    <row r="139" spans="4:11">
      <c r="D139" s="16"/>
      <c r="F139" s="30" t="s">
        <v>7</v>
      </c>
      <c r="J139" s="16"/>
      <c r="K139"/>
    </row>
    <row r="140" spans="4:11">
      <c r="D140" s="16"/>
      <c r="F140" s="30">
        <f>F138-1</f>
        <v>44205.625</v>
      </c>
      <c r="G140">
        <f>DMAX(_xlnm.Database,"n",F139:F140)</f>
        <v>194</v>
      </c>
      <c r="J140" s="16"/>
      <c r="K140"/>
    </row>
    <row r="141" spans="4:11">
      <c r="D141" s="16"/>
      <c r="F141" s="30" t="s">
        <v>7</v>
      </c>
      <c r="J141" s="16"/>
      <c r="K141"/>
    </row>
    <row r="142" spans="4:11">
      <c r="D142" s="16"/>
      <c r="F142" s="30">
        <f>F140-1</f>
        <v>44204.625</v>
      </c>
      <c r="G142">
        <f>DMAX(_xlnm.Database,"n",F141:F142)</f>
        <v>251</v>
      </c>
      <c r="J142" s="16"/>
      <c r="K142"/>
    </row>
    <row r="143" spans="4:11">
      <c r="D143" s="16"/>
      <c r="F143" s="30" t="s">
        <v>7</v>
      </c>
      <c r="J143" s="16"/>
      <c r="K143"/>
    </row>
    <row r="144" spans="4:11">
      <c r="D144" s="16"/>
      <c r="F144" s="30">
        <f>F142-1</f>
        <v>44203.625</v>
      </c>
      <c r="G144">
        <f>DMAX(_xlnm.Database,"n",F143:F144)</f>
        <v>331</v>
      </c>
      <c r="J144" s="16"/>
      <c r="K144"/>
    </row>
    <row r="145" spans="4:11">
      <c r="D145" s="16"/>
      <c r="F145" s="30" t="s">
        <v>7</v>
      </c>
      <c r="J145" s="16"/>
      <c r="K145"/>
    </row>
    <row r="146" spans="4:11">
      <c r="D146" s="16"/>
      <c r="F146" s="30">
        <f>F144-1</f>
        <v>44202.625</v>
      </c>
      <c r="G146">
        <f>DMAX(_xlnm.Database,"n",F145:F146)</f>
        <v>209</v>
      </c>
      <c r="J146" s="16"/>
      <c r="K146"/>
    </row>
    <row r="147" spans="4:11">
      <c r="D147" s="16"/>
      <c r="F147" s="30"/>
      <c r="G147" s="16"/>
      <c r="J147" s="16"/>
      <c r="K147"/>
    </row>
    <row r="148" spans="4:11">
      <c r="D148" s="16"/>
      <c r="G148" s="16"/>
      <c r="J148" s="16"/>
      <c r="K148"/>
    </row>
    <row r="149" spans="4:11">
      <c r="D149" s="16"/>
      <c r="G149" s="16"/>
      <c r="J149" s="16"/>
      <c r="K149"/>
    </row>
    <row r="150" spans="4:11">
      <c r="D150" s="16"/>
      <c r="G150" s="16"/>
      <c r="J150" s="16"/>
      <c r="K150"/>
    </row>
    <row r="151" spans="4:11">
      <c r="D151" s="16"/>
      <c r="G151" s="16"/>
      <c r="J151" s="16"/>
      <c r="K151"/>
    </row>
    <row r="152" spans="4:11">
      <c r="D152" s="16"/>
      <c r="G152" s="16"/>
      <c r="J152" s="16"/>
      <c r="K152"/>
    </row>
    <row r="153" spans="4:11">
      <c r="D153" s="16"/>
      <c r="G153" s="16"/>
      <c r="J153" s="16"/>
      <c r="K153"/>
    </row>
    <row r="154" spans="4:11">
      <c r="D154" s="16"/>
      <c r="G154" s="16"/>
      <c r="J154" s="16"/>
      <c r="K154"/>
    </row>
    <row r="155" spans="4:11">
      <c r="D155" s="16"/>
      <c r="G155" s="16"/>
      <c r="J155" s="16"/>
      <c r="K155"/>
    </row>
    <row r="156" spans="4:11">
      <c r="D156" s="16"/>
      <c r="G156" s="16"/>
      <c r="J156" s="16"/>
      <c r="K156"/>
    </row>
    <row r="157" spans="4:11">
      <c r="D157" s="16"/>
      <c r="G157" s="16"/>
      <c r="J157" s="16"/>
      <c r="K157"/>
    </row>
    <row r="158" spans="4:11">
      <c r="D158" s="16"/>
      <c r="G158" s="16"/>
      <c r="J158" s="16"/>
      <c r="K158"/>
    </row>
    <row r="159" spans="4:11">
      <c r="D159" s="16"/>
      <c r="G159" s="16"/>
      <c r="J159" s="16"/>
      <c r="K159"/>
    </row>
    <row r="160" spans="4:11">
      <c r="D160" s="16"/>
      <c r="G160" s="16"/>
      <c r="J160" s="16"/>
      <c r="K160"/>
    </row>
    <row r="161" spans="4:11">
      <c r="D161" s="16"/>
      <c r="G161" s="16"/>
      <c r="J161" s="16"/>
      <c r="K161"/>
    </row>
    <row r="162" spans="4:11">
      <c r="D162" s="16"/>
      <c r="G162" s="16"/>
      <c r="J162" s="16"/>
      <c r="K162"/>
    </row>
    <row r="163" spans="4:11">
      <c r="D163" s="16"/>
      <c r="G163" s="16"/>
      <c r="J163" s="16"/>
      <c r="K163"/>
    </row>
    <row r="164" spans="4:11">
      <c r="D164" s="16"/>
      <c r="G164" s="16"/>
      <c r="J164" s="16"/>
      <c r="K164"/>
    </row>
    <row r="165" spans="4:11">
      <c r="D165" s="16"/>
      <c r="G165" s="16"/>
      <c r="J165" s="16"/>
      <c r="K165"/>
    </row>
    <row r="166" spans="4:11">
      <c r="D166" s="16"/>
      <c r="G166" s="16"/>
      <c r="J166" s="16"/>
      <c r="K166"/>
    </row>
    <row r="167" spans="4:11">
      <c r="D167" s="16"/>
      <c r="G167" s="16"/>
      <c r="J167" s="16"/>
      <c r="K167"/>
    </row>
    <row r="168" spans="4:11">
      <c r="D168" s="16"/>
      <c r="G168" s="16"/>
      <c r="J168" s="16"/>
      <c r="K168"/>
    </row>
    <row r="169" spans="4:11">
      <c r="D169" s="16"/>
      <c r="G169" s="16"/>
      <c r="J169" s="16"/>
      <c r="K169"/>
    </row>
    <row r="170" spans="4:11">
      <c r="D170" s="16"/>
      <c r="G170" s="16"/>
      <c r="J170" s="16"/>
      <c r="K170"/>
    </row>
    <row r="171" spans="4:11">
      <c r="D171" s="16"/>
      <c r="G171" s="16"/>
      <c r="J171" s="16"/>
      <c r="K171"/>
    </row>
    <row r="172" spans="4:11">
      <c r="D172" s="16"/>
      <c r="G172" s="16"/>
      <c r="J172" s="16"/>
      <c r="K172"/>
    </row>
    <row r="173" spans="4:11">
      <c r="D173" s="16"/>
      <c r="G173" s="16"/>
      <c r="J173" s="16"/>
      <c r="K173"/>
    </row>
    <row r="174" spans="4:11">
      <c r="D174" s="16"/>
      <c r="G174" s="16"/>
      <c r="J174" s="16"/>
      <c r="K174"/>
    </row>
    <row r="175" spans="4:11">
      <c r="D175" s="16"/>
      <c r="G175" s="16"/>
      <c r="J175" s="16"/>
      <c r="K175"/>
    </row>
    <row r="176" spans="4:11">
      <c r="D176" s="16"/>
      <c r="G176" s="16"/>
      <c r="J176" s="16"/>
      <c r="K176"/>
    </row>
    <row r="177" spans="4:11">
      <c r="D177" s="16"/>
      <c r="G177" s="16"/>
      <c r="J177" s="16"/>
      <c r="K177"/>
    </row>
    <row r="178" spans="4:11">
      <c r="D178" s="16"/>
      <c r="G178" s="16"/>
      <c r="J178" s="16"/>
      <c r="K178"/>
    </row>
    <row r="179" spans="4:11">
      <c r="D179" s="16"/>
      <c r="G179" s="16"/>
      <c r="J179" s="16"/>
      <c r="K179"/>
    </row>
    <row r="180" spans="4:11">
      <c r="D180" s="16"/>
      <c r="G180" s="16"/>
      <c r="J180" s="16"/>
      <c r="K180"/>
    </row>
    <row r="181" spans="4:11">
      <c r="D181" s="16"/>
      <c r="G181" s="16"/>
      <c r="J181" s="16"/>
      <c r="K181"/>
    </row>
    <row r="182" spans="4:11">
      <c r="D182" s="16"/>
      <c r="G182" s="16"/>
      <c r="J182" s="16"/>
      <c r="K182"/>
    </row>
    <row r="183" spans="4:11">
      <c r="D183" s="16"/>
      <c r="G183" s="16"/>
      <c r="J183" s="16"/>
      <c r="K183"/>
    </row>
    <row r="184" spans="4:11">
      <c r="D184" s="16"/>
      <c r="G184" s="16"/>
      <c r="J184" s="16"/>
      <c r="K184"/>
    </row>
    <row r="185" spans="4:11">
      <c r="D185" s="16"/>
      <c r="G185" s="16"/>
      <c r="J185" s="16"/>
      <c r="K185"/>
    </row>
    <row r="186" spans="4:11">
      <c r="D186" s="16"/>
      <c r="G186" s="16"/>
      <c r="J186" s="16"/>
      <c r="K18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0</xdr:col>
                    <xdr:colOff>381000</xdr:colOff>
                    <xdr:row>0</xdr:row>
                    <xdr:rowOff>76200</xdr:rowOff>
                  </from>
                  <to>
                    <xdr:col>2</xdr:col>
                    <xdr:colOff>59871</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64"/>
  <sheetViews>
    <sheetView tabSelected="1" topLeftCell="A58" workbookViewId="0">
      <selection activeCell="A64" sqref="A64"/>
    </sheetView>
  </sheetViews>
  <sheetFormatPr defaultRowHeight="14.6"/>
  <cols>
    <col min="1" max="1" width="6.3046875" customWidth="1"/>
  </cols>
  <sheetData>
    <row r="1" spans="1:2">
      <c r="A1" t="s">
        <v>421</v>
      </c>
    </row>
    <row r="2" spans="1:2" ht="45.75" customHeight="1"/>
    <row r="3" spans="1:2">
      <c r="B3" s="7" t="str">
        <f>"Päivittäisiä COVID-19 tapauksia vuoden 2020 alusta lähtien "&amp;TEXT(MAX(Data!F:F)-4,"p.k.vvvv")&amp;" saakka. Suurin arvo "&amp;Data!I1&amp;", joka "&amp;TEXT(Data!J1,"p.k.vvvv")&amp;". Uusimpien 4 päivien arvot tulevat viiveellä, joten ne jätetty pois kuvaajasta."</f>
        <v>Päivittäisiä COVID-19 tapauksia vuoden 2020 alusta lähtien 11.2.2021 saakka. Suurin arvo 619, joka 25.11.2020. Uusimpien 4 päivien arvot tulevat viiveellä, joten ne jätetty pois kuvaajasta.</v>
      </c>
    </row>
    <row r="24" spans="12:15">
      <c r="L24" t="s">
        <v>299</v>
      </c>
      <c r="N24" t="s">
        <v>422</v>
      </c>
    </row>
    <row r="25" spans="12:15">
      <c r="L25">
        <v>1</v>
      </c>
      <c r="M25" t="s">
        <v>432</v>
      </c>
      <c r="N25" s="29">
        <f>AVERAGEIF(Data!E:E,L25,DataN)</f>
        <v>153.14285714285714</v>
      </c>
      <c r="O25" s="29">
        <f>AVERAGEIFS(Data!E:E,DataN,L25,aika,"&gt;0")</f>
        <v>3.8333333333333335</v>
      </c>
    </row>
    <row r="26" spans="12:15">
      <c r="L26">
        <v>2</v>
      </c>
      <c r="M26" t="s">
        <v>433</v>
      </c>
      <c r="N26" s="29">
        <f>AVERAGEIF(Data!E:E,L26,DataN)</f>
        <v>127.41071428571429</v>
      </c>
    </row>
    <row r="27" spans="12:15">
      <c r="L27">
        <v>3</v>
      </c>
      <c r="M27" t="s">
        <v>434</v>
      </c>
      <c r="N27" s="29">
        <f>AVERAGEIF(Data!E:E,L27,DataN)</f>
        <v>124</v>
      </c>
    </row>
    <row r="28" spans="12:15">
      <c r="L28">
        <v>4</v>
      </c>
      <c r="M28" t="s">
        <v>435</v>
      </c>
      <c r="N28" s="29">
        <f>AVERAGEIF(Data!E:E,L28,DataN)</f>
        <v>119.98214285714286</v>
      </c>
    </row>
    <row r="29" spans="12:15">
      <c r="L29">
        <v>5</v>
      </c>
      <c r="M29" t="s">
        <v>436</v>
      </c>
      <c r="N29" s="29">
        <f>AVERAGEIF(Data!E:E,L29,DataN)</f>
        <v>111.98214285714286</v>
      </c>
    </row>
    <row r="30" spans="12:15">
      <c r="L30">
        <v>6</v>
      </c>
      <c r="M30" t="s">
        <v>437</v>
      </c>
      <c r="N30" s="29">
        <f>AVERAGEIF(Data!E:E,L30,DataN)</f>
        <v>71.571428571428569</v>
      </c>
    </row>
    <row r="31" spans="12:15">
      <c r="L31">
        <v>7</v>
      </c>
      <c r="M31" t="s">
        <v>438</v>
      </c>
      <c r="N31" s="29">
        <f>AVERAGEIF(Data!E:E,L31,DataN)</f>
        <v>79.178571428571431</v>
      </c>
    </row>
    <row r="40" spans="2:2">
      <c r="B40" t="str">
        <f ca="1">IF((Lisäys!C35-Lisäys!N35-Lisäys!E5)&lt;&gt;0," (joista vanhoja yli 28 päivän takaisia kirjauksia "&amp;(Lisäys!C35-Lisäys!N35-Lisäys!E5)&amp;")","")</f>
        <v xml:space="preserve"> (joista vanhoja yli 28 päivän takaisia kirjauksia 8)</v>
      </c>
    </row>
    <row r="41" spans="2:2">
      <c r="B41" t="str">
        <f ca="1">"Uusia COVID-19 tapauksia "&amp;TEXT(MAX(Lisäys!M:M),"p.k")&amp;" n="&amp;(Lisäys!C$35-Lisäys!N$35)&amp;Kuvaajat!B$40&amp;". Yhteensä N="&amp;Lisäys!C$34&amp;". Edelliset 7 päivää "&amp;Lisäys!G$28&amp;" (päivittyy), "&amp;Lisäys!G$21&amp;" (muutos "&amp;Lisäys!H$21&amp;"), "&amp;Lisäys!G$14&amp;" ("&amp;Lisäys!H$14&amp;") ja "&amp;Lisäys!G$7&amp;" https://github.com/jussivirkkala/excel/tree/master/hs-koronavirus-avoindata"</f>
        <v>Uusia COVID-19 tapauksia 15.2 n=343 (joista vanhoja yli 28 päivän takaisia kirjauksia 8). Yhteensä N=50662. Edelliset 7 päivää 2279 (päivittyy), 2599 (muutos -4 %), 2700 (15 %) ja 2343 https://github.com/jussivirkkala/excel/tree/master/hs-koronavirus-avoindata</v>
      </c>
    </row>
    <row r="42" spans="2:2">
      <c r="B42" t="str">
        <f ca="1">"Uusia COVID-19 tapauksia "&amp;TEXT(MAX(Lisäys!M:M),"p.k.vvvv")&amp;" n="&amp;(Lisäys!C$35-Lisäys!N$35)&amp;Kuvaajat!B$40&amp;". Yhteensä N="&amp;Lisäys!C$34&amp;". Melko pysyvät 7 päivää "&amp;TEXT(Lisäys!B25,"p.k")&amp;"-"&amp;TEXT(Lisäys!B31,"p.k")&amp;" yhteensä "&amp;Lisäys!J$25&amp;" (muutos "&amp;Lisäys!K25&amp;"), aiemmat 7 päivää "&amp;Lisäys!J$18&amp;" ("&amp;Lisäys!K$18&amp;") ja "&amp;Lisäys!J$11&amp;" https://github.com/jussivirkkala/excel/tree/master/hs-koronavirus-avoindata"</f>
        <v>Uusia COVID-19 tapauksia 15.2.2021 n=343 (joista vanhoja yli 28 päivän takaisia kirjauksia 8). Yhteensä N=50662. Melko pysyvät 7 päivää 5.2-11.2 yhteensä 2418 (muutos -7 %), aiemmat 7 päivää 2611 (1 %) ja 2593 https://github.com/jussivirkkala/excel/tree/master/hs-koronavirus-avoindata</v>
      </c>
    </row>
    <row r="64" spans="2:2" ht="18.45">
      <c r="B64" s="23" t="str">
        <f>" COVID-19 tapauksia 7 päivän välein "&amp;TEXT(Lisäys!F74,"p.k.vvvv")&amp;" saakka (- uusin ... vanhin)."</f>
        <v xml:space="preserve"> COVID-19 tapauksia 7 päivän välein 11.2.2021 saakka (- uusin ... vanhin).</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ThisWorkbook.UpdateDialog">
                <anchor moveWithCells="1" sizeWithCells="1">
                  <from>
                    <xdr:col>1</xdr:col>
                    <xdr:colOff>0</xdr:colOff>
                    <xdr:row>1</xdr:row>
                    <xdr:rowOff>76200</xdr:rowOff>
                  </from>
                  <to>
                    <xdr:col>2</xdr:col>
                    <xdr:colOff>348343</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Lisäys</vt:lpstr>
      <vt:lpstr>Kuvaajat</vt:lpstr>
      <vt:lpstr>aika</vt:lpstr>
      <vt:lpstr>alue</vt:lpstr>
      <vt:lpstr>Database</vt:lpstr>
      <vt:lpstr>DataN</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2021-02-15T09:43:29Z</dcterms:modified>
</cp:coreProperties>
</file>